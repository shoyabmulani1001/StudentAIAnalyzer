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final PO attainments\2023-25\SEM I\"/>
    </mc:Choice>
  </mc:AlternateContent>
  <bookViews>
    <workbookView xWindow="0" yWindow="0" windowWidth="20490" windowHeight="7650" tabRatio="853" firstSheet="1" activeTab="11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Sheet1" sheetId="32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3" l="1"/>
  <c r="K18" i="23" s="1"/>
  <c r="J17" i="23"/>
  <c r="J18" i="23" s="1"/>
  <c r="I17" i="23"/>
  <c r="H17" i="23"/>
  <c r="H18" i="23" s="1"/>
  <c r="G17" i="23"/>
  <c r="G18" i="23" s="1"/>
  <c r="F17" i="23"/>
  <c r="F18" i="23" s="1"/>
  <c r="E17" i="23"/>
  <c r="E18" i="23" s="1"/>
  <c r="D17" i="23"/>
  <c r="I18" i="23"/>
  <c r="D18" i="23"/>
  <c r="C15" i="20" l="1"/>
  <c r="C14" i="20"/>
  <c r="I128" i="32"/>
  <c r="D128" i="32"/>
  <c r="B128" i="32"/>
  <c r="J127" i="32"/>
  <c r="D127" i="32"/>
  <c r="B127" i="32"/>
  <c r="C121" i="32"/>
  <c r="D118" i="32"/>
  <c r="D119" i="32" s="1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A6" i="32"/>
  <c r="C12" i="20"/>
  <c r="D133" i="26"/>
  <c r="D127" i="26"/>
  <c r="D126" i="26"/>
  <c r="D125" i="26"/>
  <c r="C125" i="26"/>
  <c r="D124" i="26"/>
  <c r="C124" i="26"/>
  <c r="D123" i="26"/>
  <c r="D128" i="26" s="1"/>
  <c r="D129" i="26" s="1"/>
  <c r="C123" i="26"/>
  <c r="D122" i="26"/>
  <c r="H132" i="24"/>
  <c r="I122" i="24"/>
  <c r="S122" i="24"/>
  <c r="I123" i="24"/>
  <c r="S123" i="24"/>
  <c r="I124" i="24"/>
  <c r="S124" i="24"/>
  <c r="I125" i="24"/>
  <c r="S125" i="24"/>
  <c r="S128" i="24" s="1"/>
  <c r="S129" i="24" s="1"/>
  <c r="I126" i="24"/>
  <c r="S126" i="24"/>
  <c r="I127" i="24"/>
  <c r="S127" i="24"/>
  <c r="I128" i="24"/>
  <c r="I129" i="24" s="1"/>
  <c r="D127" i="24"/>
  <c r="D126" i="24"/>
  <c r="D125" i="24"/>
  <c r="C125" i="24"/>
  <c r="D124" i="24"/>
  <c r="C124" i="24"/>
  <c r="D123" i="24"/>
  <c r="D128" i="24" s="1"/>
  <c r="D129" i="24" s="1"/>
  <c r="C123" i="24"/>
  <c r="D122" i="24"/>
  <c r="L118" i="32" l="1"/>
  <c r="L119" i="32" s="1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N15" i="24" l="1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4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5" i="24"/>
  <c r="I16" i="24"/>
  <c r="I17" i="24"/>
  <c r="I18" i="24"/>
  <c r="I14" i="24"/>
  <c r="D52" i="24" l="1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D47" i="24"/>
  <c r="S47" i="24" s="1"/>
  <c r="D48" i="24"/>
  <c r="S48" i="24" s="1"/>
  <c r="D49" i="24"/>
  <c r="S49" i="24" s="1"/>
  <c r="D50" i="24"/>
  <c r="S50" i="24" s="1"/>
  <c r="D51" i="24"/>
  <c r="S51" i="24" s="1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17" i="24"/>
  <c r="S17" i="24" s="1"/>
  <c r="D18" i="24"/>
  <c r="S18" i="24" s="1"/>
  <c r="D19" i="24"/>
  <c r="S19" i="24" s="1"/>
  <c r="X19" i="24" s="1"/>
  <c r="D20" i="24"/>
  <c r="S20" i="24" s="1"/>
  <c r="X20" i="24" s="1"/>
  <c r="D21" i="24"/>
  <c r="S21" i="24" s="1"/>
  <c r="D22" i="24"/>
  <c r="S22" i="24" s="1"/>
  <c r="D23" i="24"/>
  <c r="S23" i="24" s="1"/>
  <c r="X23" i="24" s="1"/>
  <c r="D15" i="24"/>
  <c r="S15" i="24" s="1"/>
  <c r="X15" i="24" s="1"/>
  <c r="D16" i="24"/>
  <c r="S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C119" i="28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G46" i="19" s="1"/>
  <c r="J32" i="15"/>
  <c r="D47" i="19" s="1"/>
  <c r="J33" i="15"/>
  <c r="D48" i="19" s="1"/>
  <c r="J34" i="15"/>
  <c r="D49" i="19" s="1"/>
  <c r="G49" i="19" s="1"/>
  <c r="J35" i="15"/>
  <c r="D50" i="19" s="1"/>
  <c r="G50" i="19" s="1"/>
  <c r="J36" i="15"/>
  <c r="D51" i="19" s="1"/>
  <c r="J37" i="15"/>
  <c r="D52" i="19" s="1"/>
  <c r="J38" i="15"/>
  <c r="D53" i="19" s="1"/>
  <c r="G53" i="19" s="1"/>
  <c r="J39" i="15"/>
  <c r="D54" i="19" s="1"/>
  <c r="G54" i="19" s="1"/>
  <c r="J40" i="15"/>
  <c r="D55" i="19" s="1"/>
  <c r="J41" i="15"/>
  <c r="D56" i="19" s="1"/>
  <c r="J42" i="15"/>
  <c r="D57" i="19" s="1"/>
  <c r="G57" i="19" s="1"/>
  <c r="J43" i="15"/>
  <c r="D58" i="19" s="1"/>
  <c r="G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21" i="24" l="1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I144" i="26"/>
  <c r="I143" i="26"/>
  <c r="D144" i="26"/>
  <c r="D143" i="26"/>
  <c r="A144" i="26"/>
  <c r="A143" i="26"/>
  <c r="X14" i="24" l="1"/>
  <c r="X122" i="24" s="1"/>
  <c r="N143" i="24"/>
  <c r="N142" i="24"/>
  <c r="D143" i="24"/>
  <c r="D142" i="24"/>
  <c r="A143" i="24"/>
  <c r="A142" i="24"/>
  <c r="N13" i="24"/>
  <c r="I13" i="24"/>
  <c r="D13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S13" i="24" l="1"/>
  <c r="A18" i="31"/>
  <c r="C11" i="20" l="1"/>
  <c r="B27" i="20"/>
  <c r="B138" i="26"/>
  <c r="B136" i="24"/>
  <c r="B121" i="19"/>
  <c r="C123" i="28"/>
  <c r="C124" i="18"/>
  <c r="A123" i="15"/>
  <c r="E16" i="25"/>
  <c r="A24" i="21" s="1"/>
  <c r="A7" i="31" l="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C119" i="18"/>
  <c r="C119" i="15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K11" i="23" l="1"/>
  <c r="J11" i="23"/>
  <c r="I11" i="23"/>
  <c r="H11" i="23"/>
  <c r="G11" i="23"/>
  <c r="F11" i="23"/>
  <c r="E11" i="23"/>
  <c r="D11" i="23"/>
  <c r="C13" i="20" l="1"/>
  <c r="D131" i="24"/>
  <c r="C12" i="23" l="1"/>
  <c r="C16" i="20"/>
  <c r="X13" i="24" l="1"/>
  <c r="X127" i="24" l="1"/>
  <c r="X123" i="24"/>
  <c r="X126" i="24"/>
  <c r="X125" i="24"/>
  <c r="X124" i="24"/>
  <c r="E131" i="24" s="1"/>
  <c r="F131" i="24" s="1"/>
  <c r="X128" i="24" l="1"/>
  <c r="X129" i="24" s="1"/>
</calcChain>
</file>

<file path=xl/sharedStrings.xml><?xml version="1.0" encoding="utf-8"?>
<sst xmlns="http://schemas.openxmlformats.org/spreadsheetml/2006/main" count="981" uniqueCount="230">
  <si>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</si>
  <si>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</si>
  <si>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</si>
  <si>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</si>
  <si>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</si>
  <si>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</si>
  <si>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</si>
  <si>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</si>
  <si>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</si>
  <si>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</si>
  <si>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</si>
  <si>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</si>
  <si>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</si>
  <si>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</si>
  <si>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</si>
  <si>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</si>
  <si>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</si>
  <si>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</si>
  <si>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</si>
  <si>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</si>
  <si>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</si>
  <si>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</si>
  <si>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</si>
  <si>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Average Mapping (M)</t>
  </si>
  <si>
    <t>No of Students (y)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</si>
  <si>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</si>
  <si>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</si>
  <si>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</si>
  <si>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</si>
  <si>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</si>
  <si>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</si>
  <si>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</si>
  <si>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</si>
  <si>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</si>
  <si>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</si>
  <si>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</si>
  <si>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</si>
  <si>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</si>
  <si>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</si>
  <si>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</si>
  <si>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</si>
  <si>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</si>
  <si>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</si>
  <si>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</si>
  <si>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</si>
  <si>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</si>
  <si>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</si>
  <si>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</si>
  <si>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</si>
  <si>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</si>
  <si>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</si>
  <si>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</si>
  <si>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</si>
  <si>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</si>
  <si>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</si>
  <si>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</si>
  <si>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</si>
  <si>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</si>
  <si>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</si>
  <si>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</si>
  <si>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</si>
  <si>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</si>
  <si>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</si>
  <si>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</si>
  <si>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</si>
  <si>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</si>
  <si>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</si>
  <si>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</si>
  <si>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</si>
  <si>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</si>
  <si>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</si>
  <si>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</si>
  <si>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</si>
  <si>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</si>
  <si>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</si>
  <si>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</si>
  <si>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</si>
  <si>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</si>
  <si>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</si>
  <si>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</si>
  <si>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</si>
  <si>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</si>
  <si>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</si>
  <si>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</si>
  <si>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</si>
  <si>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</si>
  <si>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</si>
  <si>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</si>
  <si>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</si>
  <si>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</si>
  <si>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</si>
  <si>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</si>
  <si>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</si>
  <si>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CCE-III (End Term)</t>
  </si>
  <si>
    <t>CCE#3 (50)</t>
  </si>
  <si>
    <t>Final
(25)</t>
  </si>
  <si>
    <t>CCE1 (Mid Term: 30)</t>
  </si>
  <si>
    <t>CCE3 (End term:50)</t>
  </si>
  <si>
    <t>Q1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</si>
  <si>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</si>
  <si>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</si>
  <si>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Benchmark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</si>
  <si>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</si>
  <si>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</si>
  <si>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</si>
  <si>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</si>
  <si>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</si>
  <si>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</si>
  <si>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</si>
  <si>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</si>
  <si>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</si>
  <si>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</si>
  <si>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</si>
  <si>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</si>
  <si>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</si>
  <si>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</si>
  <si>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</si>
  <si>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</si>
  <si>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</si>
  <si>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</si>
  <si>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</si>
  <si>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</si>
  <si>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</si>
  <si>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</si>
  <si>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</si>
  <si>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</si>
  <si>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</si>
  <si>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</si>
  <si>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</si>
  <si>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</si>
  <si>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</si>
  <si>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</si>
  <si>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</si>
  <si>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</si>
  <si>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</si>
  <si>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</si>
  <si>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</si>
  <si>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</si>
  <si>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</si>
  <si>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</si>
  <si>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</si>
  <si>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</si>
  <si>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</si>
  <si>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</si>
  <si>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</si>
  <si>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</si>
  <si>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</si>
  <si>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</si>
  <si>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</si>
  <si>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</si>
  <si>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</si>
  <si>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</si>
  <si>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</si>
  <si>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</si>
  <si>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</si>
  <si>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</si>
  <si>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</si>
  <si>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</si>
  <si>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</si>
  <si>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</si>
  <si>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</si>
  <si>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</si>
  <si>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</si>
  <si>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</si>
  <si>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</si>
  <si>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</si>
  <si>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</si>
  <si>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</si>
  <si>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</si>
  <si>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</si>
  <si>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</si>
  <si>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</si>
  <si>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</si>
  <si>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</si>
  <si>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</si>
  <si>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</si>
  <si>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</si>
  <si>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</si>
  <si>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</si>
  <si>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</si>
  <si>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</si>
  <si>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</si>
  <si>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</si>
  <si>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</si>
  <si>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</si>
  <si>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</si>
  <si>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</si>
  <si>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</si>
  <si>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</si>
  <si>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</si>
  <si>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</si>
  <si>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</si>
  <si>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</si>
  <si>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</si>
  <si>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</si>
  <si>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</si>
  <si>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</si>
  <si>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</si>
  <si>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</si>
  <si>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</si>
  <si>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</si>
  <si>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</si>
  <si>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</si>
  <si>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</si>
  <si>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</si>
  <si>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</si>
  <si>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</si>
  <si>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</si>
  <si>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</si>
  <si>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</si>
  <si>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</si>
  <si>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</si>
  <si>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</si>
  <si>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</si>
  <si>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</si>
  <si>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</si>
  <si>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Combined Assessment Marks for COs (25)</t>
  </si>
  <si>
    <t>Narsareaddy Chude</t>
  </si>
  <si>
    <t>Mini Project</t>
  </si>
  <si>
    <t>CCE-II (Presentation)</t>
  </si>
  <si>
    <t>CCE-I (End term )</t>
  </si>
  <si>
    <t>CCE#1  (50)</t>
  </si>
  <si>
    <t>CCE#2 (25)</t>
  </si>
  <si>
    <t>Total (75)</t>
  </si>
  <si>
    <t>No of students between 40 and 50 % = (x4)</t>
  </si>
  <si>
    <t>No of students between less than 40 % = (x5)</t>
  </si>
  <si>
    <t>CO Benchmark Level</t>
  </si>
  <si>
    <t>Course Exit Survey</t>
  </si>
  <si>
    <t>Create working project using tools and techniques learnt in this semester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</si>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</sst>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1"/>
      <color rgb="FF1F1F1F"/>
      <name val="Arial"/>
      <family val="2"/>
    </font>
    <font>
      <sz val="12"/>
      <color rgb="FF1F1F1F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E3F9"/>
        <bgColor indexed="64"/>
      </patternFill>
    </fill>
    <fill>
      <patternFill patternType="solid">
        <fgColor rgb="FFEACCF4"/>
        <bgColor indexed="64"/>
      </patternFill>
    </fill>
    <fill>
      <patternFill patternType="solid">
        <fgColor rgb="FFD59B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9" fontId="14" fillId="0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2" fontId="11" fillId="0" borderId="1" xfId="2" applyNumberFormat="1" applyFont="1" applyBorder="1" applyAlignment="1" applyProtection="1">
      <alignment horizontal="center" vertical="center"/>
      <protection hidden="1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4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20" borderId="1" xfId="0" applyFont="1" applyFill="1" applyBorder="1" applyAlignment="1" applyProtection="1">
      <alignment horizontal="center" vertical="center"/>
    </xf>
    <xf numFmtId="0" fontId="56" fillId="20" borderId="1" xfId="0" applyFont="1" applyFill="1" applyBorder="1" applyAlignment="1" applyProtection="1">
      <alignment horizontal="left" vertical="center"/>
    </xf>
    <xf numFmtId="0" fontId="58" fillId="20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20" borderId="1" xfId="0" applyFont="1" applyFill="1" applyBorder="1" applyAlignment="1">
      <alignment horizontal="center" vertical="center"/>
    </xf>
    <xf numFmtId="0" fontId="56" fillId="20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20" borderId="48" xfId="0" applyFont="1" applyFill="1" applyBorder="1" applyAlignment="1">
      <alignment horizontal="left" vertical="center"/>
    </xf>
    <xf numFmtId="0" fontId="62" fillId="20" borderId="49" xfId="0" applyFont="1" applyFill="1" applyBorder="1" applyAlignment="1">
      <alignment horizontal="left" vertical="center"/>
    </xf>
    <xf numFmtId="0" fontId="62" fillId="20" borderId="50" xfId="0" applyFont="1" applyFill="1" applyBorder="1" applyAlignment="1">
      <alignment horizontal="left" vertical="center"/>
    </xf>
    <xf numFmtId="0" fontId="62" fillId="20" borderId="51" xfId="0" applyFont="1" applyFill="1" applyBorder="1" applyAlignment="1">
      <alignment horizontal="left" vertical="center"/>
    </xf>
    <xf numFmtId="0" fontId="57" fillId="20" borderId="0" xfId="0" applyFont="1" applyFill="1" applyAlignment="1">
      <alignment horizontal="center" vertical="center"/>
    </xf>
    <xf numFmtId="0" fontId="57" fillId="2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3" fillId="0" borderId="52" xfId="0" applyFont="1" applyBorder="1" applyAlignment="1">
      <alignment horizontal="right" vertical="center" wrapText="1" indent="1" readingOrder="1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16" borderId="0" xfId="0" applyFont="1" applyFill="1" applyBorder="1" applyAlignment="1">
      <alignment vertical="center" wrapText="1"/>
    </xf>
    <xf numFmtId="0" fontId="10" fillId="16" borderId="0" xfId="0" applyFont="1" applyFill="1" applyBorder="1"/>
    <xf numFmtId="0" fontId="48" fillId="16" borderId="1" xfId="0" applyFont="1" applyFill="1" applyBorder="1"/>
    <xf numFmtId="0" fontId="44" fillId="13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vertical="center" wrapText="1"/>
    </xf>
    <xf numFmtId="0" fontId="44" fillId="7" borderId="1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vertical="center" wrapText="1"/>
    </xf>
    <xf numFmtId="0" fontId="44" fillId="16" borderId="1" xfId="0" applyFont="1" applyFill="1" applyBorder="1" applyAlignment="1">
      <alignment vertical="center" wrapText="1"/>
    </xf>
    <xf numFmtId="0" fontId="16" fillId="16" borderId="1" xfId="0" applyFont="1" applyFill="1" applyBorder="1" applyAlignment="1">
      <alignment horizontal="center"/>
    </xf>
    <xf numFmtId="0" fontId="17" fillId="3" borderId="0" xfId="0" applyFont="1" applyFill="1" applyBorder="1" applyAlignment="1">
      <alignment vertical="center" wrapText="1"/>
    </xf>
    <xf numFmtId="0" fontId="10" fillId="3" borderId="0" xfId="0" applyFont="1" applyFill="1" applyBorder="1"/>
    <xf numFmtId="0" fontId="18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center"/>
    </xf>
    <xf numFmtId="0" fontId="10" fillId="3" borderId="25" xfId="0" applyFont="1" applyFill="1" applyBorder="1" applyAlignment="1"/>
    <xf numFmtId="0" fontId="10" fillId="3" borderId="29" xfId="0" applyFont="1" applyFill="1" applyBorder="1" applyAlignment="1"/>
    <xf numFmtId="0" fontId="10" fillId="3" borderId="19" xfId="0" applyFont="1" applyFill="1" applyBorder="1" applyAlignment="1"/>
    <xf numFmtId="0" fontId="10" fillId="3" borderId="27" xfId="0" applyFont="1" applyFill="1" applyBorder="1" applyAlignment="1"/>
    <xf numFmtId="9" fontId="10" fillId="3" borderId="19" xfId="0" applyNumberFormat="1" applyFont="1" applyFill="1" applyBorder="1" applyAlignment="1"/>
    <xf numFmtId="9" fontId="10" fillId="3" borderId="27" xfId="0" applyNumberFormat="1" applyFont="1" applyFill="1" applyBorder="1" applyAlignment="1"/>
    <xf numFmtId="0" fontId="10" fillId="3" borderId="41" xfId="0" applyFont="1" applyFill="1" applyBorder="1" applyAlignment="1"/>
    <xf numFmtId="0" fontId="10" fillId="3" borderId="28" xfId="0" applyFont="1" applyFill="1" applyBorder="1" applyAlignment="1"/>
    <xf numFmtId="0" fontId="10" fillId="3" borderId="0" xfId="0" applyFont="1" applyFill="1" applyBorder="1" applyAlignment="1"/>
    <xf numFmtId="0" fontId="13" fillId="13" borderId="1" xfId="0" applyFont="1" applyFill="1" applyBorder="1" applyAlignment="1">
      <alignment vertical="center" wrapText="1"/>
    </xf>
    <xf numFmtId="0" fontId="13" fillId="12" borderId="1" xfId="0" applyFont="1" applyFill="1" applyBorder="1" applyAlignment="1">
      <alignment vertical="center" wrapText="1"/>
    </xf>
    <xf numFmtId="0" fontId="13" fillId="22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2" fontId="33" fillId="5" borderId="0" xfId="0" applyNumberFormat="1" applyFont="1" applyFill="1" applyAlignment="1">
      <alignment horizontal="center" vertical="center"/>
    </xf>
    <xf numFmtId="2" fontId="14" fillId="0" borderId="1" xfId="3" applyNumberFormat="1" applyFont="1" applyFill="1" applyBorder="1" applyAlignment="1">
      <alignment horizontal="center" vertical="center" wrapText="1"/>
    </xf>
    <xf numFmtId="2" fontId="64" fillId="0" borderId="1" xfId="0" applyNumberFormat="1" applyFont="1" applyBorder="1" applyAlignment="1">
      <alignment horizontal="center" vertical="center" wrapText="1" readingOrder="1"/>
    </xf>
    <xf numFmtId="164" fontId="64" fillId="0" borderId="1" xfId="0" applyNumberFormat="1" applyFont="1" applyBorder="1" applyAlignment="1">
      <alignment horizontal="center" vertical="center" wrapText="1" readingOrder="1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3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6" fillId="0" borderId="45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53" fillId="4" borderId="1" xfId="2" applyFont="1" applyFill="1" applyBorder="1" applyAlignment="1">
      <alignment horizontal="center" vertical="center" wrapText="1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4" fillId="18" borderId="1" xfId="2" applyFont="1" applyFill="1" applyBorder="1" applyAlignment="1">
      <alignment horizontal="left" wrapText="1"/>
    </xf>
    <xf numFmtId="0" fontId="44" fillId="19" borderId="1" xfId="2" applyFont="1" applyFill="1" applyBorder="1" applyAlignment="1">
      <alignment horizontal="left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44" fillId="17" borderId="45" xfId="2" applyFont="1" applyFill="1" applyBorder="1" applyAlignment="1">
      <alignment horizontal="left"/>
    </xf>
    <xf numFmtId="0" fontId="44" fillId="17" borderId="0" xfId="2" applyFont="1" applyFill="1" applyBorder="1" applyAlignment="1">
      <alignment horizontal="left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3" fillId="0" borderId="0" xfId="4" applyFont="1" applyAlignment="1">
      <alignment horizontal="left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61" fillId="21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3" fillId="5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137</xdr:row>
      <xdr:rowOff>178998</xdr:rowOff>
    </xdr:from>
    <xdr:to>
      <xdr:col>2</xdr:col>
      <xdr:colOff>1252378</xdr:colOff>
      <xdr:row>140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137</xdr:row>
      <xdr:rowOff>36641</xdr:rowOff>
    </xdr:from>
    <xdr:to>
      <xdr:col>5</xdr:col>
      <xdr:colOff>261136</xdr:colOff>
      <xdr:row>141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136</xdr:row>
      <xdr:rowOff>106680</xdr:rowOff>
    </xdr:from>
    <xdr:to>
      <xdr:col>16</xdr:col>
      <xdr:colOff>346720</xdr:colOff>
      <xdr:row>141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138</xdr:row>
      <xdr:rowOff>190065</xdr:rowOff>
    </xdr:from>
    <xdr:to>
      <xdr:col>2</xdr:col>
      <xdr:colOff>1116977</xdr:colOff>
      <xdr:row>141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138</xdr:row>
      <xdr:rowOff>20849</xdr:rowOff>
    </xdr:from>
    <xdr:to>
      <xdr:col>5</xdr:col>
      <xdr:colOff>378351</xdr:colOff>
      <xdr:row>142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137</xdr:row>
      <xdr:rowOff>152399</xdr:rowOff>
    </xdr:from>
    <xdr:to>
      <xdr:col>10</xdr:col>
      <xdr:colOff>1097</xdr:colOff>
      <xdr:row>142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122231</xdr:colOff>
      <xdr:row>0</xdr:row>
      <xdr:rowOff>0</xdr:rowOff>
    </xdr:from>
    <xdr:to>
      <xdr:col>1</xdr:col>
      <xdr:colOff>684679</xdr:colOff>
      <xdr:row>4</xdr:row>
      <xdr:rowOff>56295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1" y="0"/>
          <a:ext cx="972023" cy="81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635935</xdr:colOff>
      <xdr:row>122</xdr:row>
      <xdr:rowOff>114300</xdr:rowOff>
    </xdr:from>
    <xdr:to>
      <xdr:col>2</xdr:col>
      <xdr:colOff>2681031</xdr:colOff>
      <xdr:row>125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60" y="26384250"/>
          <a:ext cx="2045096" cy="54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258410</xdr:colOff>
      <xdr:row>122</xdr:row>
      <xdr:rowOff>123825</xdr:rowOff>
    </xdr:from>
    <xdr:to>
      <xdr:col>6</xdr:col>
      <xdr:colOff>262281</xdr:colOff>
      <xdr:row>125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5" y="26393775"/>
          <a:ext cx="1461196" cy="52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123</xdr:row>
      <xdr:rowOff>9524</xdr:rowOff>
    </xdr:from>
    <xdr:to>
      <xdr:col>11</xdr:col>
      <xdr:colOff>559238</xdr:colOff>
      <xdr:row>125</xdr:row>
      <xdr:rowOff>171545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6479499"/>
          <a:ext cx="2147232" cy="5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50)" dataDxfId="4">
      <calculatedColumnFormula>'CCE1'!J11</calculatedColumnFormula>
    </tableColumn>
    <tableColumn id="5" name="CCE#2 (25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75)" dataDxfId="1">
      <calculatedColumnFormula>SUM(Table3[[#This Row],[CCE'#1  (50)]:[CCE'#3 (50)]])</calculatedColumnFormula>
    </tableColumn>
    <tableColumn id="7" name="Final_x000a_(25)" dataDxfId="0">
      <calculatedColumnFormula>Table3[[#This Row],[Total (75)]]/('CCE1'!$J$9+'CCE2'!$L$9+'CCE3'!$N$9)*25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C16" sqref="C16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20" t="s">
        <v>71</v>
      </c>
      <c r="B1" s="220"/>
      <c r="C1" s="220"/>
      <c r="D1" s="220"/>
      <c r="E1" s="220"/>
      <c r="F1" s="220"/>
      <c r="G1" s="220"/>
      <c r="H1" s="220"/>
      <c r="I1" s="9"/>
      <c r="J1" s="9"/>
    </row>
    <row r="2" spans="1:10" ht="21" customHeight="1">
      <c r="A2" s="221" t="s">
        <v>72</v>
      </c>
      <c r="B2" s="221"/>
      <c r="C2" s="221"/>
      <c r="D2" s="221"/>
      <c r="E2" s="221"/>
      <c r="F2" s="221"/>
      <c r="G2" s="221"/>
      <c r="H2" s="221"/>
      <c r="I2" s="10"/>
      <c r="J2" s="10"/>
    </row>
    <row r="3" spans="1:10" ht="13.9" customHeight="1">
      <c r="A3" s="222" t="s">
        <v>73</v>
      </c>
      <c r="B3" s="222"/>
      <c r="C3" s="222"/>
      <c r="D3" s="222"/>
      <c r="E3" s="222"/>
      <c r="F3" s="222"/>
      <c r="G3" s="222"/>
      <c r="H3" s="222"/>
      <c r="I3" s="11"/>
      <c r="J3" s="11"/>
    </row>
    <row r="4" spans="1:10" ht="13.9" customHeight="1">
      <c r="A4" s="222" t="s">
        <v>9</v>
      </c>
      <c r="B4" s="222"/>
      <c r="C4" s="222"/>
      <c r="D4" s="222"/>
      <c r="E4" s="222"/>
      <c r="F4" s="222"/>
      <c r="G4" s="222"/>
      <c r="H4" s="222"/>
      <c r="I4" s="11"/>
      <c r="J4" s="11"/>
    </row>
    <row r="5" spans="1:10">
      <c r="A5" s="223"/>
      <c r="B5" s="224"/>
      <c r="C5" s="224"/>
      <c r="D5" s="224"/>
      <c r="E5" s="224"/>
      <c r="F5" s="224"/>
      <c r="G5" s="224"/>
      <c r="H5" s="225"/>
    </row>
    <row r="6" spans="1:10" ht="15.75">
      <c r="A6" s="84" t="s">
        <v>32</v>
      </c>
      <c r="B6" s="219" t="s">
        <v>217</v>
      </c>
      <c r="C6" s="219"/>
      <c r="D6" s="219"/>
      <c r="E6" s="219"/>
      <c r="F6" s="219"/>
      <c r="G6" s="219"/>
      <c r="H6" s="219"/>
    </row>
    <row r="7" spans="1:10" ht="15.75">
      <c r="A7" s="84" t="s">
        <v>46</v>
      </c>
      <c r="B7" s="226" t="s">
        <v>82</v>
      </c>
      <c r="C7" s="227"/>
      <c r="D7" s="227"/>
      <c r="E7" s="227"/>
      <c r="F7" s="227"/>
      <c r="G7" s="227"/>
      <c r="H7" s="228"/>
    </row>
    <row r="8" spans="1:10" ht="15.75">
      <c r="A8" s="84" t="s">
        <v>33</v>
      </c>
      <c r="B8" s="219" t="s">
        <v>218</v>
      </c>
      <c r="C8" s="219"/>
      <c r="D8" s="219"/>
      <c r="E8" s="219"/>
      <c r="F8" s="219"/>
      <c r="G8" s="219"/>
      <c r="H8" s="219"/>
    </row>
    <row r="9" spans="1:10" ht="15.75">
      <c r="A9" s="84" t="s">
        <v>35</v>
      </c>
      <c r="B9" s="219" t="s">
        <v>36</v>
      </c>
      <c r="C9" s="219"/>
      <c r="D9" s="219"/>
      <c r="E9" s="219"/>
      <c r="F9" s="219"/>
      <c r="G9" s="219"/>
      <c r="H9" s="219"/>
    </row>
    <row r="10" spans="1:10" ht="15.75">
      <c r="A10" s="84" t="s">
        <v>34</v>
      </c>
      <c r="B10" s="219" t="s">
        <v>106</v>
      </c>
      <c r="C10" s="219"/>
      <c r="D10" s="219"/>
      <c r="E10" s="219"/>
      <c r="F10" s="219"/>
      <c r="G10" s="219"/>
      <c r="H10" s="219"/>
    </row>
    <row r="11" spans="1:10" ht="15.75">
      <c r="A11" s="84" t="s">
        <v>37</v>
      </c>
      <c r="B11" s="219"/>
      <c r="C11" s="219"/>
      <c r="D11" s="219"/>
      <c r="E11" s="219"/>
      <c r="F11" s="219"/>
      <c r="G11" s="219"/>
      <c r="H11" s="219"/>
    </row>
    <row r="13" spans="1:10">
      <c r="B13" s="85" t="s">
        <v>74</v>
      </c>
      <c r="C13" s="85" t="s">
        <v>75</v>
      </c>
    </row>
    <row r="14" spans="1:10" ht="15.75">
      <c r="A14" s="84" t="s">
        <v>38</v>
      </c>
      <c r="B14" s="87">
        <v>0.6</v>
      </c>
      <c r="C14" s="86">
        <v>75</v>
      </c>
    </row>
    <row r="15" spans="1:10" ht="15.75">
      <c r="A15" s="84" t="s">
        <v>39</v>
      </c>
      <c r="B15" s="87">
        <v>0.4</v>
      </c>
      <c r="C15" s="86">
        <v>50</v>
      </c>
    </row>
    <row r="16" spans="1:10" ht="14.25">
      <c r="E16" s="216" t="str">
        <f>Faculty</f>
        <v>Narsareaddy Chude</v>
      </c>
      <c r="F16" s="216"/>
      <c r="G16" s="216"/>
    </row>
    <row r="17" spans="1:15" ht="15.75">
      <c r="A17" s="84" t="s">
        <v>40</v>
      </c>
      <c r="B17" s="87">
        <v>0.8</v>
      </c>
      <c r="E17" s="216" t="s">
        <v>76</v>
      </c>
      <c r="F17" s="216"/>
      <c r="G17" s="216"/>
    </row>
    <row r="18" spans="1:15" ht="15.75">
      <c r="A18" s="84" t="s">
        <v>41</v>
      </c>
      <c r="B18" s="87">
        <v>0.2</v>
      </c>
    </row>
    <row r="23" spans="1:15" ht="18.75">
      <c r="O23" s="78"/>
    </row>
    <row r="24" spans="1:15" ht="18.75">
      <c r="A24" s="217" t="s">
        <v>83</v>
      </c>
      <c r="B24" s="217"/>
      <c r="C24" s="217"/>
      <c r="D24" s="80"/>
      <c r="E24" s="218" t="s">
        <v>77</v>
      </c>
      <c r="F24" s="218"/>
      <c r="H24" s="218" t="s">
        <v>78</v>
      </c>
      <c r="I24" s="218"/>
      <c r="J24" s="218"/>
      <c r="K24" s="98"/>
      <c r="L24" s="80"/>
      <c r="M24" s="80"/>
      <c r="O24" s="78"/>
    </row>
    <row r="25" spans="1:15" ht="15.75">
      <c r="A25" s="217" t="s">
        <v>8</v>
      </c>
      <c r="B25" s="217"/>
      <c r="C25" s="217"/>
      <c r="D25" s="80"/>
      <c r="E25" s="218" t="s">
        <v>84</v>
      </c>
      <c r="F25" s="218"/>
      <c r="H25" s="218" t="s">
        <v>69</v>
      </c>
      <c r="I25" s="218"/>
      <c r="J25" s="218"/>
    </row>
    <row r="27" spans="1:15" ht="15.75">
      <c r="A27" s="80"/>
      <c r="B27" s="80"/>
      <c r="G27" s="2"/>
      <c r="H27" s="2"/>
      <c r="K27" s="80"/>
      <c r="M27" s="80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B6:H6"/>
    <mergeCell ref="B8:H8"/>
    <mergeCell ref="B9:H9"/>
    <mergeCell ref="B10:H10"/>
    <mergeCell ref="B7:H7"/>
    <mergeCell ref="A1:H1"/>
    <mergeCell ref="A2:H2"/>
    <mergeCell ref="A3:H3"/>
    <mergeCell ref="A4:H4"/>
    <mergeCell ref="A5:H5"/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C11" sqref="C11:N15"/>
    </sheetView>
  </sheetViews>
  <sheetFormatPr defaultColWidth="8.85546875" defaultRowHeight="15"/>
  <cols>
    <col min="1" max="1" width="17.7109375" style="35" customWidth="1"/>
    <col min="2" max="2" width="13.42578125" style="34" customWidth="1"/>
    <col min="3" max="3" width="11.5703125" style="34" customWidth="1"/>
    <col min="4" max="4" width="10.42578125" style="34" customWidth="1"/>
    <col min="5" max="5" width="11.42578125" style="34" customWidth="1"/>
    <col min="6" max="16384" width="8.85546875" style="34"/>
  </cols>
  <sheetData>
    <row r="1" spans="1:14" customFormat="1" ht="24.6" customHeight="1">
      <c r="A1" s="235" t="s">
        <v>71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customFormat="1" ht="21" customHeight="1">
      <c r="A2" s="237" t="s">
        <v>72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</row>
    <row r="3" spans="1:14" customFormat="1" ht="13.9" customHeight="1">
      <c r="A3" s="239" t="s">
        <v>73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</row>
    <row r="4" spans="1:14" customFormat="1" ht="13.9" customHeight="1">
      <c r="A4" s="239" t="s">
        <v>9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</row>
    <row r="5" spans="1:14" ht="17.45" customHeight="1">
      <c r="A5" s="229" t="str">
        <f>CONCATENATE("Faculty Name: ", Faculty)</f>
        <v>Faculty Name: Narsareaddy Chude</v>
      </c>
      <c r="B5" s="230"/>
      <c r="C5" s="230"/>
      <c r="D5" s="231"/>
      <c r="E5" s="232"/>
      <c r="F5" s="233"/>
      <c r="G5" s="233"/>
      <c r="H5" s="233"/>
      <c r="I5" s="233"/>
      <c r="J5" s="233"/>
      <c r="K5" s="233"/>
      <c r="L5" s="233"/>
      <c r="M5" s="233"/>
      <c r="N5" s="234"/>
    </row>
    <row r="6" spans="1:14" ht="15.75">
      <c r="A6" s="229" t="str">
        <f>CONCATENATE("Subject Name &amp; Code: ", Sub_Code)</f>
        <v>Subject Name &amp; Code: Mini Project</v>
      </c>
      <c r="B6" s="230"/>
      <c r="C6" s="230"/>
      <c r="D6" s="231"/>
      <c r="E6" s="232"/>
      <c r="F6" s="233"/>
      <c r="G6" s="233"/>
      <c r="H6" s="233"/>
      <c r="I6" s="233"/>
      <c r="J6" s="233"/>
      <c r="K6" s="233"/>
      <c r="L6" s="233"/>
      <c r="M6" s="233"/>
      <c r="N6" s="234"/>
    </row>
    <row r="7" spans="1:14" ht="15.75">
      <c r="A7" s="229" t="str">
        <f>CONCATENATE("Class: ",Class_AY)</f>
        <v>Class: MCA I SEM I AY 2023-24</v>
      </c>
      <c r="B7" s="230"/>
      <c r="C7" s="230"/>
      <c r="D7" s="231"/>
      <c r="E7" s="232"/>
      <c r="F7" s="233"/>
      <c r="G7" s="233"/>
      <c r="H7" s="233"/>
      <c r="I7" s="233"/>
      <c r="J7" s="233"/>
      <c r="K7" s="233"/>
      <c r="L7" s="233"/>
      <c r="M7" s="233"/>
      <c r="N7" s="234"/>
    </row>
    <row r="8" spans="1:14">
      <c r="A8" s="8"/>
      <c r="B8" s="8"/>
      <c r="C8" s="8"/>
      <c r="D8" s="8"/>
      <c r="E8" s="8"/>
    </row>
    <row r="9" spans="1:14" ht="35.450000000000003" customHeight="1">
      <c r="A9" s="246" t="s">
        <v>57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</row>
    <row r="10" spans="1:14" ht="40.9" customHeight="1">
      <c r="A10" s="242" t="s">
        <v>58</v>
      </c>
      <c r="B10" s="242"/>
      <c r="C10" s="247" t="s">
        <v>64</v>
      </c>
      <c r="D10" s="248"/>
      <c r="E10" s="248"/>
      <c r="F10" s="242" t="s">
        <v>65</v>
      </c>
      <c r="G10" s="242"/>
      <c r="H10" s="242"/>
      <c r="I10" s="242" t="s">
        <v>66</v>
      </c>
      <c r="J10" s="242"/>
      <c r="K10" s="242"/>
      <c r="L10" s="243" t="s">
        <v>67</v>
      </c>
      <c r="M10" s="243"/>
      <c r="N10" s="243"/>
    </row>
    <row r="11" spans="1:14" ht="40.15" customHeight="1">
      <c r="A11" s="245" t="s">
        <v>59</v>
      </c>
      <c r="B11" s="245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</row>
    <row r="12" spans="1:14" ht="40.15" customHeight="1">
      <c r="A12" s="245" t="s">
        <v>60</v>
      </c>
      <c r="B12" s="245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</row>
    <row r="13" spans="1:14" ht="40.15" customHeight="1">
      <c r="A13" s="244" t="s">
        <v>61</v>
      </c>
      <c r="B13" s="244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</row>
    <row r="14" spans="1:14" ht="40.15" customHeight="1">
      <c r="A14" s="245" t="s">
        <v>62</v>
      </c>
      <c r="B14" s="245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</row>
    <row r="15" spans="1:14" ht="40.15" customHeight="1">
      <c r="A15" s="245" t="s">
        <v>63</v>
      </c>
      <c r="B15" s="245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</row>
    <row r="18" spans="1:15">
      <c r="A18" s="216" t="str">
        <f>Faculty</f>
        <v>Narsareaddy Chude</v>
      </c>
      <c r="B18" s="216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16" t="s">
        <v>76</v>
      </c>
      <c r="B19" s="216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78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78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17" t="str">
        <f>SubjectDetails!$A$24</f>
        <v>Dr. Ravi Chourasiya</v>
      </c>
      <c r="B24" s="217"/>
      <c r="C24" s="217"/>
      <c r="D24"/>
      <c r="E24" s="249" t="str">
        <f>SubjectDetails!$E$24</f>
        <v>Dr. Ashwini Chavan</v>
      </c>
      <c r="F24" s="249"/>
      <c r="G24"/>
      <c r="H24"/>
      <c r="I24" s="218" t="str">
        <f>SubjectDetails!$H$24</f>
        <v>Dr. Priyanka Singh</v>
      </c>
      <c r="J24" s="218"/>
      <c r="K24" s="80"/>
      <c r="L24"/>
      <c r="M24" s="80"/>
      <c r="N24" s="47"/>
      <c r="O24"/>
    </row>
    <row r="25" spans="1:15" ht="15.75">
      <c r="A25" s="217" t="str">
        <f>SubjectDetails!$A$25</f>
        <v>(College Examination Officer)</v>
      </c>
      <c r="B25" s="217"/>
      <c r="C25" s="217"/>
      <c r="D25"/>
      <c r="E25" s="249" t="str">
        <f>SubjectDetails!$E$25</f>
        <v>HOD (MCA)</v>
      </c>
      <c r="F25" s="249"/>
      <c r="G25"/>
      <c r="H25"/>
      <c r="I25" s="218" t="str">
        <f>SubjectDetails!$H$25</f>
        <v>Director</v>
      </c>
      <c r="J25" s="218"/>
      <c r="K25" s="80"/>
      <c r="L25"/>
      <c r="M25" s="80"/>
      <c r="N25" s="47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A13:B13"/>
    <mergeCell ref="A14:B14"/>
    <mergeCell ref="C13:E13"/>
    <mergeCell ref="C14:E14"/>
    <mergeCell ref="C15:E1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:N1"/>
    <mergeCell ref="A2:N2"/>
    <mergeCell ref="A3:N3"/>
    <mergeCell ref="A4:N4"/>
    <mergeCell ref="A5:D5"/>
    <mergeCell ref="A6:D6"/>
    <mergeCell ref="A7:D7"/>
    <mergeCell ref="E5:N5"/>
    <mergeCell ref="E6:N6"/>
    <mergeCell ref="E7:N7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16" zoomScale="85" zoomScaleNormal="85" workbookViewId="0">
      <selection activeCell="B12" sqref="B12:I12"/>
    </sheetView>
  </sheetViews>
  <sheetFormatPr defaultColWidth="8.85546875" defaultRowHeight="15"/>
  <cols>
    <col min="1" max="1" width="8.85546875" style="35"/>
    <col min="2" max="16384" width="8.85546875" style="34"/>
  </cols>
  <sheetData>
    <row r="1" spans="1:27" customFormat="1" ht="24.6" customHeight="1">
      <c r="A1" s="220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</row>
    <row r="2" spans="1:27" customFormat="1" ht="21" customHeight="1">
      <c r="A2" s="221" t="s">
        <v>72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</row>
    <row r="3" spans="1:27" customFormat="1" ht="13.9" customHeight="1">
      <c r="A3" s="222" t="s">
        <v>73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</row>
    <row r="4" spans="1:27" customFormat="1" ht="13.9" customHeight="1">
      <c r="A4" s="222" t="s">
        <v>9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</row>
    <row r="5" spans="1:27" customFormat="1" ht="13.9" customHeight="1">
      <c r="A5" s="262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4"/>
    </row>
    <row r="6" spans="1:27" ht="18.75">
      <c r="A6" s="29" t="str">
        <f>CONCATENATE("Faculty Name: ", Faculty)</f>
        <v>Faculty Name: Narsareaddy Chude</v>
      </c>
      <c r="B6" s="12"/>
      <c r="C6" s="12"/>
      <c r="D6" s="12"/>
      <c r="E6" s="12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27" ht="18.75">
      <c r="A7" s="29" t="str">
        <f>CONCATENATE("Subject Name &amp; Code: ", Sub_Code)</f>
        <v>Subject Name &amp; Code: Mini Project</v>
      </c>
      <c r="B7" s="12"/>
      <c r="C7" s="12"/>
      <c r="D7" s="12"/>
      <c r="E7" s="12"/>
      <c r="F7" s="12"/>
      <c r="G7" s="12"/>
      <c r="H7" s="33"/>
      <c r="I7" s="33"/>
      <c r="J7" s="33"/>
      <c r="K7" s="33"/>
      <c r="L7" s="33"/>
      <c r="M7" s="33"/>
      <c r="N7" s="33"/>
      <c r="O7" s="33"/>
      <c r="P7" s="33"/>
    </row>
    <row r="8" spans="1:27" ht="15.75">
      <c r="A8" s="29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59" t="s">
        <v>80</v>
      </c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</row>
    <row r="10" spans="1:27" ht="55.15" customHeight="1">
      <c r="A10" s="265" t="s">
        <v>79</v>
      </c>
      <c r="B10" s="265"/>
      <c r="C10" s="265"/>
      <c r="D10" s="265"/>
      <c r="E10" s="265"/>
      <c r="F10" s="265"/>
      <c r="G10" s="265"/>
      <c r="H10" s="265"/>
      <c r="I10" s="265"/>
      <c r="J10" s="111"/>
      <c r="K10" s="260" t="s">
        <v>85</v>
      </c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</row>
    <row r="11" spans="1:27" ht="32.450000000000003" customHeight="1">
      <c r="A11" s="59"/>
      <c r="B11" s="58" t="s">
        <v>14</v>
      </c>
      <c r="C11" s="58" t="s">
        <v>15</v>
      </c>
      <c r="D11" s="58" t="s">
        <v>16</v>
      </c>
      <c r="E11" s="58" t="s">
        <v>17</v>
      </c>
      <c r="F11" s="58" t="s">
        <v>18</v>
      </c>
      <c r="G11" s="58" t="s">
        <v>19</v>
      </c>
      <c r="H11" s="58" t="s">
        <v>20</v>
      </c>
      <c r="I11" s="58" t="s">
        <v>21</v>
      </c>
      <c r="J11" s="108"/>
      <c r="K11" s="260" t="s">
        <v>86</v>
      </c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AA11" s="23"/>
    </row>
    <row r="12" spans="1:27" ht="19.899999999999999" customHeight="1" thickBot="1">
      <c r="A12" s="58" t="s">
        <v>2</v>
      </c>
      <c r="B12" s="183">
        <v>3</v>
      </c>
      <c r="C12" s="183">
        <v>3</v>
      </c>
      <c r="D12" s="183">
        <v>3</v>
      </c>
      <c r="E12" s="183">
        <v>3</v>
      </c>
      <c r="F12" s="183">
        <v>3</v>
      </c>
      <c r="G12" s="183">
        <v>3</v>
      </c>
      <c r="H12" s="183">
        <v>3</v>
      </c>
      <c r="I12" s="183">
        <v>3</v>
      </c>
      <c r="J12" s="109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AA12" s="55"/>
    </row>
    <row r="13" spans="1:27" ht="27" customHeight="1" thickBot="1">
      <c r="A13" s="58" t="s">
        <v>3</v>
      </c>
      <c r="B13" s="177"/>
      <c r="C13" s="177"/>
      <c r="D13" s="177"/>
      <c r="E13" s="177"/>
      <c r="F13" s="177"/>
      <c r="G13" s="177"/>
      <c r="H13" s="177"/>
      <c r="I13" s="177"/>
      <c r="J13" s="109"/>
      <c r="K13" s="260" t="s">
        <v>87</v>
      </c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AA13" s="55"/>
    </row>
    <row r="14" spans="1:27" ht="24.6" customHeight="1" thickBot="1">
      <c r="A14" s="58" t="s">
        <v>4</v>
      </c>
      <c r="B14" s="177"/>
      <c r="C14" s="177"/>
      <c r="D14" s="177"/>
      <c r="E14" s="177"/>
      <c r="F14" s="177"/>
      <c r="G14" s="177"/>
      <c r="H14" s="177"/>
      <c r="I14" s="177"/>
      <c r="J14" s="109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AA14" s="55"/>
    </row>
    <row r="15" spans="1:27" ht="19.899999999999999" customHeight="1" thickBot="1">
      <c r="A15" s="58" t="s">
        <v>10</v>
      </c>
      <c r="B15" s="177"/>
      <c r="C15" s="177"/>
      <c r="D15" s="177"/>
      <c r="E15" s="177"/>
      <c r="F15" s="177"/>
      <c r="G15" s="177"/>
      <c r="H15" s="177"/>
      <c r="I15" s="177"/>
      <c r="J15" s="109"/>
      <c r="K15" s="261" t="s">
        <v>88</v>
      </c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AA15" s="55"/>
    </row>
    <row r="16" spans="1:27" ht="29.45" customHeight="1" thickBot="1">
      <c r="A16" s="58" t="s">
        <v>12</v>
      </c>
      <c r="B16" s="177"/>
      <c r="C16" s="177"/>
      <c r="D16" s="177"/>
      <c r="E16" s="177"/>
      <c r="F16" s="177"/>
      <c r="G16" s="177"/>
      <c r="H16" s="177"/>
      <c r="I16" s="177"/>
      <c r="J16" s="109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AA16" s="55"/>
    </row>
    <row r="17" spans="1:27" ht="19.899999999999999" customHeight="1">
      <c r="A17" s="58"/>
      <c r="B17" s="92"/>
      <c r="C17" s="92"/>
      <c r="D17" s="92"/>
      <c r="E17" s="92"/>
      <c r="F17" s="92"/>
      <c r="G17" s="92"/>
      <c r="H17" s="92"/>
      <c r="I17" s="92"/>
      <c r="J17" s="109"/>
      <c r="K17" s="270" t="s">
        <v>89</v>
      </c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AA17" s="55"/>
    </row>
    <row r="18" spans="1:27" ht="19.899999999999999" customHeight="1">
      <c r="A18" s="90" t="s">
        <v>22</v>
      </c>
      <c r="B18" s="91">
        <f>AVERAGE(B12:B17)</f>
        <v>3</v>
      </c>
      <c r="C18" s="91">
        <f t="shared" ref="C18:I18" si="0">AVERAGE(C12:C17)</f>
        <v>3</v>
      </c>
      <c r="D18" s="91">
        <f t="shared" si="0"/>
        <v>3</v>
      </c>
      <c r="E18" s="91">
        <f t="shared" si="0"/>
        <v>3</v>
      </c>
      <c r="F18" s="91">
        <f t="shared" si="0"/>
        <v>3</v>
      </c>
      <c r="G18" s="91">
        <f t="shared" si="0"/>
        <v>3</v>
      </c>
      <c r="H18" s="91">
        <f t="shared" si="0"/>
        <v>3</v>
      </c>
      <c r="I18" s="110">
        <f t="shared" si="0"/>
        <v>3</v>
      </c>
      <c r="J18" s="107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</row>
    <row r="19" spans="1:27" ht="37.9" customHeight="1">
      <c r="A19" s="266" t="s">
        <v>215</v>
      </c>
      <c r="B19" s="266"/>
      <c r="C19" s="266"/>
      <c r="D19" s="266"/>
      <c r="E19" s="266"/>
      <c r="F19" s="266"/>
      <c r="G19" s="266"/>
      <c r="H19" s="266"/>
      <c r="I19" s="266"/>
      <c r="J19" s="112"/>
      <c r="K19" s="252" t="s">
        <v>90</v>
      </c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</row>
    <row r="20" spans="1:27" ht="28.9" customHeight="1">
      <c r="A20" s="266"/>
      <c r="B20" s="266"/>
      <c r="C20" s="266"/>
      <c r="D20" s="266"/>
      <c r="E20" s="266"/>
      <c r="F20" s="266"/>
      <c r="G20" s="266"/>
      <c r="H20" s="266"/>
      <c r="I20" s="266"/>
      <c r="J20" s="112"/>
      <c r="K20" s="253" t="s">
        <v>91</v>
      </c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</row>
    <row r="21" spans="1:27" ht="13.9" customHeight="1">
      <c r="A21" s="266"/>
      <c r="B21" s="266"/>
      <c r="C21" s="266"/>
      <c r="D21" s="266"/>
      <c r="E21" s="266"/>
      <c r="F21" s="266"/>
      <c r="G21" s="266"/>
      <c r="H21" s="266"/>
      <c r="I21" s="266"/>
      <c r="J21" s="112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53" t="s">
        <v>92</v>
      </c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</row>
    <row r="24" spans="1:27" ht="17.45" customHeight="1">
      <c r="A24" s="254" t="str">
        <f>SubjectDetails!$E$16</f>
        <v>Narsareaddy Chude</v>
      </c>
      <c r="B24" s="254"/>
      <c r="C24" s="254"/>
      <c r="K24" s="256" t="s">
        <v>81</v>
      </c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</row>
    <row r="25" spans="1:27" ht="32.450000000000003" customHeight="1">
      <c r="A25" s="255" t="str">
        <f>SubjectDetails!$E$17</f>
        <v>Subject Faculty</v>
      </c>
      <c r="B25" s="255"/>
      <c r="C25" s="255"/>
      <c r="K25" s="257" t="s">
        <v>228</v>
      </c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</row>
    <row r="26" spans="1:27" ht="34.9" customHeight="1"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</row>
    <row r="27" spans="1:27" ht="36" customHeight="1"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</row>
    <row r="28" spans="1:27" ht="36.6" customHeight="1">
      <c r="A28" s="217" t="str">
        <f>SubjectDetails!$A$24</f>
        <v>Dr. Ravi Chourasiya</v>
      </c>
      <c r="B28" s="217"/>
      <c r="C28" s="217"/>
      <c r="D28"/>
      <c r="E28" s="249" t="str">
        <f>SubjectDetails!$E$24</f>
        <v>Dr. Ashwini Chavan</v>
      </c>
      <c r="F28" s="249"/>
      <c r="G28" s="249"/>
      <c r="H28"/>
      <c r="I28" s="218" t="str">
        <f>SubjectDetails!$H$24</f>
        <v>Dr. Priyanka Singh</v>
      </c>
      <c r="J28" s="218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</row>
    <row r="29" spans="1:27" ht="32.450000000000003" customHeight="1">
      <c r="A29" s="268" t="str">
        <f>SubjectDetails!$A$25</f>
        <v>(College Examination Officer)</v>
      </c>
      <c r="B29" s="268"/>
      <c r="C29" s="268"/>
      <c r="D29"/>
      <c r="E29" s="269" t="str">
        <f>SubjectDetails!$E$25</f>
        <v>HOD (MCA)</v>
      </c>
      <c r="F29" s="269"/>
      <c r="G29" s="269"/>
      <c r="H29"/>
      <c r="I29" s="267" t="str">
        <f>SubjectDetails!$H$25</f>
        <v>Director</v>
      </c>
      <c r="J29" s="267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</row>
    <row r="30" spans="1:27" ht="17.45" customHeight="1"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</row>
    <row r="31" spans="1:27" ht="21" customHeight="1"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  <mergeCell ref="K9:W9"/>
    <mergeCell ref="K10:W10"/>
    <mergeCell ref="K11:W12"/>
    <mergeCell ref="K13:W14"/>
    <mergeCell ref="K15:W16"/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9"/>
  <sheetViews>
    <sheetView workbookViewId="0">
      <selection activeCell="D11" sqref="D11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35" t="s">
        <v>71</v>
      </c>
      <c r="B1" s="236"/>
      <c r="C1" s="236"/>
      <c r="D1" s="236"/>
      <c r="E1" s="236"/>
      <c r="F1" s="236"/>
      <c r="G1" s="236"/>
      <c r="H1" s="236"/>
      <c r="I1" s="236"/>
      <c r="J1" s="236"/>
      <c r="K1" s="93"/>
      <c r="L1" s="93"/>
      <c r="M1" s="93"/>
      <c r="N1" s="93"/>
    </row>
    <row r="2" spans="1:14" customFormat="1" ht="21" customHeight="1">
      <c r="A2" s="237" t="s">
        <v>72</v>
      </c>
      <c r="B2" s="238"/>
      <c r="C2" s="238"/>
      <c r="D2" s="238"/>
      <c r="E2" s="238"/>
      <c r="F2" s="238"/>
      <c r="G2" s="238"/>
      <c r="H2" s="238"/>
      <c r="I2" s="238"/>
      <c r="J2" s="238"/>
      <c r="K2" s="94"/>
      <c r="L2" s="94"/>
      <c r="M2" s="94"/>
      <c r="N2" s="94"/>
    </row>
    <row r="3" spans="1:14" customFormat="1" ht="13.9" customHeight="1">
      <c r="A3" s="239" t="s">
        <v>73</v>
      </c>
      <c r="B3" s="240"/>
      <c r="C3" s="240"/>
      <c r="D3" s="240"/>
      <c r="E3" s="240"/>
      <c r="F3" s="240"/>
      <c r="G3" s="240"/>
      <c r="H3" s="240"/>
      <c r="I3" s="240"/>
      <c r="J3" s="240"/>
      <c r="K3" s="95"/>
      <c r="L3" s="95"/>
      <c r="M3" s="95"/>
      <c r="N3" s="95"/>
    </row>
    <row r="4" spans="1:14" customFormat="1" ht="13.9" customHeight="1" thickBot="1">
      <c r="A4" s="274" t="s">
        <v>9</v>
      </c>
      <c r="B4" s="275"/>
      <c r="C4" s="275"/>
      <c r="D4" s="275"/>
      <c r="E4" s="275"/>
      <c r="F4" s="275"/>
      <c r="G4" s="275"/>
      <c r="H4" s="275"/>
      <c r="I4" s="275"/>
      <c r="J4" s="275"/>
      <c r="K4" s="95"/>
      <c r="L4" s="95"/>
      <c r="M4" s="95"/>
      <c r="N4" s="95"/>
    </row>
    <row r="5" spans="1:14" ht="30.4" customHeight="1">
      <c r="A5" s="276" t="s">
        <v>5</v>
      </c>
      <c r="B5" s="277"/>
      <c r="C5" s="277"/>
      <c r="D5" s="277"/>
      <c r="E5" s="277"/>
      <c r="F5" s="277"/>
      <c r="G5" s="277"/>
      <c r="H5" s="277"/>
      <c r="I5" s="277"/>
      <c r="J5" s="278"/>
    </row>
    <row r="6" spans="1:14" ht="21" customHeight="1">
      <c r="A6" s="279" t="str">
        <f>CONCATENATE(Class," ", spl)</f>
        <v xml:space="preserve">MCA I SEM I AY 2023-24 </v>
      </c>
      <c r="B6" s="279"/>
      <c r="C6" s="96" t="str">
        <f>CONCATENATE("Name of Faculty: ", Faculty)</f>
        <v>Name of Faculty: Narsareaddy Chude</v>
      </c>
      <c r="D6" s="282" t="str">
        <f>CONCATENATE("Course Name: ", Sub_Code)</f>
        <v>Course Name: Mini Project</v>
      </c>
      <c r="E6" s="283"/>
      <c r="F6" s="283"/>
      <c r="G6" s="283"/>
      <c r="H6" s="283"/>
      <c r="I6" s="283"/>
      <c r="J6" s="284"/>
    </row>
    <row r="7" spans="1:14" ht="21" customHeight="1">
      <c r="A7" s="285" t="s">
        <v>0</v>
      </c>
      <c r="B7" s="285" t="s">
        <v>6</v>
      </c>
      <c r="C7" s="285" t="s">
        <v>1</v>
      </c>
      <c r="D7" s="281" t="s">
        <v>220</v>
      </c>
      <c r="E7" s="281"/>
      <c r="F7" s="281"/>
      <c r="G7" s="281"/>
      <c r="H7" s="281"/>
      <c r="I7" s="281"/>
      <c r="J7" s="280" t="s">
        <v>47</v>
      </c>
    </row>
    <row r="8" spans="1:14" s="36" customFormat="1" ht="19.899999999999999" customHeight="1">
      <c r="A8" s="287"/>
      <c r="B8" s="287"/>
      <c r="C8" s="286"/>
      <c r="D8" s="115" t="s">
        <v>98</v>
      </c>
      <c r="E8" s="115"/>
      <c r="F8" s="115"/>
      <c r="G8" s="115"/>
      <c r="H8" s="115"/>
      <c r="I8" s="115"/>
      <c r="J8" s="280"/>
    </row>
    <row r="9" spans="1:14" s="36" customFormat="1" ht="20.25">
      <c r="A9" s="287"/>
      <c r="B9" s="287"/>
      <c r="C9" s="82" t="s">
        <v>70</v>
      </c>
      <c r="D9" s="116">
        <v>50</v>
      </c>
      <c r="E9" s="116"/>
      <c r="F9" s="116"/>
      <c r="G9" s="116"/>
      <c r="H9" s="116"/>
      <c r="I9" s="116"/>
      <c r="J9" s="272">
        <f>SUM(D9:I9)</f>
        <v>50</v>
      </c>
    </row>
    <row r="10" spans="1:14" s="36" customFormat="1" ht="21" thickBot="1">
      <c r="A10" s="286"/>
      <c r="B10" s="288"/>
      <c r="C10" s="82" t="s">
        <v>99</v>
      </c>
      <c r="D10" s="117" t="s">
        <v>2</v>
      </c>
      <c r="E10" s="117"/>
      <c r="F10" s="117"/>
      <c r="G10" s="117"/>
      <c r="H10" s="117"/>
      <c r="I10" s="117"/>
      <c r="J10" s="273"/>
    </row>
    <row r="11" spans="1:14" s="36" customFormat="1" ht="18" customHeight="1" thickBot="1">
      <c r="A11" s="68">
        <v>1</v>
      </c>
      <c r="B11" s="150">
        <v>2032303524</v>
      </c>
      <c r="C11" s="151" t="s">
        <v>180</v>
      </c>
      <c r="D11" s="171">
        <v>47</v>
      </c>
      <c r="E11" s="170"/>
      <c r="F11" s="171"/>
      <c r="G11" s="150"/>
      <c r="H11" s="150"/>
      <c r="I11" s="150"/>
      <c r="J11" s="54">
        <f t="shared" ref="J11:J55" si="0">IF(F11&lt;&gt;"AB",SUM(D11:I11),"AB")</f>
        <v>47</v>
      </c>
      <c r="N11" s="66"/>
    </row>
    <row r="12" spans="1:14" ht="18" customHeight="1" thickBot="1">
      <c r="A12" s="68">
        <v>2</v>
      </c>
      <c r="B12" s="150">
        <v>2032303491</v>
      </c>
      <c r="C12" s="151" t="s">
        <v>148</v>
      </c>
      <c r="D12" s="171">
        <v>47</v>
      </c>
      <c r="E12" s="170"/>
      <c r="F12" s="171"/>
      <c r="G12" s="150"/>
      <c r="H12" s="150"/>
      <c r="I12" s="150"/>
      <c r="J12" s="54">
        <f t="shared" si="0"/>
        <v>47</v>
      </c>
      <c r="L12" s="36"/>
      <c r="N12" s="66"/>
    </row>
    <row r="13" spans="1:14" ht="18" customHeight="1" thickBot="1">
      <c r="A13" s="68">
        <v>3</v>
      </c>
      <c r="B13" s="150">
        <v>2032303500</v>
      </c>
      <c r="C13" s="151" t="s">
        <v>157</v>
      </c>
      <c r="D13" s="171">
        <v>46</v>
      </c>
      <c r="E13" s="170"/>
      <c r="F13" s="171"/>
      <c r="G13" s="150"/>
      <c r="H13" s="150"/>
      <c r="I13" s="150"/>
      <c r="J13" s="54">
        <f t="shared" si="0"/>
        <v>46</v>
      </c>
      <c r="L13" s="36"/>
      <c r="N13" s="66"/>
    </row>
    <row r="14" spans="1:14" ht="18" customHeight="1" thickBot="1">
      <c r="A14" s="68">
        <v>4</v>
      </c>
      <c r="B14" s="150">
        <v>2032303484</v>
      </c>
      <c r="C14" s="151" t="s">
        <v>141</v>
      </c>
      <c r="D14" s="171">
        <v>49</v>
      </c>
      <c r="E14" s="170"/>
      <c r="F14" s="171"/>
      <c r="G14" s="150"/>
      <c r="H14" s="150"/>
      <c r="I14" s="150"/>
      <c r="J14" s="54">
        <f t="shared" si="0"/>
        <v>49</v>
      </c>
      <c r="L14" s="36"/>
      <c r="N14" s="66"/>
    </row>
    <row r="15" spans="1:14" ht="18" customHeight="1" thickBot="1">
      <c r="A15" s="68">
        <v>5</v>
      </c>
      <c r="B15" s="150">
        <v>2032303481</v>
      </c>
      <c r="C15" s="151" t="s">
        <v>138</v>
      </c>
      <c r="D15" s="171">
        <v>44</v>
      </c>
      <c r="E15" s="170"/>
      <c r="F15" s="171"/>
      <c r="G15" s="150"/>
      <c r="H15" s="150"/>
      <c r="I15" s="150"/>
      <c r="J15" s="54">
        <f t="shared" si="0"/>
        <v>44</v>
      </c>
      <c r="L15" s="36"/>
      <c r="N15" s="66"/>
    </row>
    <row r="16" spans="1:14" ht="18" customHeight="1" thickBot="1">
      <c r="A16" s="68">
        <v>6</v>
      </c>
      <c r="B16" s="150">
        <v>2032303483</v>
      </c>
      <c r="C16" s="151" t="s">
        <v>140</v>
      </c>
      <c r="D16" s="171">
        <v>49</v>
      </c>
      <c r="E16" s="170"/>
      <c r="F16" s="171"/>
      <c r="G16" s="150"/>
      <c r="H16" s="150"/>
      <c r="I16" s="150"/>
      <c r="J16" s="54">
        <f t="shared" si="0"/>
        <v>49</v>
      </c>
      <c r="L16" s="36"/>
      <c r="N16" s="66"/>
    </row>
    <row r="17" spans="1:14" ht="18" customHeight="1" thickBot="1">
      <c r="A17" s="68">
        <v>7</v>
      </c>
      <c r="B17" s="150">
        <v>2032303463</v>
      </c>
      <c r="C17" s="151" t="s">
        <v>120</v>
      </c>
      <c r="D17" s="171">
        <v>50</v>
      </c>
      <c r="E17" s="170"/>
      <c r="F17" s="171"/>
      <c r="G17" s="150"/>
      <c r="H17" s="150"/>
      <c r="I17" s="150"/>
      <c r="J17" s="54">
        <f t="shared" si="0"/>
        <v>50</v>
      </c>
      <c r="L17" s="36"/>
      <c r="N17" s="66"/>
    </row>
    <row r="18" spans="1:14" ht="18" customHeight="1" thickBot="1">
      <c r="A18" s="68">
        <v>8</v>
      </c>
      <c r="B18" s="150">
        <v>2032303487</v>
      </c>
      <c r="C18" s="151" t="s">
        <v>144</v>
      </c>
      <c r="D18" s="171">
        <v>48</v>
      </c>
      <c r="E18" s="170"/>
      <c r="F18" s="171"/>
      <c r="G18" s="150"/>
      <c r="H18" s="150"/>
      <c r="I18" s="150"/>
      <c r="J18" s="54">
        <f t="shared" si="0"/>
        <v>48</v>
      </c>
      <c r="L18" s="36"/>
      <c r="N18" s="66"/>
    </row>
    <row r="19" spans="1:14" ht="18" customHeight="1" thickBot="1">
      <c r="A19" s="68">
        <v>9</v>
      </c>
      <c r="B19" s="150">
        <v>2032303455</v>
      </c>
      <c r="C19" s="151" t="s">
        <v>112</v>
      </c>
      <c r="D19" s="171">
        <v>49</v>
      </c>
      <c r="E19" s="170"/>
      <c r="F19" s="171"/>
      <c r="G19" s="150"/>
      <c r="H19" s="150"/>
      <c r="I19" s="150"/>
      <c r="J19" s="54">
        <f t="shared" si="0"/>
        <v>49</v>
      </c>
      <c r="L19" s="36"/>
      <c r="N19" s="66"/>
    </row>
    <row r="20" spans="1:14" ht="18" customHeight="1" thickBot="1">
      <c r="A20" s="68">
        <v>10</v>
      </c>
      <c r="B20" s="150">
        <v>2032303516</v>
      </c>
      <c r="C20" s="151" t="s">
        <v>172</v>
      </c>
      <c r="D20" s="171">
        <v>47</v>
      </c>
      <c r="E20" s="170"/>
      <c r="F20" s="171"/>
      <c r="G20" s="150"/>
      <c r="H20" s="150"/>
      <c r="I20" s="150"/>
      <c r="J20" s="54">
        <f t="shared" si="0"/>
        <v>47</v>
      </c>
      <c r="L20" s="36"/>
      <c r="N20" s="66"/>
    </row>
    <row r="21" spans="1:14" ht="18" customHeight="1" thickBot="1">
      <c r="A21" s="68">
        <v>11</v>
      </c>
      <c r="B21" s="150">
        <v>2032303515</v>
      </c>
      <c r="C21" s="151" t="s">
        <v>171</v>
      </c>
      <c r="D21" s="171">
        <v>47</v>
      </c>
      <c r="E21" s="170"/>
      <c r="F21" s="171"/>
      <c r="G21" s="150"/>
      <c r="H21" s="150"/>
      <c r="I21" s="150"/>
      <c r="J21" s="54">
        <f t="shared" si="0"/>
        <v>47</v>
      </c>
      <c r="L21" s="36"/>
      <c r="N21" s="66"/>
    </row>
    <row r="22" spans="1:14" ht="18" customHeight="1" thickBot="1">
      <c r="A22" s="68">
        <v>12</v>
      </c>
      <c r="B22" s="150">
        <v>2032303502</v>
      </c>
      <c r="C22" s="151" t="s">
        <v>159</v>
      </c>
      <c r="D22" s="171">
        <v>47</v>
      </c>
      <c r="E22" s="170"/>
      <c r="F22" s="171"/>
      <c r="G22" s="150"/>
      <c r="H22" s="150"/>
      <c r="I22" s="150"/>
      <c r="J22" s="54">
        <f t="shared" si="0"/>
        <v>47</v>
      </c>
      <c r="L22" s="36"/>
      <c r="N22" s="66"/>
    </row>
    <row r="23" spans="1:14" ht="18" customHeight="1" thickBot="1">
      <c r="A23" s="68">
        <v>13</v>
      </c>
      <c r="B23" s="150">
        <v>2032303513</v>
      </c>
      <c r="C23" s="151" t="s">
        <v>169</v>
      </c>
      <c r="D23" s="171">
        <v>47</v>
      </c>
      <c r="E23" s="170"/>
      <c r="F23" s="171"/>
      <c r="G23" s="150"/>
      <c r="H23" s="150"/>
      <c r="I23" s="150"/>
      <c r="J23" s="54">
        <f t="shared" si="0"/>
        <v>47</v>
      </c>
      <c r="L23" s="36"/>
      <c r="N23" s="66"/>
    </row>
    <row r="24" spans="1:14" ht="18" customHeight="1" thickBot="1">
      <c r="A24" s="68">
        <v>14</v>
      </c>
      <c r="B24" s="150">
        <v>2032303538</v>
      </c>
      <c r="C24" s="151" t="s">
        <v>194</v>
      </c>
      <c r="D24" s="171">
        <v>49</v>
      </c>
      <c r="E24" s="170"/>
      <c r="F24" s="171"/>
      <c r="G24" s="150"/>
      <c r="H24" s="150"/>
      <c r="I24" s="150"/>
      <c r="J24" s="54">
        <f t="shared" si="0"/>
        <v>49</v>
      </c>
      <c r="L24" s="36"/>
      <c r="N24" s="66"/>
    </row>
    <row r="25" spans="1:14" ht="18" customHeight="1" thickBot="1">
      <c r="A25" s="68">
        <v>15</v>
      </c>
      <c r="B25" s="150">
        <v>2032303478</v>
      </c>
      <c r="C25" s="151" t="s">
        <v>135</v>
      </c>
      <c r="D25" s="171">
        <v>50</v>
      </c>
      <c r="E25" s="170"/>
      <c r="F25" s="171"/>
      <c r="G25" s="150"/>
      <c r="H25" s="150"/>
      <c r="I25" s="150"/>
      <c r="J25" s="54">
        <f t="shared" si="0"/>
        <v>50</v>
      </c>
      <c r="L25" s="36"/>
      <c r="N25" s="66"/>
    </row>
    <row r="26" spans="1:14" ht="18" customHeight="1" thickBot="1">
      <c r="A26" s="68">
        <v>16</v>
      </c>
      <c r="B26" s="150">
        <v>2032303464</v>
      </c>
      <c r="C26" s="151" t="s">
        <v>121</v>
      </c>
      <c r="D26" s="171">
        <v>49</v>
      </c>
      <c r="E26" s="170"/>
      <c r="F26" s="171"/>
      <c r="G26" s="150"/>
      <c r="H26" s="150"/>
      <c r="I26" s="150"/>
      <c r="J26" s="54">
        <f t="shared" si="0"/>
        <v>49</v>
      </c>
      <c r="L26" s="36"/>
      <c r="N26" s="66"/>
    </row>
    <row r="27" spans="1:14" ht="18" customHeight="1" thickBot="1">
      <c r="A27" s="68">
        <v>17</v>
      </c>
      <c r="B27" s="150">
        <v>2032303528</v>
      </c>
      <c r="C27" s="151" t="s">
        <v>184</v>
      </c>
      <c r="D27" s="171">
        <v>45</v>
      </c>
      <c r="E27" s="170"/>
      <c r="F27" s="171"/>
      <c r="G27" s="150"/>
      <c r="H27" s="150"/>
      <c r="I27" s="150"/>
      <c r="J27" s="54">
        <f t="shared" si="0"/>
        <v>45</v>
      </c>
      <c r="L27" s="36"/>
      <c r="N27" s="66"/>
    </row>
    <row r="28" spans="1:14" ht="18" customHeight="1" thickBot="1">
      <c r="A28" s="68">
        <v>18</v>
      </c>
      <c r="B28" s="150">
        <v>2032303476</v>
      </c>
      <c r="C28" s="151" t="s">
        <v>133</v>
      </c>
      <c r="D28" s="171">
        <v>52</v>
      </c>
      <c r="E28" s="170"/>
      <c r="F28" s="171"/>
      <c r="G28" s="150"/>
      <c r="H28" s="150"/>
      <c r="I28" s="150"/>
      <c r="J28" s="54">
        <f t="shared" si="0"/>
        <v>52</v>
      </c>
      <c r="L28" s="36"/>
      <c r="N28" s="66"/>
    </row>
    <row r="29" spans="1:14" ht="18" customHeight="1" thickBot="1">
      <c r="A29" s="68">
        <v>19</v>
      </c>
      <c r="B29" s="150">
        <v>2032303509</v>
      </c>
      <c r="C29" s="151" t="s">
        <v>165</v>
      </c>
      <c r="D29" s="171">
        <v>48</v>
      </c>
      <c r="E29" s="170"/>
      <c r="F29" s="171"/>
      <c r="G29" s="150"/>
      <c r="H29" s="150"/>
      <c r="I29" s="150"/>
      <c r="J29" s="54">
        <f t="shared" si="0"/>
        <v>48</v>
      </c>
      <c r="L29" s="36"/>
      <c r="N29" s="66"/>
    </row>
    <row r="30" spans="1:14" ht="18" customHeight="1" thickBot="1">
      <c r="A30" s="68">
        <v>20</v>
      </c>
      <c r="B30" s="150">
        <v>2032303535</v>
      </c>
      <c r="C30" s="151" t="s">
        <v>191</v>
      </c>
      <c r="D30" s="171">
        <v>46</v>
      </c>
      <c r="E30" s="170"/>
      <c r="F30" s="171"/>
      <c r="G30" s="150"/>
      <c r="H30" s="150"/>
      <c r="I30" s="150"/>
      <c r="J30" s="54">
        <f t="shared" si="0"/>
        <v>46</v>
      </c>
      <c r="L30" s="36"/>
      <c r="N30" s="66"/>
    </row>
    <row r="31" spans="1:14" ht="18" customHeight="1" thickBot="1">
      <c r="A31" s="68">
        <v>21</v>
      </c>
      <c r="B31" s="150">
        <v>2032303548</v>
      </c>
      <c r="C31" s="151" t="s">
        <v>204</v>
      </c>
      <c r="D31" s="171">
        <v>48</v>
      </c>
      <c r="E31" s="170"/>
      <c r="F31" s="171"/>
      <c r="G31" s="150"/>
      <c r="H31" s="150"/>
      <c r="I31" s="150"/>
      <c r="J31" s="54">
        <f t="shared" si="0"/>
        <v>48</v>
      </c>
      <c r="L31" s="36"/>
      <c r="N31" s="66"/>
    </row>
    <row r="32" spans="1:14" ht="18" customHeight="1" thickBot="1">
      <c r="A32" s="68">
        <v>22</v>
      </c>
      <c r="B32" s="150">
        <v>2032303503</v>
      </c>
      <c r="C32" s="151" t="s">
        <v>160</v>
      </c>
      <c r="D32" s="171">
        <v>43</v>
      </c>
      <c r="E32" s="170"/>
      <c r="F32" s="171"/>
      <c r="G32" s="150"/>
      <c r="H32" s="150"/>
      <c r="I32" s="150"/>
      <c r="J32" s="54">
        <f t="shared" si="0"/>
        <v>43</v>
      </c>
      <c r="L32" s="36"/>
      <c r="N32" s="66"/>
    </row>
    <row r="33" spans="1:14" ht="18" customHeight="1" thickBot="1">
      <c r="A33" s="68">
        <v>23</v>
      </c>
      <c r="B33" s="150">
        <v>2032303495</v>
      </c>
      <c r="C33" s="151" t="s">
        <v>152</v>
      </c>
      <c r="D33" s="171">
        <v>49</v>
      </c>
      <c r="E33" s="170"/>
      <c r="F33" s="171"/>
      <c r="G33" s="150"/>
      <c r="H33" s="150"/>
      <c r="I33" s="150"/>
      <c r="J33" s="54">
        <f t="shared" si="0"/>
        <v>49</v>
      </c>
      <c r="L33" s="36"/>
      <c r="N33" s="66"/>
    </row>
    <row r="34" spans="1:14" ht="18" customHeight="1" thickBot="1">
      <c r="A34" s="68">
        <v>24</v>
      </c>
      <c r="B34" s="150">
        <v>2032303482</v>
      </c>
      <c r="C34" s="151" t="s">
        <v>139</v>
      </c>
      <c r="D34" s="171">
        <v>48</v>
      </c>
      <c r="E34" s="170"/>
      <c r="F34" s="171"/>
      <c r="G34" s="150"/>
      <c r="H34" s="150"/>
      <c r="I34" s="150"/>
      <c r="J34" s="54">
        <f t="shared" si="0"/>
        <v>48</v>
      </c>
      <c r="L34" s="36"/>
      <c r="N34" s="66"/>
    </row>
    <row r="35" spans="1:14" ht="18" customHeight="1" thickBot="1">
      <c r="A35" s="68">
        <v>25</v>
      </c>
      <c r="B35" s="150">
        <v>2032303508</v>
      </c>
      <c r="C35" s="151" t="s">
        <v>164</v>
      </c>
      <c r="D35" s="171">
        <v>48</v>
      </c>
      <c r="E35" s="170"/>
      <c r="F35" s="171"/>
      <c r="G35" s="150"/>
      <c r="H35" s="150"/>
      <c r="I35" s="150"/>
      <c r="J35" s="54">
        <f t="shared" si="0"/>
        <v>48</v>
      </c>
      <c r="L35" s="36"/>
      <c r="N35" s="66"/>
    </row>
    <row r="36" spans="1:14" ht="18" customHeight="1" thickBot="1">
      <c r="A36" s="68">
        <v>26</v>
      </c>
      <c r="B36" s="150">
        <v>2032303472</v>
      </c>
      <c r="C36" s="151" t="s">
        <v>129</v>
      </c>
      <c r="D36" s="171">
        <v>47</v>
      </c>
      <c r="E36" s="170"/>
      <c r="F36" s="171"/>
      <c r="G36" s="150"/>
      <c r="H36" s="150"/>
      <c r="I36" s="150"/>
      <c r="J36" s="54">
        <f t="shared" si="0"/>
        <v>47</v>
      </c>
      <c r="L36" s="36"/>
      <c r="N36" s="66"/>
    </row>
    <row r="37" spans="1:14" ht="18" customHeight="1" thickBot="1">
      <c r="A37" s="68">
        <v>27</v>
      </c>
      <c r="B37" s="150">
        <v>2032303549</v>
      </c>
      <c r="C37" s="151" t="s">
        <v>205</v>
      </c>
      <c r="D37" s="171">
        <v>47</v>
      </c>
      <c r="E37" s="170"/>
      <c r="F37" s="171"/>
      <c r="G37" s="150"/>
      <c r="H37" s="150"/>
      <c r="I37" s="150"/>
      <c r="J37" s="54">
        <f t="shared" si="0"/>
        <v>47</v>
      </c>
      <c r="L37" s="36"/>
      <c r="N37" s="66"/>
    </row>
    <row r="38" spans="1:14" ht="18" customHeight="1" thickBot="1">
      <c r="A38" s="68">
        <v>28</v>
      </c>
      <c r="B38" s="150">
        <v>2032303479</v>
      </c>
      <c r="C38" s="151" t="s">
        <v>136</v>
      </c>
      <c r="D38" s="171">
        <v>47</v>
      </c>
      <c r="E38" s="170"/>
      <c r="F38" s="171"/>
      <c r="G38" s="150"/>
      <c r="H38" s="150"/>
      <c r="I38" s="150"/>
      <c r="J38" s="54">
        <f t="shared" si="0"/>
        <v>47</v>
      </c>
      <c r="L38" s="36"/>
      <c r="N38" s="66"/>
    </row>
    <row r="39" spans="1:14" ht="18" customHeight="1" thickBot="1">
      <c r="A39" s="68">
        <v>29</v>
      </c>
      <c r="B39" s="150">
        <v>2032303519</v>
      </c>
      <c r="C39" s="151" t="s">
        <v>175</v>
      </c>
      <c r="D39" s="171">
        <v>49</v>
      </c>
      <c r="E39" s="170"/>
      <c r="F39" s="171"/>
      <c r="G39" s="150"/>
      <c r="H39" s="150"/>
      <c r="I39" s="150"/>
      <c r="J39" s="54">
        <f t="shared" si="0"/>
        <v>49</v>
      </c>
      <c r="L39" s="36"/>
      <c r="N39" s="66"/>
    </row>
    <row r="40" spans="1:14" ht="18" customHeight="1" thickBot="1">
      <c r="A40" s="68">
        <v>30</v>
      </c>
      <c r="B40" s="150">
        <v>2032303497</v>
      </c>
      <c r="C40" s="151" t="s">
        <v>154</v>
      </c>
      <c r="D40" s="171">
        <v>41</v>
      </c>
      <c r="E40" s="170"/>
      <c r="F40" s="171"/>
      <c r="G40" s="150"/>
      <c r="H40" s="150"/>
      <c r="I40" s="150"/>
      <c r="J40" s="54">
        <f t="shared" si="0"/>
        <v>41</v>
      </c>
      <c r="L40" s="36"/>
      <c r="N40" s="66"/>
    </row>
    <row r="41" spans="1:14" ht="18" customHeight="1" thickBot="1">
      <c r="A41" s="68">
        <v>31</v>
      </c>
      <c r="B41" s="150">
        <v>2032303539</v>
      </c>
      <c r="C41" s="151" t="s">
        <v>195</v>
      </c>
      <c r="D41" s="171">
        <v>46</v>
      </c>
      <c r="E41" s="170"/>
      <c r="F41" s="171"/>
      <c r="G41" s="150"/>
      <c r="H41" s="150"/>
      <c r="I41" s="150"/>
      <c r="J41" s="54">
        <f t="shared" si="0"/>
        <v>46</v>
      </c>
      <c r="L41" s="36"/>
      <c r="N41" s="66"/>
    </row>
    <row r="42" spans="1:14" ht="18" customHeight="1" thickBot="1">
      <c r="A42" s="68">
        <v>32</v>
      </c>
      <c r="B42" s="150">
        <v>2032303486</v>
      </c>
      <c r="C42" s="151" t="s">
        <v>143</v>
      </c>
      <c r="D42" s="171">
        <v>49</v>
      </c>
      <c r="E42" s="170"/>
      <c r="F42" s="171"/>
      <c r="G42" s="150"/>
      <c r="H42" s="150"/>
      <c r="I42" s="150"/>
      <c r="J42" s="54">
        <f t="shared" si="0"/>
        <v>49</v>
      </c>
      <c r="L42" s="36"/>
      <c r="N42" s="66"/>
    </row>
    <row r="43" spans="1:14" ht="18" customHeight="1" thickBot="1">
      <c r="A43" s="68">
        <v>33</v>
      </c>
      <c r="B43" s="150">
        <v>2032303469</v>
      </c>
      <c r="C43" s="151" t="s">
        <v>126</v>
      </c>
      <c r="D43" s="171">
        <v>49</v>
      </c>
      <c r="E43" s="170"/>
      <c r="F43" s="171"/>
      <c r="G43" s="150"/>
      <c r="H43" s="150"/>
      <c r="I43" s="150"/>
      <c r="J43" s="54">
        <f t="shared" si="0"/>
        <v>49</v>
      </c>
      <c r="L43" s="36"/>
      <c r="N43" s="66"/>
    </row>
    <row r="44" spans="1:14" ht="18" customHeight="1" thickBot="1">
      <c r="A44" s="68">
        <v>34</v>
      </c>
      <c r="B44" s="150">
        <v>2032303462</v>
      </c>
      <c r="C44" s="151" t="s">
        <v>119</v>
      </c>
      <c r="D44" s="171">
        <v>49</v>
      </c>
      <c r="E44" s="170"/>
      <c r="F44" s="171"/>
      <c r="G44" s="150"/>
      <c r="H44" s="150"/>
      <c r="I44" s="150"/>
      <c r="J44" s="54">
        <f t="shared" si="0"/>
        <v>49</v>
      </c>
      <c r="L44" s="36"/>
      <c r="N44" s="66"/>
    </row>
    <row r="45" spans="1:14" ht="18" customHeight="1" thickBot="1">
      <c r="A45" s="68">
        <v>35</v>
      </c>
      <c r="B45" s="150">
        <v>2032303529</v>
      </c>
      <c r="C45" s="151" t="s">
        <v>185</v>
      </c>
      <c r="D45" s="171">
        <v>47</v>
      </c>
      <c r="E45" s="170"/>
      <c r="F45" s="171"/>
      <c r="G45" s="150"/>
      <c r="H45" s="150"/>
      <c r="I45" s="150"/>
      <c r="J45" s="54">
        <f t="shared" si="0"/>
        <v>47</v>
      </c>
      <c r="L45" s="36"/>
      <c r="N45" s="66"/>
    </row>
    <row r="46" spans="1:14" ht="18" customHeight="1" thickBot="1">
      <c r="A46" s="68">
        <v>36</v>
      </c>
      <c r="B46" s="150">
        <v>2032303556</v>
      </c>
      <c r="C46" s="151" t="s">
        <v>212</v>
      </c>
      <c r="D46" s="171">
        <v>45</v>
      </c>
      <c r="E46" s="170"/>
      <c r="F46" s="171"/>
      <c r="G46" s="150"/>
      <c r="H46" s="150"/>
      <c r="I46" s="150"/>
      <c r="J46" s="54">
        <f t="shared" si="0"/>
        <v>45</v>
      </c>
      <c r="L46" s="36"/>
      <c r="N46" s="66"/>
    </row>
    <row r="47" spans="1:14" ht="18" customHeight="1" thickBot="1">
      <c r="A47" s="68">
        <v>37</v>
      </c>
      <c r="B47" s="150">
        <v>2032303480</v>
      </c>
      <c r="C47" s="151" t="s">
        <v>137</v>
      </c>
      <c r="D47" s="171">
        <v>40</v>
      </c>
      <c r="E47" s="170"/>
      <c r="F47" s="171"/>
      <c r="G47" s="150"/>
      <c r="H47" s="150"/>
      <c r="I47" s="150"/>
      <c r="J47" s="54">
        <f t="shared" si="0"/>
        <v>40</v>
      </c>
      <c r="L47" s="36"/>
      <c r="N47" s="66"/>
    </row>
    <row r="48" spans="1:14" ht="18" customHeight="1" thickBot="1">
      <c r="A48" s="68">
        <v>38</v>
      </c>
      <c r="B48" s="150">
        <v>2032303490</v>
      </c>
      <c r="C48" s="151" t="s">
        <v>147</v>
      </c>
      <c r="D48" s="171">
        <v>48</v>
      </c>
      <c r="E48" s="170"/>
      <c r="F48" s="171"/>
      <c r="G48" s="150"/>
      <c r="H48" s="150"/>
      <c r="I48" s="150"/>
      <c r="J48" s="54">
        <f t="shared" si="0"/>
        <v>48</v>
      </c>
      <c r="L48" s="36"/>
      <c r="N48" s="66"/>
    </row>
    <row r="49" spans="1:14" ht="18" customHeight="1" thickBot="1">
      <c r="A49" s="68">
        <v>39</v>
      </c>
      <c r="B49" s="150">
        <v>2032303492</v>
      </c>
      <c r="C49" s="151" t="s">
        <v>149</v>
      </c>
      <c r="D49" s="171">
        <v>44</v>
      </c>
      <c r="E49" s="170"/>
      <c r="F49" s="171"/>
      <c r="G49" s="150"/>
      <c r="H49" s="150"/>
      <c r="I49" s="150"/>
      <c r="J49" s="54">
        <f t="shared" si="0"/>
        <v>44</v>
      </c>
      <c r="L49" s="36"/>
      <c r="N49" s="66"/>
    </row>
    <row r="50" spans="1:14" ht="18" customHeight="1" thickBot="1">
      <c r="A50" s="68">
        <v>40</v>
      </c>
      <c r="B50" s="150">
        <v>2032303540</v>
      </c>
      <c r="C50" s="151" t="s">
        <v>196</v>
      </c>
      <c r="D50" s="171">
        <v>43</v>
      </c>
      <c r="E50" s="170"/>
      <c r="F50" s="171"/>
      <c r="G50" s="150"/>
      <c r="H50" s="150"/>
      <c r="I50" s="150"/>
      <c r="J50" s="54">
        <f t="shared" si="0"/>
        <v>43</v>
      </c>
      <c r="L50" s="36"/>
      <c r="N50" s="66"/>
    </row>
    <row r="51" spans="1:14" ht="18" customHeight="1" thickBot="1">
      <c r="A51" s="68">
        <v>41</v>
      </c>
      <c r="B51" s="150">
        <v>2032303465</v>
      </c>
      <c r="C51" s="151" t="s">
        <v>122</v>
      </c>
      <c r="D51" s="171">
        <v>43</v>
      </c>
      <c r="E51" s="170"/>
      <c r="F51" s="171"/>
      <c r="G51" s="150"/>
      <c r="H51" s="150"/>
      <c r="I51" s="150"/>
      <c r="J51" s="54">
        <f t="shared" si="0"/>
        <v>43</v>
      </c>
      <c r="L51" s="36"/>
      <c r="N51" s="66"/>
    </row>
    <row r="52" spans="1:14" ht="18" customHeight="1" thickBot="1">
      <c r="A52" s="68">
        <v>42</v>
      </c>
      <c r="B52" s="150">
        <v>2032303530</v>
      </c>
      <c r="C52" s="151" t="s">
        <v>186</v>
      </c>
      <c r="D52" s="171">
        <v>47</v>
      </c>
      <c r="E52" s="170"/>
      <c r="F52" s="171"/>
      <c r="G52" s="150"/>
      <c r="H52" s="150"/>
      <c r="I52" s="150"/>
      <c r="J52" s="54">
        <f t="shared" si="0"/>
        <v>47</v>
      </c>
      <c r="L52" s="36"/>
      <c r="N52" s="66"/>
    </row>
    <row r="53" spans="1:14" ht="18" customHeight="1" thickBot="1">
      <c r="A53" s="68">
        <v>43</v>
      </c>
      <c r="B53" s="150">
        <v>2032303542</v>
      </c>
      <c r="C53" s="151" t="s">
        <v>198</v>
      </c>
      <c r="D53" s="171">
        <v>49</v>
      </c>
      <c r="E53" s="170"/>
      <c r="F53" s="171"/>
      <c r="G53" s="150"/>
      <c r="H53" s="150"/>
      <c r="I53" s="150"/>
      <c r="J53" s="54">
        <f t="shared" si="0"/>
        <v>49</v>
      </c>
      <c r="L53" s="36"/>
      <c r="N53" s="66"/>
    </row>
    <row r="54" spans="1:14" ht="18" customHeight="1" thickBot="1">
      <c r="A54" s="68">
        <v>44</v>
      </c>
      <c r="B54" s="150">
        <v>2032303470</v>
      </c>
      <c r="C54" s="151" t="s">
        <v>127</v>
      </c>
      <c r="D54" s="171">
        <v>49</v>
      </c>
      <c r="E54" s="170"/>
      <c r="F54" s="171"/>
      <c r="G54" s="150"/>
      <c r="H54" s="150"/>
      <c r="I54" s="150"/>
      <c r="J54" s="54">
        <f t="shared" si="0"/>
        <v>49</v>
      </c>
      <c r="L54" s="36"/>
      <c r="N54" s="66"/>
    </row>
    <row r="55" spans="1:14" ht="18" customHeight="1" thickBot="1">
      <c r="A55" s="68">
        <v>45</v>
      </c>
      <c r="B55" s="150">
        <v>2032303494</v>
      </c>
      <c r="C55" s="151" t="s">
        <v>151</v>
      </c>
      <c r="D55" s="171">
        <v>44</v>
      </c>
      <c r="E55" s="170"/>
      <c r="F55" s="171"/>
      <c r="G55" s="150"/>
      <c r="H55" s="150"/>
      <c r="I55" s="150"/>
      <c r="J55" s="54">
        <f t="shared" si="0"/>
        <v>44</v>
      </c>
      <c r="L55" s="36"/>
      <c r="N55" s="66"/>
    </row>
    <row r="56" spans="1:14" ht="18" customHeight="1" thickBot="1">
      <c r="A56" s="68">
        <v>46</v>
      </c>
      <c r="B56" s="150">
        <v>2032303459</v>
      </c>
      <c r="C56" s="151" t="s">
        <v>116</v>
      </c>
      <c r="D56" s="171">
        <v>48</v>
      </c>
      <c r="E56" s="170"/>
      <c r="F56" s="171"/>
      <c r="G56" s="150"/>
      <c r="H56" s="150"/>
      <c r="I56" s="150"/>
      <c r="J56" s="54">
        <f t="shared" ref="J56:J118" si="1">IF(F56&lt;&gt;"AB",SUM(D56:I56),"AB")</f>
        <v>48</v>
      </c>
      <c r="L56" s="36"/>
      <c r="N56" s="66"/>
    </row>
    <row r="57" spans="1:14" ht="18" customHeight="1" thickBot="1">
      <c r="A57" s="68">
        <v>47</v>
      </c>
      <c r="B57" s="150">
        <v>2032303534</v>
      </c>
      <c r="C57" s="151" t="s">
        <v>190</v>
      </c>
      <c r="D57" s="171">
        <v>45</v>
      </c>
      <c r="E57" s="170"/>
      <c r="F57" s="171"/>
      <c r="G57" s="150"/>
      <c r="H57" s="150"/>
      <c r="I57" s="150"/>
      <c r="J57" s="54">
        <f t="shared" si="1"/>
        <v>45</v>
      </c>
      <c r="L57" s="36"/>
      <c r="N57" s="66"/>
    </row>
    <row r="58" spans="1:14" ht="18" customHeight="1" thickBot="1">
      <c r="A58" s="68">
        <v>48</v>
      </c>
      <c r="B58" s="150">
        <v>2032303488</v>
      </c>
      <c r="C58" s="151" t="s">
        <v>145</v>
      </c>
      <c r="D58" s="171">
        <v>48</v>
      </c>
      <c r="E58" s="170"/>
      <c r="F58" s="171"/>
      <c r="G58" s="150"/>
      <c r="H58" s="150"/>
      <c r="I58" s="150"/>
      <c r="J58" s="54">
        <f t="shared" si="1"/>
        <v>48</v>
      </c>
      <c r="L58" s="36"/>
      <c r="N58" s="66"/>
    </row>
    <row r="59" spans="1:14" ht="18" customHeight="1" thickBot="1">
      <c r="A59" s="68">
        <v>49</v>
      </c>
      <c r="B59" s="150">
        <v>2032303523</v>
      </c>
      <c r="C59" s="151" t="s">
        <v>179</v>
      </c>
      <c r="D59" s="171">
        <v>43</v>
      </c>
      <c r="E59" s="170"/>
      <c r="F59" s="171"/>
      <c r="G59" s="150"/>
      <c r="H59" s="150"/>
      <c r="I59" s="150"/>
      <c r="J59" s="54">
        <f t="shared" si="1"/>
        <v>43</v>
      </c>
      <c r="L59" s="36"/>
      <c r="N59" s="66"/>
    </row>
    <row r="60" spans="1:14" ht="18" customHeight="1" thickBot="1">
      <c r="A60" s="68">
        <v>50</v>
      </c>
      <c r="B60" s="150">
        <v>2032303466</v>
      </c>
      <c r="C60" s="151" t="s">
        <v>123</v>
      </c>
      <c r="D60" s="171">
        <v>49</v>
      </c>
      <c r="E60" s="170"/>
      <c r="F60" s="171"/>
      <c r="G60" s="150"/>
      <c r="H60" s="150"/>
      <c r="I60" s="150"/>
      <c r="J60" s="54">
        <f t="shared" si="1"/>
        <v>49</v>
      </c>
      <c r="L60" s="36"/>
      <c r="N60" s="66"/>
    </row>
    <row r="61" spans="1:14" ht="18" customHeight="1" thickBot="1">
      <c r="A61" s="68">
        <v>51</v>
      </c>
      <c r="B61" s="150">
        <v>2032303522</v>
      </c>
      <c r="C61" s="151" t="s">
        <v>178</v>
      </c>
      <c r="D61" s="171">
        <v>49</v>
      </c>
      <c r="E61" s="170"/>
      <c r="F61" s="171"/>
      <c r="G61" s="150"/>
      <c r="H61" s="150"/>
      <c r="I61" s="150"/>
      <c r="J61" s="54">
        <f t="shared" si="1"/>
        <v>49</v>
      </c>
      <c r="L61" s="36"/>
      <c r="N61" s="66"/>
    </row>
    <row r="62" spans="1:14" ht="18" customHeight="1" thickBot="1">
      <c r="A62" s="68">
        <v>52</v>
      </c>
      <c r="B62" s="150">
        <v>2032303518</v>
      </c>
      <c r="C62" s="151" t="s">
        <v>174</v>
      </c>
      <c r="D62" s="171">
        <v>46</v>
      </c>
      <c r="E62" s="170"/>
      <c r="F62" s="171"/>
      <c r="G62" s="150"/>
      <c r="H62" s="150"/>
      <c r="I62" s="150"/>
      <c r="J62" s="54">
        <f t="shared" si="1"/>
        <v>46</v>
      </c>
      <c r="L62" s="36"/>
      <c r="N62" s="66"/>
    </row>
    <row r="63" spans="1:14" ht="18" customHeight="1" thickBot="1">
      <c r="A63" s="68">
        <v>53</v>
      </c>
      <c r="B63" s="150">
        <v>2032303485</v>
      </c>
      <c r="C63" s="151" t="s">
        <v>142</v>
      </c>
      <c r="D63" s="171">
        <v>43</v>
      </c>
      <c r="E63" s="170"/>
      <c r="F63" s="171"/>
      <c r="G63" s="150"/>
      <c r="H63" s="150"/>
      <c r="I63" s="150"/>
      <c r="J63" s="54">
        <f t="shared" si="1"/>
        <v>43</v>
      </c>
      <c r="L63" s="36"/>
      <c r="N63" s="66"/>
    </row>
    <row r="64" spans="1:14" ht="18" customHeight="1" thickBot="1">
      <c r="A64" s="68">
        <v>54</v>
      </c>
      <c r="B64" s="150">
        <v>2032303551</v>
      </c>
      <c r="C64" s="151" t="s">
        <v>207</v>
      </c>
      <c r="D64" s="171">
        <v>49</v>
      </c>
      <c r="E64" s="170"/>
      <c r="F64" s="171"/>
      <c r="G64" s="150"/>
      <c r="H64" s="150"/>
      <c r="I64" s="150"/>
      <c r="J64" s="54">
        <f t="shared" si="1"/>
        <v>49</v>
      </c>
      <c r="L64" s="36"/>
      <c r="N64" s="66"/>
    </row>
    <row r="65" spans="1:14" ht="18" customHeight="1" thickBot="1">
      <c r="A65" s="68">
        <v>55</v>
      </c>
      <c r="B65" s="150">
        <v>2032303453</v>
      </c>
      <c r="C65" s="151" t="s">
        <v>110</v>
      </c>
      <c r="D65" s="173">
        <v>48</v>
      </c>
      <c r="E65" s="170"/>
      <c r="F65" s="171"/>
      <c r="G65" s="150"/>
      <c r="H65" s="150"/>
      <c r="I65" s="150"/>
      <c r="J65" s="54">
        <f t="shared" si="1"/>
        <v>48</v>
      </c>
      <c r="L65" s="36"/>
      <c r="N65" s="66"/>
    </row>
    <row r="66" spans="1:14" ht="18" customHeight="1" thickBot="1">
      <c r="A66" s="68">
        <v>56</v>
      </c>
      <c r="B66" s="150">
        <v>2032303541</v>
      </c>
      <c r="C66" s="151" t="s">
        <v>197</v>
      </c>
      <c r="D66" s="170">
        <v>45</v>
      </c>
      <c r="E66" s="170"/>
      <c r="F66" s="171"/>
      <c r="G66" s="150"/>
      <c r="H66" s="150"/>
      <c r="I66" s="150"/>
      <c r="J66" s="54">
        <f t="shared" si="1"/>
        <v>45</v>
      </c>
      <c r="L66" s="36"/>
      <c r="N66" s="66"/>
    </row>
    <row r="67" spans="1:14" ht="18" customHeight="1" thickBot="1">
      <c r="A67" s="68">
        <v>57</v>
      </c>
      <c r="B67" s="150">
        <v>2032303473</v>
      </c>
      <c r="C67" s="151" t="s">
        <v>130</v>
      </c>
      <c r="D67" s="170">
        <v>43</v>
      </c>
      <c r="E67" s="170"/>
      <c r="F67" s="171"/>
      <c r="G67" s="150"/>
      <c r="H67" s="150"/>
      <c r="I67" s="150"/>
      <c r="J67" s="54">
        <f t="shared" si="1"/>
        <v>43</v>
      </c>
      <c r="L67" s="36"/>
      <c r="N67" s="66"/>
    </row>
    <row r="68" spans="1:14" ht="18" customHeight="1" thickBot="1">
      <c r="A68" s="68">
        <v>58</v>
      </c>
      <c r="B68" s="150">
        <v>2032303550</v>
      </c>
      <c r="C68" s="151" t="s">
        <v>206</v>
      </c>
      <c r="D68" s="170">
        <v>48</v>
      </c>
      <c r="E68" s="170"/>
      <c r="F68" s="171"/>
      <c r="G68" s="150"/>
      <c r="H68" s="150"/>
      <c r="I68" s="150"/>
      <c r="J68" s="54">
        <f t="shared" si="1"/>
        <v>48</v>
      </c>
      <c r="L68" s="36"/>
      <c r="N68" s="66"/>
    </row>
    <row r="69" spans="1:14" ht="18" customHeight="1" thickBot="1">
      <c r="A69" s="68">
        <v>59</v>
      </c>
      <c r="B69" s="150">
        <v>2032303496</v>
      </c>
      <c r="C69" s="151" t="s">
        <v>153</v>
      </c>
      <c r="D69" s="170">
        <v>48</v>
      </c>
      <c r="E69" s="170"/>
      <c r="F69" s="171"/>
      <c r="G69" s="150"/>
      <c r="H69" s="150"/>
      <c r="I69" s="150"/>
      <c r="J69" s="54">
        <f t="shared" si="1"/>
        <v>48</v>
      </c>
      <c r="L69" s="36"/>
      <c r="N69" s="66"/>
    </row>
    <row r="70" spans="1:14" ht="18" customHeight="1" thickBot="1">
      <c r="A70" s="68">
        <v>60</v>
      </c>
      <c r="B70" s="150">
        <v>2032303457</v>
      </c>
      <c r="C70" s="151" t="s">
        <v>114</v>
      </c>
      <c r="D70" s="170">
        <v>43</v>
      </c>
      <c r="E70" s="170"/>
      <c r="F70" s="171"/>
      <c r="G70" s="150"/>
      <c r="H70" s="150"/>
      <c r="I70" s="150"/>
      <c r="J70" s="54">
        <f t="shared" si="1"/>
        <v>43</v>
      </c>
      <c r="L70" s="36"/>
      <c r="N70" s="66"/>
    </row>
    <row r="71" spans="1:14" ht="18" customHeight="1" thickBot="1">
      <c r="A71" s="68">
        <v>61</v>
      </c>
      <c r="B71" s="150">
        <v>2032303499</v>
      </c>
      <c r="C71" s="151" t="s">
        <v>156</v>
      </c>
      <c r="D71" s="170">
        <v>44</v>
      </c>
      <c r="E71" s="170"/>
      <c r="F71" s="171"/>
      <c r="G71" s="150"/>
      <c r="H71" s="150"/>
      <c r="I71" s="150"/>
      <c r="J71" s="54">
        <f t="shared" si="1"/>
        <v>44</v>
      </c>
      <c r="L71" s="36"/>
      <c r="N71" s="66"/>
    </row>
    <row r="72" spans="1:14" ht="18" customHeight="1" thickBot="1">
      <c r="A72" s="68">
        <v>62</v>
      </c>
      <c r="B72" s="150">
        <v>2032303474</v>
      </c>
      <c r="C72" s="151" t="s">
        <v>131</v>
      </c>
      <c r="D72" s="170">
        <v>42</v>
      </c>
      <c r="E72" s="170"/>
      <c r="F72" s="171"/>
      <c r="G72" s="150"/>
      <c r="H72" s="150"/>
      <c r="I72" s="150"/>
      <c r="J72" s="54">
        <f t="shared" si="1"/>
        <v>42</v>
      </c>
      <c r="L72" s="36"/>
      <c r="N72" s="66"/>
    </row>
    <row r="73" spans="1:14" ht="18" customHeight="1" thickBot="1">
      <c r="A73" s="68">
        <v>63</v>
      </c>
      <c r="B73" s="150">
        <v>2032303547</v>
      </c>
      <c r="C73" s="151" t="s">
        <v>203</v>
      </c>
      <c r="D73" s="170">
        <v>49</v>
      </c>
      <c r="E73" s="170"/>
      <c r="F73" s="171"/>
      <c r="G73" s="150"/>
      <c r="H73" s="150"/>
      <c r="I73" s="150"/>
      <c r="J73" s="54">
        <f t="shared" si="1"/>
        <v>49</v>
      </c>
      <c r="L73" s="36"/>
      <c r="N73" s="66"/>
    </row>
    <row r="74" spans="1:14" ht="18" customHeight="1" thickBot="1">
      <c r="A74" s="68">
        <v>64</v>
      </c>
      <c r="B74" s="150">
        <v>2032303512</v>
      </c>
      <c r="C74" s="151" t="s">
        <v>168</v>
      </c>
      <c r="D74" s="170">
        <v>47</v>
      </c>
      <c r="E74" s="170"/>
      <c r="F74" s="171"/>
      <c r="G74" s="150"/>
      <c r="H74" s="150"/>
      <c r="I74" s="150"/>
      <c r="J74" s="54">
        <f t="shared" si="1"/>
        <v>47</v>
      </c>
      <c r="L74" s="36"/>
      <c r="N74" s="66"/>
    </row>
    <row r="75" spans="1:14" ht="18" customHeight="1" thickBot="1">
      <c r="A75" s="68">
        <v>65</v>
      </c>
      <c r="B75" s="150">
        <v>2032303458</v>
      </c>
      <c r="C75" s="151" t="s">
        <v>115</v>
      </c>
      <c r="D75" s="170">
        <v>45</v>
      </c>
      <c r="E75" s="170"/>
      <c r="F75" s="171"/>
      <c r="G75" s="150"/>
      <c r="H75" s="150"/>
      <c r="I75" s="150"/>
      <c r="J75" s="54">
        <f t="shared" si="1"/>
        <v>45</v>
      </c>
      <c r="L75" s="36"/>
      <c r="N75" s="66"/>
    </row>
    <row r="76" spans="1:14" ht="18" customHeight="1" thickBot="1">
      <c r="A76" s="68">
        <v>66</v>
      </c>
      <c r="B76" s="150">
        <v>2032303456</v>
      </c>
      <c r="C76" s="151" t="s">
        <v>113</v>
      </c>
      <c r="D76" s="170">
        <v>47</v>
      </c>
      <c r="E76" s="170"/>
      <c r="F76" s="171"/>
      <c r="G76" s="150"/>
      <c r="H76" s="150"/>
      <c r="I76" s="150"/>
      <c r="J76" s="54">
        <f t="shared" si="1"/>
        <v>47</v>
      </c>
      <c r="L76" s="36"/>
      <c r="N76" s="66"/>
    </row>
    <row r="77" spans="1:14" ht="18" customHeight="1" thickBot="1">
      <c r="A77" s="68">
        <v>67</v>
      </c>
      <c r="B77" s="150">
        <v>2032303451</v>
      </c>
      <c r="C77" s="151" t="s">
        <v>108</v>
      </c>
      <c r="D77" s="170">
        <v>44</v>
      </c>
      <c r="E77" s="170"/>
      <c r="F77" s="171"/>
      <c r="G77" s="150"/>
      <c r="H77" s="150"/>
      <c r="I77" s="150"/>
      <c r="J77" s="54">
        <f t="shared" si="1"/>
        <v>44</v>
      </c>
      <c r="L77" s="36"/>
      <c r="N77" s="66"/>
    </row>
    <row r="78" spans="1:14" ht="18" customHeight="1" thickBot="1">
      <c r="A78" s="68">
        <v>68</v>
      </c>
      <c r="B78" s="150">
        <v>2032303511</v>
      </c>
      <c r="C78" s="151" t="s">
        <v>167</v>
      </c>
      <c r="D78" s="170">
        <v>48</v>
      </c>
      <c r="E78" s="170"/>
      <c r="F78" s="171"/>
      <c r="G78" s="150"/>
      <c r="H78" s="150"/>
      <c r="I78" s="150"/>
      <c r="J78" s="54">
        <f t="shared" si="1"/>
        <v>48</v>
      </c>
      <c r="L78" s="36"/>
      <c r="N78" s="66"/>
    </row>
    <row r="79" spans="1:14" ht="18" customHeight="1" thickBot="1">
      <c r="A79" s="68">
        <v>69</v>
      </c>
      <c r="B79" s="150">
        <v>2032303477</v>
      </c>
      <c r="C79" s="151" t="s">
        <v>134</v>
      </c>
      <c r="D79" s="170">
        <v>47</v>
      </c>
      <c r="E79" s="170"/>
      <c r="F79" s="171"/>
      <c r="G79" s="150"/>
      <c r="H79" s="150"/>
      <c r="I79" s="150"/>
      <c r="J79" s="54">
        <f t="shared" si="1"/>
        <v>47</v>
      </c>
      <c r="L79" s="36"/>
      <c r="N79" s="66"/>
    </row>
    <row r="80" spans="1:14" ht="18" customHeight="1" thickBot="1">
      <c r="A80" s="68">
        <v>70</v>
      </c>
      <c r="B80" s="150">
        <v>2032303536</v>
      </c>
      <c r="C80" s="151" t="s">
        <v>192</v>
      </c>
      <c r="D80" s="170">
        <v>45</v>
      </c>
      <c r="E80" s="170"/>
      <c r="F80" s="171"/>
      <c r="G80" s="150"/>
      <c r="H80" s="150"/>
      <c r="I80" s="150"/>
      <c r="J80" s="54">
        <f t="shared" si="1"/>
        <v>45</v>
      </c>
      <c r="L80" s="36"/>
      <c r="N80" s="66"/>
    </row>
    <row r="81" spans="1:14" ht="18" customHeight="1" thickBot="1">
      <c r="A81" s="68">
        <v>71</v>
      </c>
      <c r="B81" s="150">
        <v>2032303527</v>
      </c>
      <c r="C81" s="151" t="s">
        <v>183</v>
      </c>
      <c r="D81" s="170">
        <v>49</v>
      </c>
      <c r="E81" s="170"/>
      <c r="F81" s="171"/>
      <c r="G81" s="150"/>
      <c r="H81" s="150"/>
      <c r="I81" s="150"/>
      <c r="J81" s="54">
        <f t="shared" si="1"/>
        <v>49</v>
      </c>
      <c r="L81" s="36"/>
      <c r="N81" s="66"/>
    </row>
    <row r="82" spans="1:14" ht="18" customHeight="1" thickBot="1">
      <c r="A82" s="68">
        <v>72</v>
      </c>
      <c r="B82" s="150">
        <v>2032303525</v>
      </c>
      <c r="C82" s="151" t="s">
        <v>181</v>
      </c>
      <c r="D82" s="170">
        <v>49</v>
      </c>
      <c r="E82" s="170"/>
      <c r="F82" s="171"/>
      <c r="G82" s="150"/>
      <c r="H82" s="150"/>
      <c r="I82" s="150"/>
      <c r="J82" s="54">
        <f t="shared" si="1"/>
        <v>49</v>
      </c>
      <c r="L82" s="36"/>
      <c r="N82" s="66"/>
    </row>
    <row r="83" spans="1:14" ht="18" customHeight="1" thickBot="1">
      <c r="A83" s="68">
        <v>73</v>
      </c>
      <c r="B83" s="150">
        <v>2032303468</v>
      </c>
      <c r="C83" s="151" t="s">
        <v>125</v>
      </c>
      <c r="D83" s="170">
        <v>49</v>
      </c>
      <c r="E83" s="170"/>
      <c r="F83" s="171"/>
      <c r="G83" s="150"/>
      <c r="H83" s="150"/>
      <c r="I83" s="150"/>
      <c r="J83" s="54">
        <f t="shared" si="1"/>
        <v>49</v>
      </c>
      <c r="L83" s="36"/>
      <c r="N83" s="66"/>
    </row>
    <row r="84" spans="1:14" ht="18" customHeight="1" thickBot="1">
      <c r="A84" s="68">
        <v>74</v>
      </c>
      <c r="B84" s="150">
        <v>2032303504</v>
      </c>
      <c r="C84" s="151" t="s">
        <v>161</v>
      </c>
      <c r="D84" s="170">
        <v>44</v>
      </c>
      <c r="E84" s="170"/>
      <c r="F84" s="171"/>
      <c r="G84" s="150"/>
      <c r="H84" s="150"/>
      <c r="I84" s="150"/>
      <c r="J84" s="54">
        <f t="shared" si="1"/>
        <v>44</v>
      </c>
      <c r="L84" s="36"/>
      <c r="N84" s="66"/>
    </row>
    <row r="85" spans="1:14" ht="18" customHeight="1" thickBot="1">
      <c r="A85" s="68">
        <v>75</v>
      </c>
      <c r="B85" s="150">
        <v>2032303475</v>
      </c>
      <c r="C85" s="151" t="s">
        <v>132</v>
      </c>
      <c r="D85" s="170">
        <v>43</v>
      </c>
      <c r="E85" s="170"/>
      <c r="F85" s="171"/>
      <c r="G85" s="150"/>
      <c r="H85" s="150"/>
      <c r="I85" s="150"/>
      <c r="J85" s="54">
        <f t="shared" si="1"/>
        <v>43</v>
      </c>
      <c r="L85" s="36"/>
      <c r="N85" s="66"/>
    </row>
    <row r="86" spans="1:14" ht="18" customHeight="1" thickBot="1">
      <c r="A86" s="68">
        <v>76</v>
      </c>
      <c r="B86" s="150">
        <v>2032303517</v>
      </c>
      <c r="C86" s="151" t="s">
        <v>173</v>
      </c>
      <c r="D86" s="170">
        <v>48</v>
      </c>
      <c r="E86" s="170"/>
      <c r="F86" s="171"/>
      <c r="G86" s="150"/>
      <c r="H86" s="150"/>
      <c r="I86" s="150"/>
      <c r="J86" s="54">
        <f t="shared" si="1"/>
        <v>48</v>
      </c>
      <c r="L86" s="36"/>
      <c r="N86" s="66"/>
    </row>
    <row r="87" spans="1:14" ht="18" customHeight="1" thickBot="1">
      <c r="A87" s="68">
        <v>77</v>
      </c>
      <c r="B87" s="150">
        <v>2032303552</v>
      </c>
      <c r="C87" s="151" t="s">
        <v>208</v>
      </c>
      <c r="D87" s="170">
        <v>48</v>
      </c>
      <c r="E87" s="170"/>
      <c r="F87" s="171"/>
      <c r="G87" s="150"/>
      <c r="H87" s="150"/>
      <c r="I87" s="150"/>
      <c r="J87" s="54">
        <f t="shared" si="1"/>
        <v>48</v>
      </c>
      <c r="L87" s="36"/>
      <c r="N87" s="66"/>
    </row>
    <row r="88" spans="1:14" ht="18" customHeight="1" thickBot="1">
      <c r="A88" s="68">
        <v>78</v>
      </c>
      <c r="B88" s="150">
        <v>2032303498</v>
      </c>
      <c r="C88" s="151" t="s">
        <v>155</v>
      </c>
      <c r="D88" s="170">
        <v>46</v>
      </c>
      <c r="E88" s="170"/>
      <c r="F88" s="171"/>
      <c r="G88" s="150"/>
      <c r="H88" s="150"/>
      <c r="I88" s="150"/>
      <c r="J88" s="54">
        <f t="shared" si="1"/>
        <v>46</v>
      </c>
      <c r="L88" s="36"/>
      <c r="N88" s="66"/>
    </row>
    <row r="89" spans="1:14" ht="18" customHeight="1" thickBot="1">
      <c r="A89" s="68">
        <v>79</v>
      </c>
      <c r="B89" s="150">
        <v>2032303510</v>
      </c>
      <c r="C89" s="151" t="s">
        <v>166</v>
      </c>
      <c r="D89" s="170">
        <v>49</v>
      </c>
      <c r="E89" s="170"/>
      <c r="F89" s="171"/>
      <c r="G89" s="150"/>
      <c r="H89" s="150"/>
      <c r="I89" s="150"/>
      <c r="J89" s="54">
        <f t="shared" si="1"/>
        <v>49</v>
      </c>
      <c r="L89" s="36"/>
      <c r="N89" s="66"/>
    </row>
    <row r="90" spans="1:14" ht="18" customHeight="1" thickBot="1">
      <c r="A90" s="68">
        <v>80</v>
      </c>
      <c r="B90" s="150">
        <v>2032303532</v>
      </c>
      <c r="C90" s="151" t="s">
        <v>188</v>
      </c>
      <c r="D90" s="170">
        <v>42</v>
      </c>
      <c r="E90" s="170"/>
      <c r="F90" s="171"/>
      <c r="G90" s="150"/>
      <c r="H90" s="150"/>
      <c r="I90" s="150"/>
      <c r="J90" s="54">
        <f t="shared" si="1"/>
        <v>42</v>
      </c>
      <c r="L90" s="36"/>
      <c r="N90" s="66"/>
    </row>
    <row r="91" spans="1:14" ht="18" customHeight="1" thickBot="1">
      <c r="A91" s="68">
        <v>81</v>
      </c>
      <c r="B91" s="150">
        <v>2032303489</v>
      </c>
      <c r="C91" s="151" t="s">
        <v>146</v>
      </c>
      <c r="D91" s="170">
        <v>40</v>
      </c>
      <c r="E91" s="170"/>
      <c r="F91" s="171"/>
      <c r="G91" s="150"/>
      <c r="H91" s="150"/>
      <c r="I91" s="150"/>
      <c r="J91" s="54">
        <f t="shared" si="1"/>
        <v>40</v>
      </c>
      <c r="L91" s="36"/>
      <c r="N91" s="66"/>
    </row>
    <row r="92" spans="1:14" ht="18" customHeight="1" thickBot="1">
      <c r="A92" s="68">
        <v>82</v>
      </c>
      <c r="B92" s="150">
        <v>2032303520</v>
      </c>
      <c r="C92" s="151" t="s">
        <v>176</v>
      </c>
      <c r="D92" s="170">
        <v>46</v>
      </c>
      <c r="E92" s="170"/>
      <c r="F92" s="171"/>
      <c r="G92" s="150"/>
      <c r="H92" s="150"/>
      <c r="I92" s="150"/>
      <c r="J92" s="54">
        <f t="shared" si="1"/>
        <v>46</v>
      </c>
      <c r="L92" s="36"/>
      <c r="N92" s="66"/>
    </row>
    <row r="93" spans="1:14" ht="18" customHeight="1" thickBot="1">
      <c r="A93" s="68">
        <v>83</v>
      </c>
      <c r="B93" s="150">
        <v>2032303452</v>
      </c>
      <c r="C93" s="151" t="s">
        <v>109</v>
      </c>
      <c r="D93" s="170">
        <v>47</v>
      </c>
      <c r="E93" s="170"/>
      <c r="F93" s="171"/>
      <c r="G93" s="150"/>
      <c r="H93" s="150"/>
      <c r="I93" s="150"/>
      <c r="J93" s="54">
        <f t="shared" si="1"/>
        <v>47</v>
      </c>
      <c r="L93" s="36"/>
      <c r="N93" s="66"/>
    </row>
    <row r="94" spans="1:14" ht="18" customHeight="1" thickBot="1">
      <c r="A94" s="68">
        <v>84</v>
      </c>
      <c r="B94" s="150">
        <v>2032303493</v>
      </c>
      <c r="C94" s="151" t="s">
        <v>150</v>
      </c>
      <c r="D94" s="170">
        <v>41</v>
      </c>
      <c r="E94" s="170"/>
      <c r="F94" s="171"/>
      <c r="G94" s="150"/>
      <c r="H94" s="150"/>
      <c r="I94" s="150"/>
      <c r="J94" s="54">
        <f t="shared" si="1"/>
        <v>41</v>
      </c>
      <c r="L94" s="36"/>
      <c r="N94" s="66"/>
    </row>
    <row r="95" spans="1:14" ht="18" customHeight="1" thickBot="1">
      <c r="A95" s="68">
        <v>85</v>
      </c>
      <c r="B95" s="150">
        <v>2032303554</v>
      </c>
      <c r="C95" s="151" t="s">
        <v>210</v>
      </c>
      <c r="D95" s="170">
        <v>42</v>
      </c>
      <c r="E95" s="170"/>
      <c r="F95" s="171"/>
      <c r="G95" s="150"/>
      <c r="H95" s="150"/>
      <c r="I95" s="150"/>
      <c r="J95" s="54">
        <f t="shared" si="1"/>
        <v>42</v>
      </c>
      <c r="L95" s="36"/>
      <c r="N95" s="66"/>
    </row>
    <row r="96" spans="1:14" ht="18" customHeight="1" thickBot="1">
      <c r="A96" s="68">
        <v>86</v>
      </c>
      <c r="B96" s="150">
        <v>2032303507</v>
      </c>
      <c r="C96" s="151" t="s">
        <v>163</v>
      </c>
      <c r="D96" s="170">
        <v>46</v>
      </c>
      <c r="E96" s="170"/>
      <c r="F96" s="171"/>
      <c r="G96" s="150"/>
      <c r="H96" s="150"/>
      <c r="I96" s="150"/>
      <c r="J96" s="54">
        <f t="shared" si="1"/>
        <v>46</v>
      </c>
      <c r="L96" s="36"/>
      <c r="N96" s="66"/>
    </row>
    <row r="97" spans="1:14" ht="18" customHeight="1" thickBot="1">
      <c r="A97" s="68">
        <v>87</v>
      </c>
      <c r="B97" s="150">
        <v>2032303467</v>
      </c>
      <c r="C97" s="151" t="s">
        <v>124</v>
      </c>
      <c r="D97" s="170">
        <v>50</v>
      </c>
      <c r="E97" s="170"/>
      <c r="F97" s="171"/>
      <c r="G97" s="150"/>
      <c r="H97" s="150"/>
      <c r="I97" s="150"/>
      <c r="J97" s="54">
        <f t="shared" si="1"/>
        <v>50</v>
      </c>
      <c r="L97" s="36"/>
      <c r="N97" s="66"/>
    </row>
    <row r="98" spans="1:14" ht="18" customHeight="1" thickBot="1">
      <c r="A98" s="68">
        <v>88</v>
      </c>
      <c r="B98" s="150">
        <v>2032303544</v>
      </c>
      <c r="C98" s="151" t="s">
        <v>200</v>
      </c>
      <c r="D98" s="170">
        <v>0</v>
      </c>
      <c r="E98" s="170"/>
      <c r="F98" s="171"/>
      <c r="G98" s="150"/>
      <c r="H98" s="150"/>
      <c r="I98" s="150"/>
      <c r="J98" s="54">
        <f t="shared" si="1"/>
        <v>0</v>
      </c>
      <c r="L98" s="36"/>
      <c r="N98" s="66"/>
    </row>
    <row r="99" spans="1:14" ht="18" customHeight="1" thickBot="1">
      <c r="A99" s="68">
        <v>89</v>
      </c>
      <c r="B99" s="150">
        <v>2032303514</v>
      </c>
      <c r="C99" s="151" t="s">
        <v>170</v>
      </c>
      <c r="D99" s="170">
        <v>46</v>
      </c>
      <c r="E99" s="170"/>
      <c r="F99" s="171"/>
      <c r="G99" s="150"/>
      <c r="H99" s="150"/>
      <c r="I99" s="150"/>
      <c r="J99" s="54">
        <f t="shared" si="1"/>
        <v>46</v>
      </c>
      <c r="L99" s="36"/>
      <c r="N99" s="66"/>
    </row>
    <row r="100" spans="1:14" ht="18" customHeight="1" thickBot="1">
      <c r="A100" s="68">
        <v>90</v>
      </c>
      <c r="B100" s="150">
        <v>2032303501</v>
      </c>
      <c r="C100" s="151" t="s">
        <v>158</v>
      </c>
      <c r="D100" s="170">
        <v>48</v>
      </c>
      <c r="E100" s="170"/>
      <c r="F100" s="171"/>
      <c r="G100" s="150"/>
      <c r="H100" s="150"/>
      <c r="I100" s="150"/>
      <c r="J100" s="54">
        <f t="shared" si="1"/>
        <v>48</v>
      </c>
      <c r="L100" s="36"/>
      <c r="N100" s="66"/>
    </row>
    <row r="101" spans="1:14" ht="18" customHeight="1" thickBot="1">
      <c r="A101" s="68">
        <v>91</v>
      </c>
      <c r="B101" s="150">
        <v>2032303461</v>
      </c>
      <c r="C101" s="151" t="s">
        <v>118</v>
      </c>
      <c r="D101" s="170">
        <v>39</v>
      </c>
      <c r="E101" s="170"/>
      <c r="F101" s="171"/>
      <c r="G101" s="150"/>
      <c r="H101" s="150"/>
      <c r="I101" s="150"/>
      <c r="J101" s="54">
        <f t="shared" si="1"/>
        <v>39</v>
      </c>
      <c r="L101" s="36"/>
      <c r="N101" s="66"/>
    </row>
    <row r="102" spans="1:14" ht="18" customHeight="1" thickBot="1">
      <c r="A102" s="68">
        <v>92</v>
      </c>
      <c r="B102" s="150">
        <v>2032303305</v>
      </c>
      <c r="C102" s="151" t="s">
        <v>107</v>
      </c>
      <c r="D102" s="170">
        <v>45</v>
      </c>
      <c r="E102" s="170"/>
      <c r="F102" s="171"/>
      <c r="G102" s="150"/>
      <c r="H102" s="150"/>
      <c r="I102" s="150"/>
      <c r="J102" s="54">
        <f t="shared" si="1"/>
        <v>45</v>
      </c>
      <c r="L102" s="36"/>
      <c r="N102" s="66"/>
    </row>
    <row r="103" spans="1:14" ht="18" customHeight="1" thickBot="1">
      <c r="A103" s="68">
        <v>93</v>
      </c>
      <c r="B103" s="150">
        <v>2032303531</v>
      </c>
      <c r="C103" s="151" t="s">
        <v>187</v>
      </c>
      <c r="D103" s="170">
        <v>48</v>
      </c>
      <c r="E103" s="170"/>
      <c r="F103" s="171"/>
      <c r="G103" s="150"/>
      <c r="H103" s="150"/>
      <c r="I103" s="150"/>
      <c r="J103" s="54">
        <f t="shared" si="1"/>
        <v>48</v>
      </c>
      <c r="L103" s="36"/>
      <c r="N103" s="66"/>
    </row>
    <row r="104" spans="1:14" ht="18" customHeight="1" thickBot="1">
      <c r="A104" s="68">
        <v>94</v>
      </c>
      <c r="B104" s="150">
        <v>2032303460</v>
      </c>
      <c r="C104" s="151" t="s">
        <v>117</v>
      </c>
      <c r="D104" s="170">
        <v>46</v>
      </c>
      <c r="E104" s="170"/>
      <c r="F104" s="171"/>
      <c r="G104" s="150"/>
      <c r="H104" s="150"/>
      <c r="I104" s="150"/>
      <c r="J104" s="54">
        <f t="shared" si="1"/>
        <v>46</v>
      </c>
      <c r="L104" s="36"/>
      <c r="N104" s="66"/>
    </row>
    <row r="105" spans="1:14" ht="18" customHeight="1" thickBot="1">
      <c r="A105" s="68">
        <v>95</v>
      </c>
      <c r="B105" s="150">
        <v>2032303533</v>
      </c>
      <c r="C105" s="151" t="s">
        <v>189</v>
      </c>
      <c r="D105" s="170">
        <v>44</v>
      </c>
      <c r="E105" s="170"/>
      <c r="F105" s="171"/>
      <c r="G105" s="150"/>
      <c r="H105" s="150"/>
      <c r="I105" s="150"/>
      <c r="J105" s="54">
        <f t="shared" si="1"/>
        <v>44</v>
      </c>
      <c r="L105" s="36"/>
      <c r="N105" s="66"/>
    </row>
    <row r="106" spans="1:14" ht="18" customHeight="1" thickBot="1">
      <c r="A106" s="68">
        <v>96</v>
      </c>
      <c r="B106" s="150">
        <v>2032303471</v>
      </c>
      <c r="C106" s="151" t="s">
        <v>128</v>
      </c>
      <c r="D106" s="170">
        <v>41</v>
      </c>
      <c r="E106" s="170"/>
      <c r="F106" s="171"/>
      <c r="G106" s="150"/>
      <c r="H106" s="150"/>
      <c r="I106" s="150"/>
      <c r="J106" s="54">
        <f t="shared" si="1"/>
        <v>41</v>
      </c>
      <c r="L106" s="36"/>
      <c r="N106" s="66"/>
    </row>
    <row r="107" spans="1:14" ht="18" customHeight="1" thickBot="1">
      <c r="A107" s="68">
        <v>97</v>
      </c>
      <c r="B107" s="150">
        <v>2032303546</v>
      </c>
      <c r="C107" s="151" t="s">
        <v>202</v>
      </c>
      <c r="D107" s="170">
        <v>44</v>
      </c>
      <c r="E107" s="170"/>
      <c r="F107" s="171"/>
      <c r="G107" s="150"/>
      <c r="H107" s="150"/>
      <c r="I107" s="150"/>
      <c r="J107" s="54">
        <f t="shared" si="1"/>
        <v>44</v>
      </c>
      <c r="L107" s="36"/>
      <c r="N107" s="66"/>
    </row>
    <row r="108" spans="1:14" ht="18" customHeight="1" thickBot="1">
      <c r="A108" s="68">
        <v>98</v>
      </c>
      <c r="B108" s="150">
        <v>2032303454</v>
      </c>
      <c r="C108" s="151" t="s">
        <v>111</v>
      </c>
      <c r="D108" s="170">
        <v>49</v>
      </c>
      <c r="E108" s="170"/>
      <c r="F108" s="171"/>
      <c r="G108" s="150"/>
      <c r="H108" s="150"/>
      <c r="I108" s="150"/>
      <c r="J108" s="54">
        <f t="shared" si="1"/>
        <v>49</v>
      </c>
      <c r="L108" s="36"/>
      <c r="N108" s="66"/>
    </row>
    <row r="109" spans="1:14" ht="18" customHeight="1" thickBot="1">
      <c r="A109" s="68">
        <v>99</v>
      </c>
      <c r="B109" s="150">
        <v>2032303521</v>
      </c>
      <c r="C109" s="151" t="s">
        <v>177</v>
      </c>
      <c r="D109" s="170">
        <v>44</v>
      </c>
      <c r="E109" s="170"/>
      <c r="F109" s="171"/>
      <c r="G109" s="150"/>
      <c r="H109" s="150"/>
      <c r="I109" s="150"/>
      <c r="J109" s="54">
        <f t="shared" si="1"/>
        <v>44</v>
      </c>
      <c r="L109" s="36"/>
      <c r="N109" s="66"/>
    </row>
    <row r="110" spans="1:14" ht="18" customHeight="1" thickBot="1">
      <c r="A110" s="68">
        <v>100</v>
      </c>
      <c r="B110" s="150">
        <v>2032303545</v>
      </c>
      <c r="C110" s="151" t="s">
        <v>201</v>
      </c>
      <c r="D110" s="170">
        <v>0</v>
      </c>
      <c r="E110" s="170"/>
      <c r="F110" s="171"/>
      <c r="G110" s="150"/>
      <c r="H110" s="150"/>
      <c r="I110" s="150"/>
      <c r="J110" s="54">
        <f t="shared" si="1"/>
        <v>0</v>
      </c>
      <c r="L110" s="36"/>
      <c r="N110" s="66"/>
    </row>
    <row r="111" spans="1:14" ht="18" customHeight="1" thickBot="1">
      <c r="A111" s="68">
        <v>101</v>
      </c>
      <c r="B111" s="150">
        <v>2032303543</v>
      </c>
      <c r="C111" s="151" t="s">
        <v>199</v>
      </c>
      <c r="D111" s="170">
        <v>0</v>
      </c>
      <c r="E111" s="170"/>
      <c r="F111" s="171"/>
      <c r="G111" s="150"/>
      <c r="H111" s="150"/>
      <c r="I111" s="150"/>
      <c r="J111" s="54">
        <f t="shared" si="1"/>
        <v>0</v>
      </c>
      <c r="L111" s="36"/>
      <c r="N111" s="66"/>
    </row>
    <row r="112" spans="1:14" ht="18" customHeight="1" thickBot="1">
      <c r="A112" s="68">
        <v>102</v>
      </c>
      <c r="B112" s="150">
        <v>2032303526</v>
      </c>
      <c r="C112" s="151" t="s">
        <v>182</v>
      </c>
      <c r="D112" s="170">
        <v>0</v>
      </c>
      <c r="E112" s="170"/>
      <c r="F112" s="171"/>
      <c r="G112" s="150"/>
      <c r="H112" s="150"/>
      <c r="I112" s="150"/>
      <c r="J112" s="54">
        <f t="shared" si="1"/>
        <v>0</v>
      </c>
      <c r="L112" s="36"/>
      <c r="N112" s="66"/>
    </row>
    <row r="113" spans="1:15" ht="18" customHeight="1" thickBot="1">
      <c r="A113" s="68">
        <v>103</v>
      </c>
      <c r="B113" s="150">
        <v>2032303557</v>
      </c>
      <c r="C113" s="151" t="s">
        <v>213</v>
      </c>
      <c r="D113" s="170">
        <v>0</v>
      </c>
      <c r="E113" s="170"/>
      <c r="F113" s="171"/>
      <c r="G113" s="150"/>
      <c r="H113" s="150"/>
      <c r="I113" s="150"/>
      <c r="J113" s="54">
        <f t="shared" si="1"/>
        <v>0</v>
      </c>
      <c r="L113" s="36"/>
      <c r="N113" s="66"/>
    </row>
    <row r="114" spans="1:15" ht="18" customHeight="1" thickBot="1">
      <c r="A114" s="68">
        <v>104</v>
      </c>
      <c r="B114" s="150">
        <v>2032303506</v>
      </c>
      <c r="C114" s="151" t="s">
        <v>162</v>
      </c>
      <c r="D114" s="170">
        <v>0</v>
      </c>
      <c r="E114" s="170"/>
      <c r="F114" s="171"/>
      <c r="G114" s="150"/>
      <c r="H114" s="150"/>
      <c r="I114" s="150"/>
      <c r="J114" s="54">
        <f t="shared" si="1"/>
        <v>0</v>
      </c>
      <c r="L114" s="36"/>
      <c r="N114" s="66"/>
    </row>
    <row r="115" spans="1:15" ht="18" customHeight="1" thickBot="1">
      <c r="A115" s="68">
        <v>105</v>
      </c>
      <c r="B115" s="150">
        <v>2032303537</v>
      </c>
      <c r="C115" s="151" t="s">
        <v>193</v>
      </c>
      <c r="D115" s="170">
        <v>0</v>
      </c>
      <c r="E115" s="170"/>
      <c r="F115" s="171"/>
      <c r="G115" s="150"/>
      <c r="H115" s="150"/>
      <c r="I115" s="150"/>
      <c r="J115" s="54">
        <f t="shared" si="1"/>
        <v>0</v>
      </c>
      <c r="L115" s="36"/>
      <c r="N115" s="66"/>
    </row>
    <row r="116" spans="1:15" ht="18" customHeight="1" thickBot="1">
      <c r="A116" s="68">
        <v>106</v>
      </c>
      <c r="B116" s="150">
        <v>2032303558</v>
      </c>
      <c r="C116" s="151" t="s">
        <v>214</v>
      </c>
      <c r="D116" s="170">
        <v>40</v>
      </c>
      <c r="E116" s="170"/>
      <c r="F116" s="171"/>
      <c r="G116" s="150"/>
      <c r="H116" s="150"/>
      <c r="I116" s="150"/>
      <c r="J116" s="54">
        <f t="shared" si="1"/>
        <v>40</v>
      </c>
      <c r="L116" s="36"/>
      <c r="N116" s="66"/>
    </row>
    <row r="117" spans="1:15" ht="18" customHeight="1" thickBot="1">
      <c r="A117" s="68">
        <v>107</v>
      </c>
      <c r="B117" s="150">
        <v>2032303553</v>
      </c>
      <c r="C117" s="151" t="s">
        <v>209</v>
      </c>
      <c r="D117" s="170">
        <v>40</v>
      </c>
      <c r="E117" s="170"/>
      <c r="F117" s="171"/>
      <c r="G117" s="150"/>
      <c r="H117" s="150"/>
      <c r="I117" s="150"/>
      <c r="J117" s="54">
        <f t="shared" si="1"/>
        <v>40</v>
      </c>
      <c r="L117" s="36"/>
      <c r="N117" s="66"/>
    </row>
    <row r="118" spans="1:15" ht="18" customHeight="1">
      <c r="A118" s="68">
        <v>108</v>
      </c>
      <c r="B118" s="150">
        <v>2032303555</v>
      </c>
      <c r="C118" s="151" t="s">
        <v>211</v>
      </c>
      <c r="D118" s="172">
        <v>41</v>
      </c>
      <c r="E118" s="172"/>
      <c r="F118" s="173"/>
      <c r="G118" s="150"/>
      <c r="H118" s="150"/>
      <c r="I118" s="150"/>
      <c r="J118" s="54">
        <f t="shared" si="1"/>
        <v>41</v>
      </c>
      <c r="L118" s="36"/>
      <c r="N118" s="66"/>
    </row>
    <row r="119" spans="1:15" ht="15.75" customHeight="1">
      <c r="A119" s="271" t="s">
        <v>104</v>
      </c>
      <c r="B119" s="271"/>
      <c r="C119" s="149">
        <f>COUNT(A11:A118)</f>
        <v>108</v>
      </c>
      <c r="D119" s="176"/>
      <c r="E119" s="176"/>
      <c r="F119" s="176"/>
      <c r="G119" s="176"/>
      <c r="H119" s="176"/>
    </row>
    <row r="120" spans="1:15" ht="15.75" customHeight="1">
      <c r="A120" s="4"/>
      <c r="C120" s="5"/>
    </row>
    <row r="121" spans="1:15" ht="15.75" customHeight="1">
      <c r="A121" s="35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</row>
    <row r="122" spans="1:15" ht="15.75" customHeight="1">
      <c r="A122" s="35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</row>
    <row r="123" spans="1:15" ht="15.75" customHeight="1">
      <c r="A123" t="str">
        <f>Faculty</f>
        <v>Narsareaddy Chude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0"/>
      <c r="B125" s="80"/>
      <c r="C125" s="81"/>
      <c r="D125" s="81"/>
      <c r="E125" s="249"/>
      <c r="F125" s="249"/>
      <c r="J125" s="47"/>
      <c r="K125" s="80"/>
      <c r="L125"/>
      <c r="M125" s="80"/>
      <c r="O125"/>
    </row>
    <row r="126" spans="1:15" ht="15.75" customHeight="1">
      <c r="A126" s="80"/>
      <c r="B126" s="80"/>
      <c r="C126" s="81"/>
      <c r="D126" s="81"/>
      <c r="E126" s="249"/>
      <c r="F126" s="249"/>
      <c r="J126" s="47"/>
      <c r="K126" s="80"/>
      <c r="L126"/>
      <c r="M126" s="80"/>
    </row>
    <row r="127" spans="1:15" s="34" customFormat="1">
      <c r="A127" s="217" t="str">
        <f>SubjectDetails!A24</f>
        <v>Dr. Ravi Chourasiya</v>
      </c>
      <c r="B127" s="217"/>
      <c r="C127" s="217"/>
      <c r="D127" s="249" t="str">
        <f>SubjectDetails!E24</f>
        <v>Dr. Ashwini Chavan</v>
      </c>
      <c r="E127" s="249"/>
      <c r="F127" s="249"/>
      <c r="G127" s="249"/>
      <c r="H127"/>
      <c r="I127" s="218" t="str">
        <f>SubjectDetails!H24</f>
        <v>Dr. Priyanka Singh</v>
      </c>
      <c r="J127" s="218"/>
      <c r="K127" s="80"/>
      <c r="L127"/>
      <c r="M127" s="80"/>
      <c r="N127" s="47"/>
      <c r="O127"/>
    </row>
    <row r="128" spans="1:15" s="34" customFormat="1">
      <c r="A128" s="217" t="str">
        <f>SubjectDetails!A25</f>
        <v>(College Examination Officer)</v>
      </c>
      <c r="B128" s="217"/>
      <c r="C128" s="217"/>
      <c r="D128" s="249" t="str">
        <f>SubjectDetails!E25</f>
        <v>HOD (MCA)</v>
      </c>
      <c r="E128" s="249"/>
      <c r="F128" s="249"/>
      <c r="G128" s="249"/>
      <c r="H128"/>
      <c r="I128" s="218" t="str">
        <f>SubjectDetails!H25</f>
        <v>Director</v>
      </c>
      <c r="J128" s="218"/>
      <c r="K128" s="80"/>
      <c r="L128"/>
      <c r="M128" s="80"/>
      <c r="N128" s="47"/>
      <c r="O128" s="7"/>
    </row>
    <row r="129" spans="1:15" ht="15.75" customHeight="1">
      <c r="A129" s="35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</row>
  </sheetData>
  <sortState ref="A11:H37">
    <sortCondition ref="B11:B37"/>
  </sortState>
  <mergeCells count="22">
    <mergeCell ref="A128:C128"/>
    <mergeCell ref="I128:J128"/>
    <mergeCell ref="D127:G127"/>
    <mergeCell ref="D128:G128"/>
    <mergeCell ref="E125:F125"/>
    <mergeCell ref="E126:F126"/>
    <mergeCell ref="A127:C127"/>
    <mergeCell ref="I127:J127"/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>
      <selection activeCell="D11" sqref="D11:D118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1" bestFit="1" customWidth="1"/>
    <col min="4" max="11" width="7.7109375" style="51" customWidth="1"/>
    <col min="12" max="12" width="15.28515625" style="52" customWidth="1"/>
    <col min="13" max="16384" width="12.7109375" style="7"/>
  </cols>
  <sheetData>
    <row r="1" spans="1:12" customFormat="1" ht="24.6" customHeight="1">
      <c r="A1" s="235" t="s">
        <v>71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2" spans="1:12" customFormat="1" ht="21" customHeight="1">
      <c r="A2" s="237" t="s">
        <v>72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</row>
    <row r="3" spans="1:12" customFormat="1" ht="13.9" customHeight="1">
      <c r="A3" s="239" t="s">
        <v>73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2" customFormat="1" ht="13.9" customHeight="1" thickBot="1">
      <c r="A4" s="274" t="s">
        <v>9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</row>
    <row r="5" spans="1:12" ht="30.4" customHeight="1">
      <c r="A5" s="276" t="s">
        <v>5</v>
      </c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8"/>
    </row>
    <row r="6" spans="1:12" ht="32.25" customHeight="1">
      <c r="A6" s="293" t="str">
        <f>CONCATENATE(Class," ", spl)</f>
        <v xml:space="preserve">MCA I SEM I AY 2023-24 </v>
      </c>
      <c r="B6" s="294"/>
      <c r="C6" s="113" t="str">
        <f>CONCATENATE("Name of Faculty: ", Faculty)</f>
        <v>Name of Faculty: Narsareaddy Chude</v>
      </c>
      <c r="D6" s="293" t="str">
        <f>CONCATENATE("Course Name: ", Sub_Code)</f>
        <v>Course Name: Mini Project</v>
      </c>
      <c r="E6" s="296"/>
      <c r="F6" s="296"/>
      <c r="G6" s="296"/>
      <c r="H6" s="296"/>
      <c r="I6" s="296"/>
      <c r="J6" s="296"/>
      <c r="K6" s="296"/>
      <c r="L6" s="294"/>
    </row>
    <row r="7" spans="1:12" ht="21" customHeight="1">
      <c r="A7" s="289" t="s">
        <v>0</v>
      </c>
      <c r="B7" s="289" t="s">
        <v>6</v>
      </c>
      <c r="C7" s="285" t="s">
        <v>1</v>
      </c>
      <c r="D7" s="297" t="s">
        <v>219</v>
      </c>
      <c r="E7" s="297"/>
      <c r="F7" s="297"/>
      <c r="G7" s="297"/>
      <c r="H7" s="297"/>
      <c r="I7" s="297"/>
      <c r="J7" s="297"/>
      <c r="K7" s="297"/>
      <c r="L7" s="295" t="s">
        <v>47</v>
      </c>
    </row>
    <row r="8" spans="1:12" s="36" customFormat="1" ht="19.5" customHeight="1">
      <c r="A8" s="290"/>
      <c r="B8" s="290"/>
      <c r="C8" s="286"/>
      <c r="D8" s="118" t="s">
        <v>98</v>
      </c>
      <c r="E8" s="118"/>
      <c r="F8" s="118"/>
      <c r="G8" s="118"/>
      <c r="H8" s="118"/>
      <c r="I8" s="118"/>
      <c r="J8" s="118"/>
      <c r="K8" s="118"/>
      <c r="L8" s="295"/>
    </row>
    <row r="9" spans="1:12" s="36" customFormat="1" ht="20.25">
      <c r="A9" s="290"/>
      <c r="B9" s="290"/>
      <c r="C9" s="82" t="s">
        <v>70</v>
      </c>
      <c r="D9" s="119">
        <v>25</v>
      </c>
      <c r="E9" s="119"/>
      <c r="F9" s="119"/>
      <c r="G9" s="119"/>
      <c r="H9" s="119"/>
      <c r="I9" s="119"/>
      <c r="J9" s="119"/>
      <c r="K9" s="119"/>
      <c r="L9" s="272">
        <f>D9+E9+F9+G9+H9+I9+J9+K9</f>
        <v>25</v>
      </c>
    </row>
    <row r="10" spans="1:12" s="36" customFormat="1" ht="21" thickBot="1">
      <c r="A10" s="291"/>
      <c r="B10" s="292"/>
      <c r="C10" s="82" t="s">
        <v>99</v>
      </c>
      <c r="D10" s="117" t="s">
        <v>2</v>
      </c>
      <c r="E10" s="117"/>
      <c r="F10" s="117"/>
      <c r="G10" s="117"/>
      <c r="H10" s="117"/>
      <c r="I10" s="117"/>
      <c r="J10" s="117"/>
      <c r="K10" s="117"/>
      <c r="L10" s="273"/>
    </row>
    <row r="11" spans="1:12" s="36" customFormat="1" ht="18" customHeight="1" thickBot="1">
      <c r="A11" s="68">
        <v>1</v>
      </c>
      <c r="B11" s="150">
        <v>2032303524</v>
      </c>
      <c r="C11" s="151" t="s">
        <v>180</v>
      </c>
      <c r="D11" s="171">
        <v>22</v>
      </c>
      <c r="E11" s="171"/>
      <c r="F11" s="171"/>
      <c r="G11" s="171"/>
      <c r="H11" s="171"/>
      <c r="I11" s="170"/>
      <c r="J11" s="170"/>
      <c r="K11" s="171"/>
      <c r="L11" s="32">
        <f>IF(E11&lt;&gt;"AB",SUM(D11:K11),"AB")</f>
        <v>22</v>
      </c>
    </row>
    <row r="12" spans="1:12" ht="18" customHeight="1" thickBot="1">
      <c r="A12" s="68">
        <v>2</v>
      </c>
      <c r="B12" s="150">
        <v>2032303491</v>
      </c>
      <c r="C12" s="151" t="s">
        <v>148</v>
      </c>
      <c r="D12" s="171">
        <v>23</v>
      </c>
      <c r="E12" s="171"/>
      <c r="F12" s="171"/>
      <c r="G12" s="171"/>
      <c r="H12" s="171"/>
      <c r="I12" s="170"/>
      <c r="J12" s="170"/>
      <c r="K12" s="171"/>
      <c r="L12" s="32">
        <f t="shared" ref="L12:L75" si="0">IF(E12&lt;&gt;"AB",SUM(D12:K12),"AB")</f>
        <v>23</v>
      </c>
    </row>
    <row r="13" spans="1:12" ht="18" customHeight="1" thickBot="1">
      <c r="A13" s="68">
        <v>3</v>
      </c>
      <c r="B13" s="150">
        <v>2032303500</v>
      </c>
      <c r="C13" s="151" t="s">
        <v>157</v>
      </c>
      <c r="D13" s="171">
        <v>23</v>
      </c>
      <c r="E13" s="171"/>
      <c r="F13" s="171"/>
      <c r="G13" s="171"/>
      <c r="H13" s="171"/>
      <c r="I13" s="170"/>
      <c r="J13" s="170"/>
      <c r="K13" s="171"/>
      <c r="L13" s="32">
        <f t="shared" si="0"/>
        <v>23</v>
      </c>
    </row>
    <row r="14" spans="1:12" ht="18" customHeight="1" thickBot="1">
      <c r="A14" s="68">
        <v>4</v>
      </c>
      <c r="B14" s="150">
        <v>2032303484</v>
      </c>
      <c r="C14" s="151" t="s">
        <v>141</v>
      </c>
      <c r="D14" s="171">
        <v>21</v>
      </c>
      <c r="E14" s="171"/>
      <c r="F14" s="171"/>
      <c r="G14" s="171"/>
      <c r="H14" s="171"/>
      <c r="I14" s="170"/>
      <c r="J14" s="170"/>
      <c r="K14" s="171"/>
      <c r="L14" s="32">
        <f t="shared" si="0"/>
        <v>21</v>
      </c>
    </row>
    <row r="15" spans="1:12" ht="18" customHeight="1" thickBot="1">
      <c r="A15" s="68">
        <v>5</v>
      </c>
      <c r="B15" s="150">
        <v>2032303481</v>
      </c>
      <c r="C15" s="151" t="s">
        <v>138</v>
      </c>
      <c r="D15" s="171">
        <v>21</v>
      </c>
      <c r="E15" s="171"/>
      <c r="F15" s="171"/>
      <c r="G15" s="171"/>
      <c r="H15" s="171"/>
      <c r="I15" s="170"/>
      <c r="J15" s="170"/>
      <c r="K15" s="171"/>
      <c r="L15" s="32">
        <f t="shared" si="0"/>
        <v>21</v>
      </c>
    </row>
    <row r="16" spans="1:12" ht="18" customHeight="1" thickBot="1">
      <c r="A16" s="68">
        <v>6</v>
      </c>
      <c r="B16" s="150">
        <v>2032303483</v>
      </c>
      <c r="C16" s="151" t="s">
        <v>140</v>
      </c>
      <c r="D16" s="171">
        <v>20</v>
      </c>
      <c r="E16" s="171"/>
      <c r="F16" s="171"/>
      <c r="G16" s="171"/>
      <c r="H16" s="171"/>
      <c r="I16" s="170"/>
      <c r="J16" s="170"/>
      <c r="K16" s="171"/>
      <c r="L16" s="32">
        <f t="shared" si="0"/>
        <v>20</v>
      </c>
    </row>
    <row r="17" spans="1:12" ht="18" customHeight="1" thickBot="1">
      <c r="A17" s="68">
        <v>7</v>
      </c>
      <c r="B17" s="150">
        <v>2032303463</v>
      </c>
      <c r="C17" s="151" t="s">
        <v>120</v>
      </c>
      <c r="D17" s="171">
        <v>23</v>
      </c>
      <c r="E17" s="171"/>
      <c r="F17" s="171"/>
      <c r="G17" s="171"/>
      <c r="H17" s="171"/>
      <c r="I17" s="170"/>
      <c r="J17" s="170"/>
      <c r="K17" s="171"/>
      <c r="L17" s="32">
        <f t="shared" si="0"/>
        <v>23</v>
      </c>
    </row>
    <row r="18" spans="1:12" ht="18" customHeight="1" thickBot="1">
      <c r="A18" s="68">
        <v>8</v>
      </c>
      <c r="B18" s="150">
        <v>2032303487</v>
      </c>
      <c r="C18" s="151" t="s">
        <v>144</v>
      </c>
      <c r="D18" s="171">
        <v>19</v>
      </c>
      <c r="E18" s="171"/>
      <c r="F18" s="171"/>
      <c r="G18" s="171"/>
      <c r="H18" s="171"/>
      <c r="I18" s="170"/>
      <c r="J18" s="170"/>
      <c r="K18" s="171"/>
      <c r="L18" s="32">
        <f t="shared" si="0"/>
        <v>19</v>
      </c>
    </row>
    <row r="19" spans="1:12" ht="18" customHeight="1" thickBot="1">
      <c r="A19" s="68">
        <v>9</v>
      </c>
      <c r="B19" s="150">
        <v>2032303455</v>
      </c>
      <c r="C19" s="151" t="s">
        <v>112</v>
      </c>
      <c r="D19" s="171">
        <v>21</v>
      </c>
      <c r="E19" s="171"/>
      <c r="F19" s="171"/>
      <c r="G19" s="171"/>
      <c r="H19" s="171"/>
      <c r="I19" s="170"/>
      <c r="J19" s="170"/>
      <c r="K19" s="171"/>
      <c r="L19" s="32">
        <f t="shared" si="0"/>
        <v>21</v>
      </c>
    </row>
    <row r="20" spans="1:12" ht="18" customHeight="1" thickBot="1">
      <c r="A20" s="68">
        <v>10</v>
      </c>
      <c r="B20" s="150">
        <v>2032303516</v>
      </c>
      <c r="C20" s="151" t="s">
        <v>172</v>
      </c>
      <c r="D20" s="171">
        <v>22</v>
      </c>
      <c r="E20" s="171"/>
      <c r="F20" s="171"/>
      <c r="G20" s="171"/>
      <c r="H20" s="171"/>
      <c r="I20" s="170"/>
      <c r="J20" s="170"/>
      <c r="K20" s="171"/>
      <c r="L20" s="32">
        <f t="shared" si="0"/>
        <v>22</v>
      </c>
    </row>
    <row r="21" spans="1:12" ht="18" customHeight="1" thickBot="1">
      <c r="A21" s="68">
        <v>11</v>
      </c>
      <c r="B21" s="150">
        <v>2032303515</v>
      </c>
      <c r="C21" s="151" t="s">
        <v>171</v>
      </c>
      <c r="D21" s="171">
        <v>17</v>
      </c>
      <c r="E21" s="171"/>
      <c r="F21" s="171"/>
      <c r="G21" s="171"/>
      <c r="H21" s="171"/>
      <c r="I21" s="170"/>
      <c r="J21" s="170"/>
      <c r="K21" s="171"/>
      <c r="L21" s="32">
        <f t="shared" si="0"/>
        <v>17</v>
      </c>
    </row>
    <row r="22" spans="1:12" ht="18" customHeight="1" thickBot="1">
      <c r="A22" s="68">
        <v>12</v>
      </c>
      <c r="B22" s="150">
        <v>2032303502</v>
      </c>
      <c r="C22" s="151" t="s">
        <v>159</v>
      </c>
      <c r="D22" s="171">
        <v>18</v>
      </c>
      <c r="E22" s="171"/>
      <c r="F22" s="171"/>
      <c r="G22" s="171"/>
      <c r="H22" s="171"/>
      <c r="I22" s="170"/>
      <c r="J22" s="170"/>
      <c r="K22" s="171"/>
      <c r="L22" s="32">
        <f t="shared" si="0"/>
        <v>18</v>
      </c>
    </row>
    <row r="23" spans="1:12" ht="18" customHeight="1" thickBot="1">
      <c r="A23" s="68">
        <v>13</v>
      </c>
      <c r="B23" s="150">
        <v>2032303513</v>
      </c>
      <c r="C23" s="151" t="s">
        <v>169</v>
      </c>
      <c r="D23" s="171">
        <v>22</v>
      </c>
      <c r="E23" s="171"/>
      <c r="F23" s="171"/>
      <c r="G23" s="171"/>
      <c r="H23" s="171"/>
      <c r="I23" s="170"/>
      <c r="J23" s="170"/>
      <c r="K23" s="171"/>
      <c r="L23" s="32">
        <f t="shared" si="0"/>
        <v>22</v>
      </c>
    </row>
    <row r="24" spans="1:12" ht="18" customHeight="1" thickBot="1">
      <c r="A24" s="68">
        <v>14</v>
      </c>
      <c r="B24" s="150">
        <v>2032303538</v>
      </c>
      <c r="C24" s="151" t="s">
        <v>194</v>
      </c>
      <c r="D24" s="171">
        <v>19</v>
      </c>
      <c r="E24" s="171"/>
      <c r="F24" s="171"/>
      <c r="G24" s="171"/>
      <c r="H24" s="171"/>
      <c r="I24" s="170"/>
      <c r="J24" s="170"/>
      <c r="K24" s="171"/>
      <c r="L24" s="32">
        <f t="shared" si="0"/>
        <v>19</v>
      </c>
    </row>
    <row r="25" spans="1:12" ht="18" customHeight="1" thickBot="1">
      <c r="A25" s="68">
        <v>15</v>
      </c>
      <c r="B25" s="150">
        <v>2032303478</v>
      </c>
      <c r="C25" s="151" t="s">
        <v>135</v>
      </c>
      <c r="D25" s="171">
        <v>20</v>
      </c>
      <c r="E25" s="171"/>
      <c r="F25" s="171"/>
      <c r="G25" s="171"/>
      <c r="H25" s="171"/>
      <c r="I25" s="170"/>
      <c r="J25" s="170"/>
      <c r="K25" s="171"/>
      <c r="L25" s="32">
        <f t="shared" si="0"/>
        <v>20</v>
      </c>
    </row>
    <row r="26" spans="1:12" ht="18" customHeight="1" thickBot="1">
      <c r="A26" s="68">
        <v>16</v>
      </c>
      <c r="B26" s="150">
        <v>2032303464</v>
      </c>
      <c r="C26" s="151" t="s">
        <v>121</v>
      </c>
      <c r="D26" s="171">
        <v>21</v>
      </c>
      <c r="E26" s="171"/>
      <c r="F26" s="171"/>
      <c r="G26" s="171"/>
      <c r="H26" s="171"/>
      <c r="I26" s="170"/>
      <c r="J26" s="170"/>
      <c r="K26" s="171"/>
      <c r="L26" s="32">
        <f t="shared" si="0"/>
        <v>21</v>
      </c>
    </row>
    <row r="27" spans="1:12" ht="18" customHeight="1" thickBot="1">
      <c r="A27" s="68">
        <v>17</v>
      </c>
      <c r="B27" s="150">
        <v>2032303528</v>
      </c>
      <c r="C27" s="151" t="s">
        <v>184</v>
      </c>
      <c r="D27" s="171">
        <v>19</v>
      </c>
      <c r="E27" s="171"/>
      <c r="F27" s="171"/>
      <c r="G27" s="171"/>
      <c r="H27" s="171"/>
      <c r="I27" s="170"/>
      <c r="J27" s="170"/>
      <c r="K27" s="171"/>
      <c r="L27" s="32">
        <f t="shared" si="0"/>
        <v>19</v>
      </c>
    </row>
    <row r="28" spans="1:12" ht="18" customHeight="1" thickBot="1">
      <c r="A28" s="68">
        <v>18</v>
      </c>
      <c r="B28" s="150">
        <v>2032303476</v>
      </c>
      <c r="C28" s="151" t="s">
        <v>133</v>
      </c>
      <c r="D28" s="171">
        <v>20</v>
      </c>
      <c r="E28" s="171"/>
      <c r="F28" s="171"/>
      <c r="G28" s="171"/>
      <c r="H28" s="171"/>
      <c r="I28" s="170"/>
      <c r="J28" s="170"/>
      <c r="K28" s="171"/>
      <c r="L28" s="32">
        <f t="shared" si="0"/>
        <v>20</v>
      </c>
    </row>
    <row r="29" spans="1:12" ht="18" customHeight="1" thickBot="1">
      <c r="A29" s="68">
        <v>19</v>
      </c>
      <c r="B29" s="150">
        <v>2032303509</v>
      </c>
      <c r="C29" s="151" t="s">
        <v>165</v>
      </c>
      <c r="D29" s="171">
        <v>14</v>
      </c>
      <c r="E29" s="171"/>
      <c r="F29" s="171"/>
      <c r="G29" s="171"/>
      <c r="H29" s="171"/>
      <c r="I29" s="170"/>
      <c r="J29" s="170"/>
      <c r="K29" s="171"/>
      <c r="L29" s="32">
        <f t="shared" si="0"/>
        <v>14</v>
      </c>
    </row>
    <row r="30" spans="1:12" ht="18" customHeight="1" thickBot="1">
      <c r="A30" s="68">
        <v>20</v>
      </c>
      <c r="B30" s="150">
        <v>2032303535</v>
      </c>
      <c r="C30" s="151" t="s">
        <v>191</v>
      </c>
      <c r="D30" s="171">
        <v>22</v>
      </c>
      <c r="E30" s="171"/>
      <c r="F30" s="171"/>
      <c r="G30" s="171"/>
      <c r="H30" s="171"/>
      <c r="I30" s="170"/>
      <c r="J30" s="170"/>
      <c r="K30" s="171"/>
      <c r="L30" s="32">
        <f t="shared" si="0"/>
        <v>22</v>
      </c>
    </row>
    <row r="31" spans="1:12" ht="18" customHeight="1" thickBot="1">
      <c r="A31" s="68">
        <v>21</v>
      </c>
      <c r="B31" s="150">
        <v>2032303548</v>
      </c>
      <c r="C31" s="151" t="s">
        <v>204</v>
      </c>
      <c r="D31" s="171">
        <v>23</v>
      </c>
      <c r="E31" s="171"/>
      <c r="F31" s="171"/>
      <c r="G31" s="171"/>
      <c r="H31" s="171"/>
      <c r="I31" s="170"/>
      <c r="J31" s="170"/>
      <c r="K31" s="171"/>
      <c r="L31" s="32">
        <f t="shared" si="0"/>
        <v>23</v>
      </c>
    </row>
    <row r="32" spans="1:12" ht="18" customHeight="1" thickBot="1">
      <c r="A32" s="68">
        <v>22</v>
      </c>
      <c r="B32" s="150">
        <v>2032303503</v>
      </c>
      <c r="C32" s="151" t="s">
        <v>160</v>
      </c>
      <c r="D32" s="171">
        <v>21</v>
      </c>
      <c r="E32" s="171"/>
      <c r="F32" s="171"/>
      <c r="G32" s="171"/>
      <c r="H32" s="171"/>
      <c r="I32" s="170"/>
      <c r="J32" s="170"/>
      <c r="K32" s="171"/>
      <c r="L32" s="32">
        <f t="shared" si="0"/>
        <v>21</v>
      </c>
    </row>
    <row r="33" spans="1:12" ht="18" customHeight="1" thickBot="1">
      <c r="A33" s="68">
        <v>23</v>
      </c>
      <c r="B33" s="150">
        <v>2032303495</v>
      </c>
      <c r="C33" s="151" t="s">
        <v>152</v>
      </c>
      <c r="D33" s="171">
        <v>15</v>
      </c>
      <c r="E33" s="171"/>
      <c r="F33" s="171"/>
      <c r="G33" s="171"/>
      <c r="H33" s="171"/>
      <c r="I33" s="170"/>
      <c r="J33" s="170"/>
      <c r="K33" s="171"/>
      <c r="L33" s="32">
        <f t="shared" si="0"/>
        <v>15</v>
      </c>
    </row>
    <row r="34" spans="1:12" ht="18" customHeight="1" thickBot="1">
      <c r="A34" s="68">
        <v>24</v>
      </c>
      <c r="B34" s="150">
        <v>2032303482</v>
      </c>
      <c r="C34" s="151" t="s">
        <v>139</v>
      </c>
      <c r="D34" s="171">
        <v>22</v>
      </c>
      <c r="E34" s="171"/>
      <c r="F34" s="171"/>
      <c r="G34" s="171"/>
      <c r="H34" s="171"/>
      <c r="I34" s="170"/>
      <c r="J34" s="170"/>
      <c r="K34" s="171"/>
      <c r="L34" s="32">
        <f t="shared" si="0"/>
        <v>22</v>
      </c>
    </row>
    <row r="35" spans="1:12" ht="18" customHeight="1" thickBot="1">
      <c r="A35" s="68">
        <v>25</v>
      </c>
      <c r="B35" s="150">
        <v>2032303508</v>
      </c>
      <c r="C35" s="151" t="s">
        <v>164</v>
      </c>
      <c r="D35" s="171">
        <v>21</v>
      </c>
      <c r="E35" s="171"/>
      <c r="F35" s="171"/>
      <c r="G35" s="171"/>
      <c r="H35" s="171"/>
      <c r="I35" s="170"/>
      <c r="J35" s="170"/>
      <c r="K35" s="171"/>
      <c r="L35" s="32">
        <f t="shared" si="0"/>
        <v>21</v>
      </c>
    </row>
    <row r="36" spans="1:12" ht="18" customHeight="1" thickBot="1">
      <c r="A36" s="68">
        <v>26</v>
      </c>
      <c r="B36" s="150">
        <v>2032303472</v>
      </c>
      <c r="C36" s="151" t="s">
        <v>129</v>
      </c>
      <c r="D36" s="171">
        <v>22</v>
      </c>
      <c r="E36" s="171"/>
      <c r="F36" s="171"/>
      <c r="G36" s="171"/>
      <c r="H36" s="171"/>
      <c r="I36" s="170"/>
      <c r="J36" s="170"/>
      <c r="K36" s="171"/>
      <c r="L36" s="32">
        <f t="shared" si="0"/>
        <v>22</v>
      </c>
    </row>
    <row r="37" spans="1:12" ht="18" customHeight="1" thickBot="1">
      <c r="A37" s="68">
        <v>27</v>
      </c>
      <c r="B37" s="150">
        <v>2032303549</v>
      </c>
      <c r="C37" s="151" t="s">
        <v>205</v>
      </c>
      <c r="D37" s="171">
        <v>23</v>
      </c>
      <c r="E37" s="171"/>
      <c r="F37" s="171"/>
      <c r="G37" s="171"/>
      <c r="H37" s="171"/>
      <c r="I37" s="170"/>
      <c r="J37" s="170"/>
      <c r="K37" s="171"/>
      <c r="L37" s="32">
        <f t="shared" si="0"/>
        <v>23</v>
      </c>
    </row>
    <row r="38" spans="1:12" ht="18" customHeight="1" thickBot="1">
      <c r="A38" s="68">
        <v>28</v>
      </c>
      <c r="B38" s="150">
        <v>2032303479</v>
      </c>
      <c r="C38" s="151" t="s">
        <v>136</v>
      </c>
      <c r="D38" s="171">
        <v>21</v>
      </c>
      <c r="E38" s="171"/>
      <c r="F38" s="171"/>
      <c r="G38" s="171"/>
      <c r="H38" s="171"/>
      <c r="I38" s="170"/>
      <c r="J38" s="170"/>
      <c r="K38" s="171"/>
      <c r="L38" s="32">
        <f t="shared" si="0"/>
        <v>21</v>
      </c>
    </row>
    <row r="39" spans="1:12" ht="18" customHeight="1" thickBot="1">
      <c r="A39" s="68">
        <v>29</v>
      </c>
      <c r="B39" s="150">
        <v>2032303519</v>
      </c>
      <c r="C39" s="151" t="s">
        <v>175</v>
      </c>
      <c r="D39" s="171">
        <v>20</v>
      </c>
      <c r="E39" s="171"/>
      <c r="F39" s="171"/>
      <c r="G39" s="171"/>
      <c r="H39" s="171"/>
      <c r="I39" s="170"/>
      <c r="J39" s="170"/>
      <c r="K39" s="171"/>
      <c r="L39" s="32">
        <f t="shared" si="0"/>
        <v>20</v>
      </c>
    </row>
    <row r="40" spans="1:12" ht="18" customHeight="1" thickBot="1">
      <c r="A40" s="68">
        <v>30</v>
      </c>
      <c r="B40" s="150">
        <v>2032303497</v>
      </c>
      <c r="C40" s="151" t="s">
        <v>154</v>
      </c>
      <c r="D40" s="171">
        <v>23</v>
      </c>
      <c r="E40" s="171"/>
      <c r="F40" s="171"/>
      <c r="G40" s="171"/>
      <c r="H40" s="171"/>
      <c r="I40" s="170"/>
      <c r="J40" s="170"/>
      <c r="K40" s="171"/>
      <c r="L40" s="32">
        <f t="shared" si="0"/>
        <v>23</v>
      </c>
    </row>
    <row r="41" spans="1:12" ht="18" customHeight="1" thickBot="1">
      <c r="A41" s="68">
        <v>31</v>
      </c>
      <c r="B41" s="150">
        <v>2032303539</v>
      </c>
      <c r="C41" s="151" t="s">
        <v>195</v>
      </c>
      <c r="D41" s="171">
        <v>22</v>
      </c>
      <c r="E41" s="171"/>
      <c r="F41" s="171"/>
      <c r="G41" s="171"/>
      <c r="H41" s="171"/>
      <c r="I41" s="170"/>
      <c r="J41" s="170"/>
      <c r="K41" s="171"/>
      <c r="L41" s="32">
        <f t="shared" si="0"/>
        <v>22</v>
      </c>
    </row>
    <row r="42" spans="1:12" ht="18" customHeight="1" thickBot="1">
      <c r="A42" s="68">
        <v>32</v>
      </c>
      <c r="B42" s="150">
        <v>2032303486</v>
      </c>
      <c r="C42" s="151" t="s">
        <v>143</v>
      </c>
      <c r="D42" s="171">
        <v>18</v>
      </c>
      <c r="E42" s="171"/>
      <c r="F42" s="171"/>
      <c r="G42" s="171"/>
      <c r="H42" s="171"/>
      <c r="I42" s="170"/>
      <c r="J42" s="170"/>
      <c r="K42" s="171"/>
      <c r="L42" s="32">
        <f t="shared" si="0"/>
        <v>18</v>
      </c>
    </row>
    <row r="43" spans="1:12" ht="18" customHeight="1" thickBot="1">
      <c r="A43" s="68">
        <v>33</v>
      </c>
      <c r="B43" s="150">
        <v>2032303469</v>
      </c>
      <c r="C43" s="151" t="s">
        <v>126</v>
      </c>
      <c r="D43" s="171">
        <v>22</v>
      </c>
      <c r="E43" s="171"/>
      <c r="F43" s="171"/>
      <c r="G43" s="171"/>
      <c r="H43" s="171"/>
      <c r="I43" s="170"/>
      <c r="J43" s="170"/>
      <c r="K43" s="171"/>
      <c r="L43" s="32">
        <f t="shared" si="0"/>
        <v>22</v>
      </c>
    </row>
    <row r="44" spans="1:12" ht="18" customHeight="1" thickBot="1">
      <c r="A44" s="68">
        <v>34</v>
      </c>
      <c r="B44" s="150">
        <v>2032303462</v>
      </c>
      <c r="C44" s="151" t="s">
        <v>119</v>
      </c>
      <c r="D44" s="171">
        <v>19</v>
      </c>
      <c r="E44" s="171"/>
      <c r="F44" s="171"/>
      <c r="G44" s="171"/>
      <c r="H44" s="171"/>
      <c r="I44" s="170"/>
      <c r="J44" s="170"/>
      <c r="K44" s="171"/>
      <c r="L44" s="32">
        <f t="shared" si="0"/>
        <v>19</v>
      </c>
    </row>
    <row r="45" spans="1:12" ht="18" customHeight="1" thickBot="1">
      <c r="A45" s="68">
        <v>35</v>
      </c>
      <c r="B45" s="150">
        <v>2032303529</v>
      </c>
      <c r="C45" s="151" t="s">
        <v>185</v>
      </c>
      <c r="D45" s="171">
        <v>22</v>
      </c>
      <c r="E45" s="171"/>
      <c r="F45" s="171"/>
      <c r="G45" s="171"/>
      <c r="H45" s="171"/>
      <c r="I45" s="170"/>
      <c r="J45" s="170"/>
      <c r="K45" s="171"/>
      <c r="L45" s="32">
        <f t="shared" si="0"/>
        <v>22</v>
      </c>
    </row>
    <row r="46" spans="1:12" ht="18" customHeight="1" thickBot="1">
      <c r="A46" s="68">
        <v>36</v>
      </c>
      <c r="B46" s="150">
        <v>2032303556</v>
      </c>
      <c r="C46" s="151" t="s">
        <v>212</v>
      </c>
      <c r="D46" s="171">
        <v>19</v>
      </c>
      <c r="E46" s="171"/>
      <c r="F46" s="171"/>
      <c r="G46" s="171"/>
      <c r="H46" s="171"/>
      <c r="I46" s="170"/>
      <c r="J46" s="170"/>
      <c r="K46" s="171"/>
      <c r="L46" s="32">
        <f t="shared" si="0"/>
        <v>19</v>
      </c>
    </row>
    <row r="47" spans="1:12" ht="18" customHeight="1" thickBot="1">
      <c r="A47" s="68">
        <v>37</v>
      </c>
      <c r="B47" s="150">
        <v>2032303480</v>
      </c>
      <c r="C47" s="151" t="s">
        <v>137</v>
      </c>
      <c r="D47" s="171">
        <v>23</v>
      </c>
      <c r="E47" s="171"/>
      <c r="F47" s="171"/>
      <c r="G47" s="171"/>
      <c r="H47" s="171"/>
      <c r="I47" s="170"/>
      <c r="J47" s="170"/>
      <c r="K47" s="171"/>
      <c r="L47" s="32">
        <f t="shared" si="0"/>
        <v>23</v>
      </c>
    </row>
    <row r="48" spans="1:12" ht="18" customHeight="1" thickBot="1">
      <c r="A48" s="68">
        <v>38</v>
      </c>
      <c r="B48" s="150">
        <v>2032303490</v>
      </c>
      <c r="C48" s="151" t="s">
        <v>147</v>
      </c>
      <c r="D48" s="171">
        <v>22</v>
      </c>
      <c r="E48" s="171"/>
      <c r="F48" s="171"/>
      <c r="G48" s="171"/>
      <c r="H48" s="171"/>
      <c r="I48" s="170"/>
      <c r="J48" s="170"/>
      <c r="K48" s="171"/>
      <c r="L48" s="32">
        <f t="shared" si="0"/>
        <v>22</v>
      </c>
    </row>
    <row r="49" spans="1:12" ht="18" customHeight="1" thickBot="1">
      <c r="A49" s="68">
        <v>39</v>
      </c>
      <c r="B49" s="150">
        <v>2032303492</v>
      </c>
      <c r="C49" s="151" t="s">
        <v>149</v>
      </c>
      <c r="D49" s="171">
        <v>21</v>
      </c>
      <c r="E49" s="171"/>
      <c r="F49" s="171"/>
      <c r="G49" s="171"/>
      <c r="H49" s="171"/>
      <c r="I49" s="170"/>
      <c r="J49" s="170"/>
      <c r="K49" s="171"/>
      <c r="L49" s="32">
        <f t="shared" si="0"/>
        <v>21</v>
      </c>
    </row>
    <row r="50" spans="1:12" ht="18" customHeight="1" thickBot="1">
      <c r="A50" s="68">
        <v>40</v>
      </c>
      <c r="B50" s="150">
        <v>2032303540</v>
      </c>
      <c r="C50" s="151" t="s">
        <v>196</v>
      </c>
      <c r="D50" s="171">
        <v>23</v>
      </c>
      <c r="E50" s="171"/>
      <c r="F50" s="171"/>
      <c r="G50" s="171"/>
      <c r="H50" s="171"/>
      <c r="I50" s="170"/>
      <c r="J50" s="170"/>
      <c r="K50" s="171"/>
      <c r="L50" s="32">
        <f t="shared" si="0"/>
        <v>23</v>
      </c>
    </row>
    <row r="51" spans="1:12" ht="18" customHeight="1" thickBot="1">
      <c r="A51" s="68">
        <v>41</v>
      </c>
      <c r="B51" s="150">
        <v>2032303465</v>
      </c>
      <c r="C51" s="151" t="s">
        <v>122</v>
      </c>
      <c r="D51" s="171">
        <v>21</v>
      </c>
      <c r="E51" s="171"/>
      <c r="F51" s="171"/>
      <c r="G51" s="171"/>
      <c r="H51" s="171"/>
      <c r="I51" s="170"/>
      <c r="J51" s="170"/>
      <c r="K51" s="171"/>
      <c r="L51" s="32">
        <f t="shared" si="0"/>
        <v>21</v>
      </c>
    </row>
    <row r="52" spans="1:12" ht="18" customHeight="1" thickBot="1">
      <c r="A52" s="68">
        <v>42</v>
      </c>
      <c r="B52" s="150">
        <v>2032303530</v>
      </c>
      <c r="C52" s="151" t="s">
        <v>186</v>
      </c>
      <c r="D52" s="171">
        <v>23</v>
      </c>
      <c r="E52" s="171"/>
      <c r="F52" s="171"/>
      <c r="G52" s="171"/>
      <c r="H52" s="171"/>
      <c r="I52" s="170"/>
      <c r="J52" s="170"/>
      <c r="K52" s="171"/>
      <c r="L52" s="32">
        <f t="shared" si="0"/>
        <v>23</v>
      </c>
    </row>
    <row r="53" spans="1:12" ht="18" customHeight="1" thickBot="1">
      <c r="A53" s="68">
        <v>43</v>
      </c>
      <c r="B53" s="150">
        <v>2032303542</v>
      </c>
      <c r="C53" s="151" t="s">
        <v>198</v>
      </c>
      <c r="D53" s="171">
        <v>21</v>
      </c>
      <c r="E53" s="171"/>
      <c r="F53" s="171"/>
      <c r="G53" s="171"/>
      <c r="H53" s="171"/>
      <c r="I53" s="170"/>
      <c r="J53" s="170"/>
      <c r="K53" s="171"/>
      <c r="L53" s="32">
        <f t="shared" si="0"/>
        <v>21</v>
      </c>
    </row>
    <row r="54" spans="1:12" ht="18" customHeight="1" thickBot="1">
      <c r="A54" s="68">
        <v>44</v>
      </c>
      <c r="B54" s="150">
        <v>2032303470</v>
      </c>
      <c r="C54" s="151" t="s">
        <v>127</v>
      </c>
      <c r="D54" s="171">
        <v>20</v>
      </c>
      <c r="E54" s="171"/>
      <c r="F54" s="171"/>
      <c r="G54" s="171"/>
      <c r="H54" s="171"/>
      <c r="I54" s="170"/>
      <c r="J54" s="170"/>
      <c r="K54" s="171"/>
      <c r="L54" s="32">
        <f t="shared" si="0"/>
        <v>20</v>
      </c>
    </row>
    <row r="55" spans="1:12" ht="18" customHeight="1" thickBot="1">
      <c r="A55" s="68">
        <v>45</v>
      </c>
      <c r="B55" s="150">
        <v>2032303494</v>
      </c>
      <c r="C55" s="151" t="s">
        <v>151</v>
      </c>
      <c r="D55" s="171">
        <v>20</v>
      </c>
      <c r="E55" s="171"/>
      <c r="F55" s="171"/>
      <c r="G55" s="171"/>
      <c r="H55" s="171"/>
      <c r="I55" s="170"/>
      <c r="J55" s="170"/>
      <c r="K55" s="171"/>
      <c r="L55" s="32">
        <f t="shared" si="0"/>
        <v>20</v>
      </c>
    </row>
    <row r="56" spans="1:12" ht="18" customHeight="1" thickBot="1">
      <c r="A56" s="68">
        <v>46</v>
      </c>
      <c r="B56" s="150">
        <v>2032303459</v>
      </c>
      <c r="C56" s="151" t="s">
        <v>116</v>
      </c>
      <c r="D56" s="171">
        <v>21</v>
      </c>
      <c r="E56" s="171"/>
      <c r="F56" s="171"/>
      <c r="G56" s="171"/>
      <c r="H56" s="171"/>
      <c r="I56" s="170"/>
      <c r="J56" s="170"/>
      <c r="K56" s="171"/>
      <c r="L56" s="32">
        <f t="shared" si="0"/>
        <v>21</v>
      </c>
    </row>
    <row r="57" spans="1:12" ht="18" customHeight="1" thickBot="1">
      <c r="A57" s="68">
        <v>47</v>
      </c>
      <c r="B57" s="150">
        <v>2032303534</v>
      </c>
      <c r="C57" s="151" t="s">
        <v>190</v>
      </c>
      <c r="D57" s="171">
        <v>22</v>
      </c>
      <c r="E57" s="171"/>
      <c r="F57" s="171"/>
      <c r="G57" s="171"/>
      <c r="H57" s="171"/>
      <c r="I57" s="170"/>
      <c r="J57" s="170"/>
      <c r="K57" s="171"/>
      <c r="L57" s="32">
        <f t="shared" si="0"/>
        <v>22</v>
      </c>
    </row>
    <row r="58" spans="1:12" ht="18" customHeight="1" thickBot="1">
      <c r="A58" s="68">
        <v>48</v>
      </c>
      <c r="B58" s="150">
        <v>2032303488</v>
      </c>
      <c r="C58" s="151" t="s">
        <v>145</v>
      </c>
      <c r="D58" s="171">
        <v>22</v>
      </c>
      <c r="E58" s="171"/>
      <c r="F58" s="171"/>
      <c r="G58" s="171"/>
      <c r="H58" s="171"/>
      <c r="I58" s="170"/>
      <c r="J58" s="170"/>
      <c r="K58" s="171"/>
      <c r="L58" s="32">
        <f t="shared" si="0"/>
        <v>22</v>
      </c>
    </row>
    <row r="59" spans="1:12" ht="18" customHeight="1" thickBot="1">
      <c r="A59" s="68">
        <v>49</v>
      </c>
      <c r="B59" s="150">
        <v>2032303523</v>
      </c>
      <c r="C59" s="151" t="s">
        <v>179</v>
      </c>
      <c r="D59" s="171">
        <v>22</v>
      </c>
      <c r="E59" s="171"/>
      <c r="F59" s="171"/>
      <c r="G59" s="171"/>
      <c r="H59" s="171"/>
      <c r="I59" s="170"/>
      <c r="J59" s="170"/>
      <c r="K59" s="171"/>
      <c r="L59" s="32">
        <f t="shared" si="0"/>
        <v>22</v>
      </c>
    </row>
    <row r="60" spans="1:12" ht="18" customHeight="1" thickBot="1">
      <c r="A60" s="68">
        <v>50</v>
      </c>
      <c r="B60" s="150">
        <v>2032303466</v>
      </c>
      <c r="C60" s="151" t="s">
        <v>123</v>
      </c>
      <c r="D60" s="171">
        <v>21</v>
      </c>
      <c r="E60" s="171"/>
      <c r="F60" s="171"/>
      <c r="G60" s="171"/>
      <c r="H60" s="171"/>
      <c r="I60" s="170"/>
      <c r="J60" s="170"/>
      <c r="K60" s="171"/>
      <c r="L60" s="32">
        <f t="shared" si="0"/>
        <v>21</v>
      </c>
    </row>
    <row r="61" spans="1:12" ht="18" customHeight="1" thickBot="1">
      <c r="A61" s="68">
        <v>51</v>
      </c>
      <c r="B61" s="150">
        <v>2032303522</v>
      </c>
      <c r="C61" s="151" t="s">
        <v>178</v>
      </c>
      <c r="D61" s="171">
        <v>20</v>
      </c>
      <c r="E61" s="171"/>
      <c r="F61" s="171"/>
      <c r="G61" s="171"/>
      <c r="H61" s="171"/>
      <c r="I61" s="170"/>
      <c r="J61" s="170"/>
      <c r="K61" s="171"/>
      <c r="L61" s="32">
        <f t="shared" si="0"/>
        <v>20</v>
      </c>
    </row>
    <row r="62" spans="1:12" ht="18" customHeight="1" thickBot="1">
      <c r="A62" s="68">
        <v>52</v>
      </c>
      <c r="B62" s="150">
        <v>2032303518</v>
      </c>
      <c r="C62" s="151" t="s">
        <v>174</v>
      </c>
      <c r="D62" s="171">
        <v>23</v>
      </c>
      <c r="E62" s="171"/>
      <c r="F62" s="171"/>
      <c r="G62" s="171"/>
      <c r="H62" s="171"/>
      <c r="I62" s="170"/>
      <c r="J62" s="170"/>
      <c r="K62" s="171"/>
      <c r="L62" s="32">
        <f t="shared" si="0"/>
        <v>23</v>
      </c>
    </row>
    <row r="63" spans="1:12" ht="18" customHeight="1" thickBot="1">
      <c r="A63" s="68">
        <v>53</v>
      </c>
      <c r="B63" s="150">
        <v>2032303485</v>
      </c>
      <c r="C63" s="151" t="s">
        <v>142</v>
      </c>
      <c r="D63" s="171">
        <v>20</v>
      </c>
      <c r="E63" s="171"/>
      <c r="F63" s="171"/>
      <c r="G63" s="171"/>
      <c r="H63" s="171"/>
      <c r="I63" s="170"/>
      <c r="J63" s="170"/>
      <c r="K63" s="171"/>
      <c r="L63" s="32">
        <f t="shared" si="0"/>
        <v>20</v>
      </c>
    </row>
    <row r="64" spans="1:12" ht="18" customHeight="1" thickBot="1">
      <c r="A64" s="68">
        <v>54</v>
      </c>
      <c r="B64" s="150">
        <v>2032303551</v>
      </c>
      <c r="C64" s="151" t="s">
        <v>207</v>
      </c>
      <c r="D64" s="171">
        <v>18</v>
      </c>
      <c r="E64" s="171"/>
      <c r="F64" s="171"/>
      <c r="G64" s="171"/>
      <c r="H64" s="171"/>
      <c r="I64" s="170"/>
      <c r="J64" s="170"/>
      <c r="K64" s="171"/>
      <c r="L64" s="32">
        <f t="shared" si="0"/>
        <v>18</v>
      </c>
    </row>
    <row r="65" spans="1:12" ht="18" customHeight="1" thickBot="1">
      <c r="A65" s="68">
        <v>55</v>
      </c>
      <c r="B65" s="150">
        <v>2032303453</v>
      </c>
      <c r="C65" s="151" t="s">
        <v>110</v>
      </c>
      <c r="D65" s="173">
        <v>19</v>
      </c>
      <c r="E65" s="171"/>
      <c r="F65" s="171"/>
      <c r="G65" s="171"/>
      <c r="H65" s="171"/>
      <c r="I65" s="170"/>
      <c r="J65" s="170"/>
      <c r="K65" s="171"/>
      <c r="L65" s="32">
        <f t="shared" si="0"/>
        <v>19</v>
      </c>
    </row>
    <row r="66" spans="1:12" ht="18" customHeight="1" thickBot="1">
      <c r="A66" s="68">
        <v>56</v>
      </c>
      <c r="B66" s="150">
        <v>2032303541</v>
      </c>
      <c r="C66" s="151" t="s">
        <v>197</v>
      </c>
      <c r="D66" s="171">
        <v>20</v>
      </c>
      <c r="E66" s="171"/>
      <c r="F66" s="171"/>
      <c r="G66" s="171"/>
      <c r="H66" s="171"/>
      <c r="I66" s="170"/>
      <c r="J66" s="170"/>
      <c r="K66" s="171"/>
      <c r="L66" s="32">
        <f t="shared" si="0"/>
        <v>20</v>
      </c>
    </row>
    <row r="67" spans="1:12" ht="18" customHeight="1" thickBot="1">
      <c r="A67" s="68">
        <v>57</v>
      </c>
      <c r="B67" s="150">
        <v>2032303473</v>
      </c>
      <c r="C67" s="151" t="s">
        <v>130</v>
      </c>
      <c r="D67" s="171">
        <v>23</v>
      </c>
      <c r="E67" s="171"/>
      <c r="F67" s="171"/>
      <c r="G67" s="171"/>
      <c r="H67" s="171"/>
      <c r="I67" s="170"/>
      <c r="J67" s="170"/>
      <c r="K67" s="171"/>
      <c r="L67" s="32">
        <f t="shared" si="0"/>
        <v>23</v>
      </c>
    </row>
    <row r="68" spans="1:12" ht="18" customHeight="1" thickBot="1">
      <c r="A68" s="68">
        <v>58</v>
      </c>
      <c r="B68" s="150">
        <v>2032303550</v>
      </c>
      <c r="C68" s="151" t="s">
        <v>206</v>
      </c>
      <c r="D68" s="171">
        <v>20</v>
      </c>
      <c r="E68" s="171"/>
      <c r="F68" s="171"/>
      <c r="G68" s="171"/>
      <c r="H68" s="171"/>
      <c r="I68" s="170"/>
      <c r="J68" s="170"/>
      <c r="K68" s="171"/>
      <c r="L68" s="32">
        <f t="shared" si="0"/>
        <v>20</v>
      </c>
    </row>
    <row r="69" spans="1:12" ht="18" customHeight="1" thickBot="1">
      <c r="A69" s="68">
        <v>59</v>
      </c>
      <c r="B69" s="150">
        <v>2032303496</v>
      </c>
      <c r="C69" s="151" t="s">
        <v>153</v>
      </c>
      <c r="D69" s="171">
        <v>21</v>
      </c>
      <c r="E69" s="171"/>
      <c r="F69" s="171"/>
      <c r="G69" s="171"/>
      <c r="H69" s="171"/>
      <c r="I69" s="170"/>
      <c r="J69" s="170"/>
      <c r="K69" s="171"/>
      <c r="L69" s="32">
        <f t="shared" si="0"/>
        <v>21</v>
      </c>
    </row>
    <row r="70" spans="1:12" ht="18" customHeight="1" thickBot="1">
      <c r="A70" s="68">
        <v>60</v>
      </c>
      <c r="B70" s="150">
        <v>2032303457</v>
      </c>
      <c r="C70" s="151" t="s">
        <v>114</v>
      </c>
      <c r="D70" s="171">
        <v>17</v>
      </c>
      <c r="E70" s="171"/>
      <c r="F70" s="171"/>
      <c r="G70" s="171"/>
      <c r="H70" s="171"/>
      <c r="I70" s="170"/>
      <c r="J70" s="170"/>
      <c r="K70" s="171"/>
      <c r="L70" s="32">
        <f t="shared" si="0"/>
        <v>17</v>
      </c>
    </row>
    <row r="71" spans="1:12" ht="18" customHeight="1" thickBot="1">
      <c r="A71" s="68">
        <v>61</v>
      </c>
      <c r="B71" s="150">
        <v>2032303499</v>
      </c>
      <c r="C71" s="151" t="s">
        <v>156</v>
      </c>
      <c r="D71" s="171">
        <v>23</v>
      </c>
      <c r="E71" s="171"/>
      <c r="F71" s="171"/>
      <c r="G71" s="171"/>
      <c r="H71" s="171"/>
      <c r="I71" s="170"/>
      <c r="J71" s="170"/>
      <c r="K71" s="171"/>
      <c r="L71" s="32">
        <f t="shared" si="0"/>
        <v>23</v>
      </c>
    </row>
    <row r="72" spans="1:12" ht="18" customHeight="1" thickBot="1">
      <c r="A72" s="68">
        <v>62</v>
      </c>
      <c r="B72" s="150">
        <v>2032303474</v>
      </c>
      <c r="C72" s="151" t="s">
        <v>131</v>
      </c>
      <c r="D72" s="171">
        <v>19</v>
      </c>
      <c r="E72" s="171"/>
      <c r="F72" s="171"/>
      <c r="G72" s="171"/>
      <c r="H72" s="171"/>
      <c r="I72" s="170"/>
      <c r="J72" s="170"/>
      <c r="K72" s="171"/>
      <c r="L72" s="32">
        <f t="shared" si="0"/>
        <v>19</v>
      </c>
    </row>
    <row r="73" spans="1:12" ht="18" customHeight="1" thickBot="1">
      <c r="A73" s="68">
        <v>63</v>
      </c>
      <c r="B73" s="150">
        <v>2032303547</v>
      </c>
      <c r="C73" s="151" t="s">
        <v>203</v>
      </c>
      <c r="D73" s="171">
        <v>20</v>
      </c>
      <c r="E73" s="171"/>
      <c r="F73" s="171"/>
      <c r="G73" s="171"/>
      <c r="H73" s="171"/>
      <c r="I73" s="170"/>
      <c r="J73" s="170"/>
      <c r="K73" s="171"/>
      <c r="L73" s="32">
        <f t="shared" si="0"/>
        <v>20</v>
      </c>
    </row>
    <row r="74" spans="1:12" ht="18" customHeight="1" thickBot="1">
      <c r="A74" s="68">
        <v>64</v>
      </c>
      <c r="B74" s="150">
        <v>2032303512</v>
      </c>
      <c r="C74" s="151" t="s">
        <v>168</v>
      </c>
      <c r="D74" s="171">
        <v>22</v>
      </c>
      <c r="E74" s="171"/>
      <c r="F74" s="171"/>
      <c r="G74" s="171"/>
      <c r="H74" s="171"/>
      <c r="I74" s="170"/>
      <c r="J74" s="170"/>
      <c r="K74" s="171"/>
      <c r="L74" s="32">
        <f t="shared" si="0"/>
        <v>22</v>
      </c>
    </row>
    <row r="75" spans="1:12" ht="18" customHeight="1" thickBot="1">
      <c r="A75" s="68">
        <v>65</v>
      </c>
      <c r="B75" s="150">
        <v>2032303458</v>
      </c>
      <c r="C75" s="151" t="s">
        <v>115</v>
      </c>
      <c r="D75" s="171">
        <v>17</v>
      </c>
      <c r="E75" s="171"/>
      <c r="F75" s="171"/>
      <c r="G75" s="171"/>
      <c r="H75" s="171"/>
      <c r="I75" s="170"/>
      <c r="J75" s="170"/>
      <c r="K75" s="171"/>
      <c r="L75" s="32">
        <f t="shared" si="0"/>
        <v>17</v>
      </c>
    </row>
    <row r="76" spans="1:12" ht="18" customHeight="1" thickBot="1">
      <c r="A76" s="68">
        <v>66</v>
      </c>
      <c r="B76" s="150">
        <v>2032303456</v>
      </c>
      <c r="C76" s="151" t="s">
        <v>113</v>
      </c>
      <c r="D76" s="171">
        <v>22</v>
      </c>
      <c r="E76" s="171"/>
      <c r="F76" s="171"/>
      <c r="G76" s="171"/>
      <c r="H76" s="171"/>
      <c r="I76" s="170"/>
      <c r="J76" s="170"/>
      <c r="K76" s="171"/>
      <c r="L76" s="32">
        <f t="shared" ref="L76:L118" si="1">IF(E76&lt;&gt;"AB",SUM(D76:K76),"AB")</f>
        <v>22</v>
      </c>
    </row>
    <row r="77" spans="1:12" ht="18" customHeight="1" thickBot="1">
      <c r="A77" s="68">
        <v>67</v>
      </c>
      <c r="B77" s="150">
        <v>2032303451</v>
      </c>
      <c r="C77" s="151" t="s">
        <v>108</v>
      </c>
      <c r="D77" s="171">
        <v>22</v>
      </c>
      <c r="E77" s="171"/>
      <c r="F77" s="171"/>
      <c r="G77" s="171"/>
      <c r="H77" s="171"/>
      <c r="I77" s="170"/>
      <c r="J77" s="170"/>
      <c r="K77" s="171"/>
      <c r="L77" s="32">
        <f t="shared" si="1"/>
        <v>22</v>
      </c>
    </row>
    <row r="78" spans="1:12" ht="18" customHeight="1" thickBot="1">
      <c r="A78" s="68">
        <v>68</v>
      </c>
      <c r="B78" s="150">
        <v>2032303511</v>
      </c>
      <c r="C78" s="151" t="s">
        <v>167</v>
      </c>
      <c r="D78" s="171">
        <v>21</v>
      </c>
      <c r="E78" s="171"/>
      <c r="F78" s="171"/>
      <c r="G78" s="171"/>
      <c r="H78" s="171"/>
      <c r="I78" s="170"/>
      <c r="J78" s="170"/>
      <c r="K78" s="171"/>
      <c r="L78" s="32">
        <f t="shared" si="1"/>
        <v>21</v>
      </c>
    </row>
    <row r="79" spans="1:12" ht="18" customHeight="1" thickBot="1">
      <c r="A79" s="68">
        <v>69</v>
      </c>
      <c r="B79" s="150">
        <v>2032303477</v>
      </c>
      <c r="C79" s="151" t="s">
        <v>134</v>
      </c>
      <c r="D79" s="171">
        <v>23</v>
      </c>
      <c r="E79" s="171"/>
      <c r="F79" s="171"/>
      <c r="G79" s="171"/>
      <c r="H79" s="171"/>
      <c r="I79" s="170"/>
      <c r="J79" s="170"/>
      <c r="K79" s="171"/>
      <c r="L79" s="32">
        <f t="shared" si="1"/>
        <v>23</v>
      </c>
    </row>
    <row r="80" spans="1:12" ht="18" customHeight="1" thickBot="1">
      <c r="A80" s="68">
        <v>70</v>
      </c>
      <c r="B80" s="150">
        <v>2032303536</v>
      </c>
      <c r="C80" s="151" t="s">
        <v>192</v>
      </c>
      <c r="D80" s="171">
        <v>22</v>
      </c>
      <c r="E80" s="171"/>
      <c r="F80" s="171"/>
      <c r="G80" s="171"/>
      <c r="H80" s="171"/>
      <c r="I80" s="170"/>
      <c r="J80" s="170"/>
      <c r="K80" s="171"/>
      <c r="L80" s="32">
        <f t="shared" si="1"/>
        <v>22</v>
      </c>
    </row>
    <row r="81" spans="1:12" ht="18" customHeight="1" thickBot="1">
      <c r="A81" s="68">
        <v>71</v>
      </c>
      <c r="B81" s="150">
        <v>2032303527</v>
      </c>
      <c r="C81" s="151" t="s">
        <v>183</v>
      </c>
      <c r="D81" s="171">
        <v>21</v>
      </c>
      <c r="E81" s="171"/>
      <c r="F81" s="171"/>
      <c r="G81" s="171"/>
      <c r="H81" s="171"/>
      <c r="I81" s="170"/>
      <c r="J81" s="170"/>
      <c r="K81" s="171"/>
      <c r="L81" s="32">
        <f t="shared" si="1"/>
        <v>21</v>
      </c>
    </row>
    <row r="82" spans="1:12" ht="18" customHeight="1" thickBot="1">
      <c r="A82" s="68">
        <v>72</v>
      </c>
      <c r="B82" s="150">
        <v>2032303525</v>
      </c>
      <c r="C82" s="151" t="s">
        <v>181</v>
      </c>
      <c r="D82" s="171">
        <v>14</v>
      </c>
      <c r="E82" s="171"/>
      <c r="F82" s="171"/>
      <c r="G82" s="171"/>
      <c r="H82" s="171"/>
      <c r="I82" s="170"/>
      <c r="J82" s="170"/>
      <c r="K82" s="171"/>
      <c r="L82" s="32">
        <f t="shared" si="1"/>
        <v>14</v>
      </c>
    </row>
    <row r="83" spans="1:12" ht="18" customHeight="1" thickBot="1">
      <c r="A83" s="68">
        <v>73</v>
      </c>
      <c r="B83" s="150">
        <v>2032303468</v>
      </c>
      <c r="C83" s="151" t="s">
        <v>125</v>
      </c>
      <c r="D83" s="171">
        <v>23</v>
      </c>
      <c r="E83" s="171"/>
      <c r="F83" s="171"/>
      <c r="G83" s="171"/>
      <c r="H83" s="171"/>
      <c r="I83" s="170"/>
      <c r="J83" s="170"/>
      <c r="K83" s="171"/>
      <c r="L83" s="32">
        <f t="shared" si="1"/>
        <v>23</v>
      </c>
    </row>
    <row r="84" spans="1:12" ht="18" customHeight="1" thickBot="1">
      <c r="A84" s="68">
        <v>74</v>
      </c>
      <c r="B84" s="150">
        <v>2032303504</v>
      </c>
      <c r="C84" s="151" t="s">
        <v>161</v>
      </c>
      <c r="D84" s="171">
        <v>22</v>
      </c>
      <c r="E84" s="171"/>
      <c r="F84" s="171"/>
      <c r="G84" s="171"/>
      <c r="H84" s="171"/>
      <c r="I84" s="170"/>
      <c r="J84" s="170"/>
      <c r="K84" s="171"/>
      <c r="L84" s="32">
        <f t="shared" si="1"/>
        <v>22</v>
      </c>
    </row>
    <row r="85" spans="1:12" ht="18" customHeight="1" thickBot="1">
      <c r="A85" s="68">
        <v>75</v>
      </c>
      <c r="B85" s="150">
        <v>2032303475</v>
      </c>
      <c r="C85" s="151" t="s">
        <v>132</v>
      </c>
      <c r="D85" s="171">
        <v>21</v>
      </c>
      <c r="E85" s="171"/>
      <c r="F85" s="171"/>
      <c r="G85" s="171"/>
      <c r="H85" s="171"/>
      <c r="I85" s="170"/>
      <c r="J85" s="170"/>
      <c r="K85" s="171"/>
      <c r="L85" s="32">
        <f t="shared" si="1"/>
        <v>21</v>
      </c>
    </row>
    <row r="86" spans="1:12" ht="18" customHeight="1" thickBot="1">
      <c r="A86" s="68">
        <v>76</v>
      </c>
      <c r="B86" s="150">
        <v>2032303517</v>
      </c>
      <c r="C86" s="151" t="s">
        <v>173</v>
      </c>
      <c r="D86" s="171">
        <v>21</v>
      </c>
      <c r="E86" s="171"/>
      <c r="F86" s="171"/>
      <c r="G86" s="171"/>
      <c r="H86" s="171"/>
      <c r="I86" s="170"/>
      <c r="J86" s="170"/>
      <c r="K86" s="171"/>
      <c r="L86" s="32">
        <f t="shared" si="1"/>
        <v>21</v>
      </c>
    </row>
    <row r="87" spans="1:12" ht="18" customHeight="1" thickBot="1">
      <c r="A87" s="68">
        <v>77</v>
      </c>
      <c r="B87" s="150">
        <v>2032303552</v>
      </c>
      <c r="C87" s="151" t="s">
        <v>208</v>
      </c>
      <c r="D87" s="171">
        <v>21</v>
      </c>
      <c r="E87" s="171"/>
      <c r="F87" s="171"/>
      <c r="G87" s="171"/>
      <c r="H87" s="171"/>
      <c r="I87" s="170"/>
      <c r="J87" s="170"/>
      <c r="K87" s="171"/>
      <c r="L87" s="32">
        <f t="shared" si="1"/>
        <v>21</v>
      </c>
    </row>
    <row r="88" spans="1:12" ht="18" customHeight="1" thickBot="1">
      <c r="A88" s="68">
        <v>78</v>
      </c>
      <c r="B88" s="150">
        <v>2032303498</v>
      </c>
      <c r="C88" s="151" t="s">
        <v>155</v>
      </c>
      <c r="D88" s="171">
        <v>22</v>
      </c>
      <c r="E88" s="171"/>
      <c r="F88" s="171"/>
      <c r="G88" s="171"/>
      <c r="H88" s="171"/>
      <c r="I88" s="170"/>
      <c r="J88" s="170"/>
      <c r="K88" s="171"/>
      <c r="L88" s="32">
        <f t="shared" si="1"/>
        <v>22</v>
      </c>
    </row>
    <row r="89" spans="1:12" ht="18" customHeight="1" thickBot="1">
      <c r="A89" s="68">
        <v>79</v>
      </c>
      <c r="B89" s="150">
        <v>2032303510</v>
      </c>
      <c r="C89" s="151" t="s">
        <v>166</v>
      </c>
      <c r="D89" s="171">
        <v>21</v>
      </c>
      <c r="E89" s="171"/>
      <c r="F89" s="171"/>
      <c r="G89" s="171"/>
      <c r="H89" s="171"/>
      <c r="I89" s="170"/>
      <c r="J89" s="170"/>
      <c r="K89" s="171"/>
      <c r="L89" s="32">
        <f t="shared" si="1"/>
        <v>21</v>
      </c>
    </row>
    <row r="90" spans="1:12" ht="18" customHeight="1" thickBot="1">
      <c r="A90" s="68">
        <v>80</v>
      </c>
      <c r="B90" s="150">
        <v>2032303532</v>
      </c>
      <c r="C90" s="151" t="s">
        <v>188</v>
      </c>
      <c r="D90" s="171">
        <v>22</v>
      </c>
      <c r="E90" s="171"/>
      <c r="F90" s="171"/>
      <c r="G90" s="171"/>
      <c r="H90" s="171"/>
      <c r="I90" s="170"/>
      <c r="J90" s="170"/>
      <c r="K90" s="171"/>
      <c r="L90" s="32">
        <f t="shared" si="1"/>
        <v>22</v>
      </c>
    </row>
    <row r="91" spans="1:12" ht="18" customHeight="1" thickBot="1">
      <c r="A91" s="68">
        <v>81</v>
      </c>
      <c r="B91" s="150">
        <v>2032303489</v>
      </c>
      <c r="C91" s="151" t="s">
        <v>146</v>
      </c>
      <c r="D91" s="171">
        <v>23</v>
      </c>
      <c r="E91" s="171"/>
      <c r="F91" s="171"/>
      <c r="G91" s="171"/>
      <c r="H91" s="171"/>
      <c r="I91" s="170"/>
      <c r="J91" s="170"/>
      <c r="K91" s="171"/>
      <c r="L91" s="32">
        <f t="shared" si="1"/>
        <v>23</v>
      </c>
    </row>
    <row r="92" spans="1:12" ht="18" customHeight="1" thickBot="1">
      <c r="A92" s="68">
        <v>82</v>
      </c>
      <c r="B92" s="150">
        <v>2032303520</v>
      </c>
      <c r="C92" s="151" t="s">
        <v>176</v>
      </c>
      <c r="D92" s="171">
        <v>22</v>
      </c>
      <c r="E92" s="171"/>
      <c r="F92" s="171"/>
      <c r="G92" s="171"/>
      <c r="H92" s="171"/>
      <c r="I92" s="170"/>
      <c r="J92" s="170"/>
      <c r="K92" s="171"/>
      <c r="L92" s="32">
        <f t="shared" si="1"/>
        <v>22</v>
      </c>
    </row>
    <row r="93" spans="1:12" ht="18" customHeight="1" thickBot="1">
      <c r="A93" s="68">
        <v>83</v>
      </c>
      <c r="B93" s="150">
        <v>2032303452</v>
      </c>
      <c r="C93" s="151" t="s">
        <v>109</v>
      </c>
      <c r="D93" s="171">
        <v>18</v>
      </c>
      <c r="E93" s="171"/>
      <c r="F93" s="171"/>
      <c r="G93" s="171"/>
      <c r="H93" s="171"/>
      <c r="I93" s="170"/>
      <c r="J93" s="170"/>
      <c r="K93" s="171"/>
      <c r="L93" s="32">
        <f t="shared" si="1"/>
        <v>18</v>
      </c>
    </row>
    <row r="94" spans="1:12" ht="18" customHeight="1" thickBot="1">
      <c r="A94" s="68">
        <v>84</v>
      </c>
      <c r="B94" s="150">
        <v>2032303493</v>
      </c>
      <c r="C94" s="151" t="s">
        <v>150</v>
      </c>
      <c r="D94" s="171">
        <v>23</v>
      </c>
      <c r="E94" s="171"/>
      <c r="F94" s="171"/>
      <c r="G94" s="171"/>
      <c r="H94" s="171"/>
      <c r="I94" s="170"/>
      <c r="J94" s="170"/>
      <c r="K94" s="171"/>
      <c r="L94" s="32">
        <f t="shared" si="1"/>
        <v>23</v>
      </c>
    </row>
    <row r="95" spans="1:12" ht="18" customHeight="1" thickBot="1">
      <c r="A95" s="68">
        <v>85</v>
      </c>
      <c r="B95" s="150">
        <v>2032303554</v>
      </c>
      <c r="C95" s="151" t="s">
        <v>210</v>
      </c>
      <c r="D95" s="171">
        <v>22</v>
      </c>
      <c r="E95" s="171"/>
      <c r="F95" s="171"/>
      <c r="G95" s="171"/>
      <c r="H95" s="171"/>
      <c r="I95" s="170"/>
      <c r="J95" s="170"/>
      <c r="K95" s="171"/>
      <c r="L95" s="32">
        <f t="shared" si="1"/>
        <v>22</v>
      </c>
    </row>
    <row r="96" spans="1:12" ht="18" customHeight="1" thickBot="1">
      <c r="A96" s="68">
        <v>86</v>
      </c>
      <c r="B96" s="150">
        <v>2032303507</v>
      </c>
      <c r="C96" s="151" t="s">
        <v>163</v>
      </c>
      <c r="D96" s="171">
        <v>18</v>
      </c>
      <c r="E96" s="171"/>
      <c r="F96" s="171"/>
      <c r="G96" s="171"/>
      <c r="H96" s="171"/>
      <c r="I96" s="170"/>
      <c r="J96" s="170"/>
      <c r="K96" s="171"/>
      <c r="L96" s="32">
        <f t="shared" si="1"/>
        <v>18</v>
      </c>
    </row>
    <row r="97" spans="1:12" ht="18" customHeight="1" thickBot="1">
      <c r="A97" s="68">
        <v>87</v>
      </c>
      <c r="B97" s="150">
        <v>2032303467</v>
      </c>
      <c r="C97" s="151" t="s">
        <v>124</v>
      </c>
      <c r="D97" s="171">
        <v>18</v>
      </c>
      <c r="E97" s="171"/>
      <c r="F97" s="171"/>
      <c r="G97" s="171"/>
      <c r="H97" s="171"/>
      <c r="I97" s="170"/>
      <c r="J97" s="170"/>
      <c r="K97" s="171"/>
      <c r="L97" s="32">
        <f t="shared" si="1"/>
        <v>18</v>
      </c>
    </row>
    <row r="98" spans="1:12" ht="18" customHeight="1" thickBot="1">
      <c r="A98" s="68">
        <v>88</v>
      </c>
      <c r="B98" s="150">
        <v>2032303544</v>
      </c>
      <c r="C98" s="151" t="s">
        <v>200</v>
      </c>
      <c r="D98" s="171">
        <v>0</v>
      </c>
      <c r="E98" s="171"/>
      <c r="F98" s="171"/>
      <c r="G98" s="171"/>
      <c r="H98" s="171"/>
      <c r="I98" s="170"/>
      <c r="J98" s="170"/>
      <c r="K98" s="171"/>
      <c r="L98" s="32">
        <f t="shared" si="1"/>
        <v>0</v>
      </c>
    </row>
    <row r="99" spans="1:12" ht="18" customHeight="1" thickBot="1">
      <c r="A99" s="68">
        <v>89</v>
      </c>
      <c r="B99" s="150">
        <v>2032303514</v>
      </c>
      <c r="C99" s="151" t="s">
        <v>170</v>
      </c>
      <c r="D99" s="171">
        <v>18</v>
      </c>
      <c r="E99" s="171"/>
      <c r="F99" s="171"/>
      <c r="G99" s="171"/>
      <c r="H99" s="171"/>
      <c r="I99" s="170"/>
      <c r="J99" s="170"/>
      <c r="K99" s="171"/>
      <c r="L99" s="32">
        <f t="shared" si="1"/>
        <v>18</v>
      </c>
    </row>
    <row r="100" spans="1:12" ht="18" customHeight="1" thickBot="1">
      <c r="A100" s="68">
        <v>90</v>
      </c>
      <c r="B100" s="150">
        <v>2032303501</v>
      </c>
      <c r="C100" s="151" t="s">
        <v>158</v>
      </c>
      <c r="D100" s="171">
        <v>21</v>
      </c>
      <c r="E100" s="171"/>
      <c r="F100" s="171"/>
      <c r="G100" s="171"/>
      <c r="H100" s="171"/>
      <c r="I100" s="170"/>
      <c r="J100" s="170"/>
      <c r="K100" s="171"/>
      <c r="L100" s="32">
        <f t="shared" si="1"/>
        <v>21</v>
      </c>
    </row>
    <row r="101" spans="1:12" ht="18" customHeight="1" thickBot="1">
      <c r="A101" s="68">
        <v>91</v>
      </c>
      <c r="B101" s="150">
        <v>2032303461</v>
      </c>
      <c r="C101" s="151" t="s">
        <v>118</v>
      </c>
      <c r="D101" s="171">
        <v>23</v>
      </c>
      <c r="E101" s="171"/>
      <c r="F101" s="171"/>
      <c r="G101" s="171"/>
      <c r="H101" s="171"/>
      <c r="I101" s="170"/>
      <c r="J101" s="170"/>
      <c r="K101" s="171"/>
      <c r="L101" s="32">
        <f t="shared" si="1"/>
        <v>23</v>
      </c>
    </row>
    <row r="102" spans="1:12" ht="18" customHeight="1" thickBot="1">
      <c r="A102" s="68">
        <v>92</v>
      </c>
      <c r="B102" s="150">
        <v>2032303305</v>
      </c>
      <c r="C102" s="151" t="s">
        <v>107</v>
      </c>
      <c r="D102" s="171">
        <v>18</v>
      </c>
      <c r="E102" s="171"/>
      <c r="F102" s="171"/>
      <c r="G102" s="171"/>
      <c r="H102" s="171"/>
      <c r="I102" s="170"/>
      <c r="J102" s="170"/>
      <c r="K102" s="171"/>
      <c r="L102" s="32">
        <f t="shared" si="1"/>
        <v>18</v>
      </c>
    </row>
    <row r="103" spans="1:12" ht="18" customHeight="1" thickBot="1">
      <c r="A103" s="68">
        <v>93</v>
      </c>
      <c r="B103" s="150">
        <v>2032303531</v>
      </c>
      <c r="C103" s="151" t="s">
        <v>187</v>
      </c>
      <c r="D103" s="171">
        <v>21</v>
      </c>
      <c r="E103" s="171"/>
      <c r="F103" s="171"/>
      <c r="G103" s="171"/>
      <c r="H103" s="171"/>
      <c r="I103" s="170"/>
      <c r="J103" s="170"/>
      <c r="K103" s="171"/>
      <c r="L103" s="32">
        <f t="shared" si="1"/>
        <v>21</v>
      </c>
    </row>
    <row r="104" spans="1:12" ht="18" customHeight="1" thickBot="1">
      <c r="A104" s="68">
        <v>94</v>
      </c>
      <c r="B104" s="150">
        <v>2032303460</v>
      </c>
      <c r="C104" s="151" t="s">
        <v>117</v>
      </c>
      <c r="D104" s="171">
        <v>23</v>
      </c>
      <c r="E104" s="171"/>
      <c r="F104" s="171"/>
      <c r="G104" s="171"/>
      <c r="H104" s="171"/>
      <c r="I104" s="170"/>
      <c r="J104" s="170"/>
      <c r="K104" s="171"/>
      <c r="L104" s="32">
        <f t="shared" si="1"/>
        <v>23</v>
      </c>
    </row>
    <row r="105" spans="1:12" ht="18" customHeight="1" thickBot="1">
      <c r="A105" s="68">
        <v>95</v>
      </c>
      <c r="B105" s="150">
        <v>2032303533</v>
      </c>
      <c r="C105" s="151" t="s">
        <v>189</v>
      </c>
      <c r="D105" s="171">
        <v>21</v>
      </c>
      <c r="E105" s="171"/>
      <c r="F105" s="171"/>
      <c r="G105" s="171"/>
      <c r="H105" s="171"/>
      <c r="I105" s="170"/>
      <c r="J105" s="170"/>
      <c r="K105" s="171"/>
      <c r="L105" s="32">
        <f t="shared" si="1"/>
        <v>21</v>
      </c>
    </row>
    <row r="106" spans="1:12" ht="18" customHeight="1" thickBot="1">
      <c r="A106" s="68">
        <v>96</v>
      </c>
      <c r="B106" s="150">
        <v>2032303471</v>
      </c>
      <c r="C106" s="151" t="s">
        <v>128</v>
      </c>
      <c r="D106" s="171">
        <v>20</v>
      </c>
      <c r="E106" s="171"/>
      <c r="F106" s="171"/>
      <c r="G106" s="171"/>
      <c r="H106" s="171"/>
      <c r="I106" s="170"/>
      <c r="J106" s="170"/>
      <c r="K106" s="171"/>
      <c r="L106" s="32">
        <f t="shared" si="1"/>
        <v>20</v>
      </c>
    </row>
    <row r="107" spans="1:12" ht="18" customHeight="1" thickBot="1">
      <c r="A107" s="68">
        <v>97</v>
      </c>
      <c r="B107" s="150">
        <v>2032303546</v>
      </c>
      <c r="C107" s="151" t="s">
        <v>202</v>
      </c>
      <c r="D107" s="171">
        <v>21</v>
      </c>
      <c r="E107" s="171"/>
      <c r="F107" s="171"/>
      <c r="G107" s="171"/>
      <c r="H107" s="171"/>
      <c r="I107" s="170"/>
      <c r="J107" s="170"/>
      <c r="K107" s="171"/>
      <c r="L107" s="32">
        <f t="shared" si="1"/>
        <v>21</v>
      </c>
    </row>
    <row r="108" spans="1:12" ht="18" customHeight="1" thickBot="1">
      <c r="A108" s="68">
        <v>98</v>
      </c>
      <c r="B108" s="150">
        <v>2032303454</v>
      </c>
      <c r="C108" s="151" t="s">
        <v>111</v>
      </c>
      <c r="D108" s="171">
        <v>20</v>
      </c>
      <c r="E108" s="171"/>
      <c r="F108" s="171"/>
      <c r="G108" s="171"/>
      <c r="H108" s="171"/>
      <c r="I108" s="170"/>
      <c r="J108" s="170"/>
      <c r="K108" s="171"/>
      <c r="L108" s="32">
        <f t="shared" si="1"/>
        <v>20</v>
      </c>
    </row>
    <row r="109" spans="1:12" ht="18" customHeight="1" thickBot="1">
      <c r="A109" s="68">
        <v>99</v>
      </c>
      <c r="B109" s="150">
        <v>2032303521</v>
      </c>
      <c r="C109" s="151" t="s">
        <v>177</v>
      </c>
      <c r="D109" s="171">
        <v>20</v>
      </c>
      <c r="E109" s="171"/>
      <c r="F109" s="171"/>
      <c r="G109" s="171"/>
      <c r="H109" s="171"/>
      <c r="I109" s="170"/>
      <c r="J109" s="170"/>
      <c r="K109" s="171"/>
      <c r="L109" s="32">
        <f t="shared" si="1"/>
        <v>20</v>
      </c>
    </row>
    <row r="110" spans="1:12" ht="18" customHeight="1" thickBot="1">
      <c r="A110" s="68">
        <v>100</v>
      </c>
      <c r="B110" s="150">
        <v>2032303545</v>
      </c>
      <c r="C110" s="151" t="s">
        <v>201</v>
      </c>
      <c r="D110" s="171">
        <v>0</v>
      </c>
      <c r="E110" s="171"/>
      <c r="F110" s="171"/>
      <c r="G110" s="171"/>
      <c r="H110" s="171"/>
      <c r="I110" s="170"/>
      <c r="J110" s="170"/>
      <c r="K110" s="171"/>
      <c r="L110" s="32">
        <f t="shared" si="1"/>
        <v>0</v>
      </c>
    </row>
    <row r="111" spans="1:12" ht="18" customHeight="1" thickBot="1">
      <c r="A111" s="68">
        <v>101</v>
      </c>
      <c r="B111" s="150">
        <v>2032303543</v>
      </c>
      <c r="C111" s="151" t="s">
        <v>199</v>
      </c>
      <c r="D111" s="171">
        <v>0</v>
      </c>
      <c r="E111" s="171"/>
      <c r="F111" s="171"/>
      <c r="G111" s="171"/>
      <c r="H111" s="171"/>
      <c r="I111" s="170"/>
      <c r="J111" s="170"/>
      <c r="K111" s="171"/>
      <c r="L111" s="32">
        <f t="shared" si="1"/>
        <v>0</v>
      </c>
    </row>
    <row r="112" spans="1:12" ht="18" customHeight="1" thickBot="1">
      <c r="A112" s="68">
        <v>102</v>
      </c>
      <c r="B112" s="150">
        <v>2032303526</v>
      </c>
      <c r="C112" s="151" t="s">
        <v>182</v>
      </c>
      <c r="D112" s="171">
        <v>0</v>
      </c>
      <c r="E112" s="171"/>
      <c r="F112" s="171"/>
      <c r="G112" s="171"/>
      <c r="H112" s="171"/>
      <c r="I112" s="170"/>
      <c r="J112" s="170"/>
      <c r="K112" s="171"/>
      <c r="L112" s="32">
        <f t="shared" si="1"/>
        <v>0</v>
      </c>
    </row>
    <row r="113" spans="1:12" ht="18" customHeight="1" thickBot="1">
      <c r="A113" s="68">
        <v>103</v>
      </c>
      <c r="B113" s="150">
        <v>2032303557</v>
      </c>
      <c r="C113" s="151" t="s">
        <v>213</v>
      </c>
      <c r="D113" s="171">
        <v>0</v>
      </c>
      <c r="E113" s="171"/>
      <c r="F113" s="171"/>
      <c r="G113" s="171"/>
      <c r="H113" s="171"/>
      <c r="I113" s="170"/>
      <c r="J113" s="170"/>
      <c r="K113" s="171"/>
      <c r="L113" s="32">
        <f t="shared" si="1"/>
        <v>0</v>
      </c>
    </row>
    <row r="114" spans="1:12" ht="18" customHeight="1" thickBot="1">
      <c r="A114" s="68">
        <v>104</v>
      </c>
      <c r="B114" s="150">
        <v>2032303506</v>
      </c>
      <c r="C114" s="151" t="s">
        <v>162</v>
      </c>
      <c r="D114" s="171">
        <v>0</v>
      </c>
      <c r="E114" s="171"/>
      <c r="F114" s="171"/>
      <c r="G114" s="171"/>
      <c r="H114" s="171"/>
      <c r="I114" s="170"/>
      <c r="J114" s="170"/>
      <c r="K114" s="171"/>
      <c r="L114" s="32">
        <f t="shared" si="1"/>
        <v>0</v>
      </c>
    </row>
    <row r="115" spans="1:12" ht="18" customHeight="1" thickBot="1">
      <c r="A115" s="68">
        <v>105</v>
      </c>
      <c r="B115" s="150">
        <v>2032303537</v>
      </c>
      <c r="C115" s="151" t="s">
        <v>193</v>
      </c>
      <c r="D115" s="171">
        <v>0</v>
      </c>
      <c r="E115" s="171"/>
      <c r="F115" s="171"/>
      <c r="G115" s="171"/>
      <c r="H115" s="171"/>
      <c r="I115" s="170"/>
      <c r="J115" s="170"/>
      <c r="K115" s="171"/>
      <c r="L115" s="32">
        <f t="shared" si="1"/>
        <v>0</v>
      </c>
    </row>
    <row r="116" spans="1:12" ht="18" customHeight="1" thickBot="1">
      <c r="A116" s="68">
        <v>106</v>
      </c>
      <c r="B116" s="150">
        <v>2032303558</v>
      </c>
      <c r="C116" s="151" t="s">
        <v>214</v>
      </c>
      <c r="D116" s="171">
        <v>23</v>
      </c>
      <c r="E116" s="171"/>
      <c r="F116" s="171"/>
      <c r="G116" s="171"/>
      <c r="H116" s="171"/>
      <c r="I116" s="170"/>
      <c r="J116" s="170"/>
      <c r="K116" s="171"/>
      <c r="L116" s="32">
        <f t="shared" si="1"/>
        <v>23</v>
      </c>
    </row>
    <row r="117" spans="1:12" ht="18" customHeight="1" thickBot="1">
      <c r="A117" s="68">
        <v>107</v>
      </c>
      <c r="B117" s="150">
        <v>2032303553</v>
      </c>
      <c r="C117" s="151" t="s">
        <v>209</v>
      </c>
      <c r="D117" s="171">
        <v>22</v>
      </c>
      <c r="E117" s="171"/>
      <c r="F117" s="171"/>
      <c r="G117" s="171"/>
      <c r="H117" s="171"/>
      <c r="I117" s="170"/>
      <c r="J117" s="170"/>
      <c r="K117" s="171"/>
      <c r="L117" s="32">
        <f t="shared" si="1"/>
        <v>22</v>
      </c>
    </row>
    <row r="118" spans="1:12" ht="18" customHeight="1">
      <c r="A118" s="68">
        <v>108</v>
      </c>
      <c r="B118" s="150">
        <v>2032303555</v>
      </c>
      <c r="C118" s="151" t="s">
        <v>211</v>
      </c>
      <c r="D118" s="173">
        <v>23</v>
      </c>
      <c r="E118" s="173"/>
      <c r="F118" s="173"/>
      <c r="G118" s="173"/>
      <c r="H118" s="173"/>
      <c r="I118" s="172"/>
      <c r="J118" s="172"/>
      <c r="K118" s="173"/>
      <c r="L118" s="32">
        <f t="shared" si="1"/>
        <v>23</v>
      </c>
    </row>
    <row r="119" spans="1:12" ht="15.75" customHeight="1">
      <c r="A119" s="4" t="s">
        <v>13</v>
      </c>
      <c r="C119" s="50">
        <f>COUNT(A11:A118)</f>
        <v>108</v>
      </c>
      <c r="G119" s="52"/>
      <c r="H119" s="174"/>
      <c r="I119" s="174"/>
      <c r="J119" s="174"/>
      <c r="K119" s="174"/>
    </row>
    <row r="120" spans="1:12" ht="15.75" customHeight="1">
      <c r="A120"/>
      <c r="B120"/>
      <c r="C120"/>
      <c r="D120"/>
      <c r="E120"/>
      <c r="F120"/>
      <c r="G120"/>
      <c r="H120" s="175"/>
      <c r="I120" s="175"/>
      <c r="J120" s="175"/>
      <c r="K120" s="175"/>
      <c r="L120"/>
    </row>
    <row r="121" spans="1:12" ht="15.75" customHeight="1">
      <c r="A121"/>
      <c r="C121"/>
      <c r="D121"/>
      <c r="E121"/>
      <c r="F121"/>
      <c r="G121"/>
      <c r="H121"/>
      <c r="I121"/>
      <c r="J121"/>
      <c r="K121"/>
      <c r="L121"/>
    </row>
    <row r="122" spans="1:12" ht="15.75" customHeight="1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ht="15.75" customHeight="1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ht="15.75" customHeight="1">
      <c r="A124"/>
      <c r="B124"/>
      <c r="C124" t="str">
        <f>Faculty</f>
        <v>Narsareaddy Chude</v>
      </c>
      <c r="D124"/>
      <c r="E124"/>
      <c r="F124"/>
      <c r="G124"/>
      <c r="H124"/>
      <c r="I124"/>
      <c r="J124"/>
      <c r="K124"/>
      <c r="L124"/>
    </row>
    <row r="125" spans="1:12" ht="15.75" customHeight="1">
      <c r="A125" s="80"/>
      <c r="B125" s="80"/>
      <c r="C125" t="str">
        <f>SubjectDetails!E17</f>
        <v>Subject Faculty</v>
      </c>
      <c r="H125" s="2"/>
      <c r="I125" s="147"/>
      <c r="J125" s="147"/>
    </row>
    <row r="126" spans="1:12" ht="15.75" customHeight="1">
      <c r="A126" s="80"/>
      <c r="B126" s="80"/>
      <c r="C126" s="217"/>
      <c r="D126" s="217"/>
      <c r="E126" s="217"/>
      <c r="F126" s="249"/>
      <c r="G126" s="249"/>
      <c r="H126" s="2"/>
      <c r="I126" s="147"/>
      <c r="J126" s="147"/>
      <c r="L126" s="47"/>
    </row>
    <row r="127" spans="1:12" ht="15.75" customHeight="1">
      <c r="A127"/>
      <c r="B127"/>
      <c r="C127" s="81"/>
      <c r="D127" s="81"/>
      <c r="E127" s="81"/>
      <c r="F127" s="249"/>
      <c r="G127" s="249"/>
      <c r="H127"/>
      <c r="I127"/>
      <c r="J127"/>
      <c r="K127" s="2"/>
      <c r="L127" s="47"/>
    </row>
    <row r="128" spans="1:12" ht="15.75" customHeight="1">
      <c r="C128" s="1"/>
      <c r="D128" s="2"/>
      <c r="E128" s="2"/>
      <c r="F128" s="2"/>
      <c r="G128" s="2"/>
      <c r="H128" s="2"/>
      <c r="I128" s="147"/>
      <c r="J128" s="147"/>
      <c r="K128" s="2"/>
      <c r="L128" s="2"/>
    </row>
    <row r="129" spans="1:12" s="34" customFormat="1">
      <c r="A129" s="217" t="str">
        <f>SubjectDetails!A24</f>
        <v>Dr. Ravi Chourasiya</v>
      </c>
      <c r="B129" s="217"/>
      <c r="C129" s="217"/>
      <c r="D129" s="249" t="str">
        <f>SubjectDetails!E24</f>
        <v>Dr. Ashwini Chavan</v>
      </c>
      <c r="E129" s="249"/>
      <c r="F129" s="249"/>
      <c r="G129" s="249"/>
      <c r="H129"/>
      <c r="I129"/>
      <c r="J129"/>
      <c r="K129" s="218" t="str">
        <f>SubjectDetails!H24</f>
        <v>Dr. Priyanka Singh</v>
      </c>
      <c r="L129" s="218"/>
    </row>
    <row r="130" spans="1:12" s="34" customFormat="1">
      <c r="A130" s="217" t="str">
        <f>SubjectDetails!A25</f>
        <v>(College Examination Officer)</v>
      </c>
      <c r="B130" s="217"/>
      <c r="C130" s="217"/>
      <c r="D130" s="249" t="str">
        <f>SubjectDetails!E25</f>
        <v>HOD (MCA)</v>
      </c>
      <c r="E130" s="249"/>
      <c r="F130" s="249"/>
      <c r="G130" s="249"/>
      <c r="H130"/>
      <c r="I130"/>
      <c r="J130"/>
      <c r="K130" s="218" t="str">
        <f>SubjectDetails!H25</f>
        <v>Director</v>
      </c>
      <c r="L130" s="218"/>
    </row>
  </sheetData>
  <sortState ref="A11:I201">
    <sortCondition ref="B11:B201"/>
  </sortState>
  <mergeCells count="22">
    <mergeCell ref="C126:E126"/>
    <mergeCell ref="F126:G126"/>
    <mergeCell ref="F127:G127"/>
    <mergeCell ref="A6:B6"/>
    <mergeCell ref="L7:L8"/>
    <mergeCell ref="D6:L6"/>
    <mergeCell ref="D7:K7"/>
    <mergeCell ref="C7:C8"/>
    <mergeCell ref="A129:C129"/>
    <mergeCell ref="K129:L129"/>
    <mergeCell ref="A130:C130"/>
    <mergeCell ref="K130:L130"/>
    <mergeCell ref="D129:G129"/>
    <mergeCell ref="D130:G130"/>
    <mergeCell ref="A1:L1"/>
    <mergeCell ref="A2:L2"/>
    <mergeCell ref="A3:L3"/>
    <mergeCell ref="A4:L4"/>
    <mergeCell ref="A7:A10"/>
    <mergeCell ref="B7:B10"/>
    <mergeCell ref="L9:L10"/>
    <mergeCell ref="A5:L5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workbookViewId="0">
      <selection activeCell="D10" sqref="D10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1" bestFit="1" customWidth="1"/>
    <col min="4" max="13" width="7.7109375" style="51" customWidth="1"/>
    <col min="14" max="14" width="15.28515625" style="52" customWidth="1"/>
    <col min="15" max="16384" width="12.7109375" style="7"/>
  </cols>
  <sheetData>
    <row r="1" spans="1:14" ht="21" customHeight="1">
      <c r="A1" s="220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</row>
    <row r="2" spans="1:14" ht="25.15" customHeight="1">
      <c r="A2" s="221" t="s">
        <v>72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</row>
    <row r="3" spans="1:14" ht="21.6" customHeight="1">
      <c r="A3" s="222" t="s">
        <v>73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</row>
    <row r="4" spans="1:14" ht="19.899999999999999" customHeight="1">
      <c r="A4" s="222" t="s">
        <v>9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</row>
    <row r="5" spans="1:14" s="36" customFormat="1" ht="32.450000000000003" customHeight="1">
      <c r="A5" s="299" t="s">
        <v>5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4" s="36" customFormat="1" ht="36" customHeight="1">
      <c r="A6" s="302" t="str">
        <f>CONCATENATE(Class," ", spl)</f>
        <v xml:space="preserve">MCA I SEM I AY 2023-24 </v>
      </c>
      <c r="B6" s="302"/>
      <c r="C6" s="113" t="str">
        <f>CONCATENATE("Name of Faculty: ", Faculty)</f>
        <v>Name of Faculty: Narsareaddy Chude</v>
      </c>
      <c r="D6" s="293" t="str">
        <f>CONCATENATE("Course Name: ", Sub_Code)</f>
        <v>Course Name: Mini Project</v>
      </c>
      <c r="E6" s="296"/>
      <c r="F6" s="296"/>
      <c r="G6" s="296"/>
      <c r="H6" s="296"/>
      <c r="I6" s="296"/>
      <c r="J6" s="296"/>
      <c r="K6" s="296"/>
      <c r="L6" s="296"/>
      <c r="M6" s="296"/>
      <c r="N6" s="294"/>
    </row>
    <row r="7" spans="1:14" ht="18" customHeight="1">
      <c r="A7" s="289" t="s">
        <v>0</v>
      </c>
      <c r="B7" s="289" t="s">
        <v>6</v>
      </c>
      <c r="C7" s="285" t="s">
        <v>1</v>
      </c>
      <c r="D7" s="297" t="s">
        <v>93</v>
      </c>
      <c r="E7" s="297"/>
      <c r="F7" s="297"/>
      <c r="G7" s="297"/>
      <c r="H7" s="297"/>
      <c r="I7" s="297"/>
      <c r="J7" s="297"/>
      <c r="K7" s="297"/>
      <c r="L7" s="297"/>
      <c r="M7" s="297"/>
      <c r="N7" s="295" t="s">
        <v>47</v>
      </c>
    </row>
    <row r="8" spans="1:14" ht="18" customHeight="1">
      <c r="A8" s="290"/>
      <c r="B8" s="290"/>
      <c r="C8" s="286"/>
      <c r="D8" s="118" t="s">
        <v>98</v>
      </c>
      <c r="E8" s="118"/>
      <c r="F8" s="118"/>
      <c r="G8" s="118"/>
      <c r="H8" s="118"/>
      <c r="I8" s="118"/>
      <c r="J8" s="118"/>
      <c r="K8" s="118"/>
      <c r="L8" s="118"/>
      <c r="M8" s="118"/>
      <c r="N8" s="295"/>
    </row>
    <row r="9" spans="1:14" ht="18" customHeight="1">
      <c r="A9" s="290"/>
      <c r="B9" s="290"/>
      <c r="C9" s="82" t="s">
        <v>70</v>
      </c>
      <c r="D9" s="119">
        <v>0</v>
      </c>
      <c r="E9" s="119"/>
      <c r="F9" s="119"/>
      <c r="G9" s="119"/>
      <c r="H9" s="119"/>
      <c r="I9" s="119"/>
      <c r="J9" s="119"/>
      <c r="K9" s="119"/>
      <c r="L9" s="119"/>
      <c r="M9" s="119"/>
      <c r="N9" s="272">
        <f>D9+E9+F9+G9+H9+I9+J9+K9+L9+M9</f>
        <v>0</v>
      </c>
    </row>
    <row r="10" spans="1:14" ht="18" customHeight="1" thickBot="1">
      <c r="A10" s="291"/>
      <c r="B10" s="292"/>
      <c r="C10" s="82" t="s">
        <v>99</v>
      </c>
      <c r="D10" s="117" t="s">
        <v>2</v>
      </c>
      <c r="E10" s="117"/>
      <c r="F10" s="117"/>
      <c r="G10" s="117"/>
      <c r="H10" s="117"/>
      <c r="I10" s="117"/>
      <c r="J10" s="117"/>
      <c r="K10" s="117"/>
      <c r="L10" s="117"/>
      <c r="M10" s="117"/>
      <c r="N10" s="273"/>
    </row>
    <row r="11" spans="1:14" ht="18" customHeight="1" thickBot="1">
      <c r="A11" s="114">
        <v>1</v>
      </c>
      <c r="B11" s="150">
        <v>22101</v>
      </c>
      <c r="C11" s="151" t="s">
        <v>107</v>
      </c>
      <c r="D11" s="171"/>
      <c r="E11" s="170"/>
      <c r="F11" s="170"/>
      <c r="G11" s="170"/>
      <c r="H11" s="171"/>
      <c r="I11" s="152"/>
      <c r="J11" s="152"/>
      <c r="K11" s="152"/>
      <c r="L11" s="152"/>
      <c r="M11" s="152"/>
      <c r="N11" s="32">
        <f t="shared" ref="N11:N74" si="0">IF(D11&lt;&gt;"AB",SUM(D11:M11),"AB")</f>
        <v>0</v>
      </c>
    </row>
    <row r="12" spans="1:14" ht="18" customHeight="1" thickBot="1">
      <c r="A12" s="114">
        <v>2</v>
      </c>
      <c r="B12" s="150">
        <v>22102</v>
      </c>
      <c r="C12" s="151" t="s">
        <v>108</v>
      </c>
      <c r="D12" s="171"/>
      <c r="E12" s="170"/>
      <c r="F12" s="170"/>
      <c r="G12" s="170"/>
      <c r="H12" s="171"/>
      <c r="I12" s="152"/>
      <c r="J12" s="152"/>
      <c r="K12" s="152"/>
      <c r="L12" s="152"/>
      <c r="M12" s="152"/>
      <c r="N12" s="32">
        <f t="shared" si="0"/>
        <v>0</v>
      </c>
    </row>
    <row r="13" spans="1:14" ht="18" customHeight="1" thickBot="1">
      <c r="A13" s="114">
        <v>3</v>
      </c>
      <c r="B13" s="150">
        <v>22103</v>
      </c>
      <c r="C13" s="151" t="s">
        <v>109</v>
      </c>
      <c r="D13" s="171"/>
      <c r="E13" s="170"/>
      <c r="F13" s="170"/>
      <c r="G13" s="170"/>
      <c r="H13" s="171"/>
      <c r="I13" s="152"/>
      <c r="J13" s="152"/>
      <c r="K13" s="152"/>
      <c r="L13" s="152"/>
      <c r="M13" s="152"/>
      <c r="N13" s="32">
        <f t="shared" si="0"/>
        <v>0</v>
      </c>
    </row>
    <row r="14" spans="1:14" ht="18" customHeight="1" thickBot="1">
      <c r="A14" s="114">
        <v>4</v>
      </c>
      <c r="B14" s="150">
        <v>22104</v>
      </c>
      <c r="C14" s="151" t="s">
        <v>110</v>
      </c>
      <c r="D14" s="171"/>
      <c r="E14" s="170"/>
      <c r="F14" s="170"/>
      <c r="G14" s="170"/>
      <c r="H14" s="171"/>
      <c r="I14" s="152"/>
      <c r="J14" s="152"/>
      <c r="K14" s="152"/>
      <c r="L14" s="152"/>
      <c r="M14" s="152"/>
      <c r="N14" s="32">
        <f t="shared" si="0"/>
        <v>0</v>
      </c>
    </row>
    <row r="15" spans="1:14" ht="18" customHeight="1" thickBot="1">
      <c r="A15" s="114">
        <v>5</v>
      </c>
      <c r="B15" s="150">
        <v>22105</v>
      </c>
      <c r="C15" s="151" t="s">
        <v>111</v>
      </c>
      <c r="D15" s="171"/>
      <c r="E15" s="170"/>
      <c r="F15" s="170"/>
      <c r="G15" s="170"/>
      <c r="H15" s="171"/>
      <c r="I15" s="152"/>
      <c r="J15" s="152"/>
      <c r="K15" s="152"/>
      <c r="L15" s="152"/>
      <c r="M15" s="152"/>
      <c r="N15" s="32">
        <f t="shared" si="0"/>
        <v>0</v>
      </c>
    </row>
    <row r="16" spans="1:14" ht="18" customHeight="1" thickBot="1">
      <c r="A16" s="114">
        <v>6</v>
      </c>
      <c r="B16" s="150">
        <v>22106</v>
      </c>
      <c r="C16" s="151" t="s">
        <v>112</v>
      </c>
      <c r="D16" s="171"/>
      <c r="E16" s="170"/>
      <c r="F16" s="170"/>
      <c r="G16" s="170"/>
      <c r="H16" s="171"/>
      <c r="I16" s="152"/>
      <c r="J16" s="152"/>
      <c r="K16" s="152"/>
      <c r="L16" s="152"/>
      <c r="M16" s="152"/>
      <c r="N16" s="32">
        <f t="shared" si="0"/>
        <v>0</v>
      </c>
    </row>
    <row r="17" spans="1:14" ht="18" customHeight="1" thickBot="1">
      <c r="A17" s="114">
        <v>7</v>
      </c>
      <c r="B17" s="150">
        <v>22107</v>
      </c>
      <c r="C17" s="151" t="s">
        <v>113</v>
      </c>
      <c r="D17" s="171"/>
      <c r="E17" s="170"/>
      <c r="F17" s="170"/>
      <c r="G17" s="170"/>
      <c r="H17" s="171"/>
      <c r="I17" s="152"/>
      <c r="J17" s="152"/>
      <c r="K17" s="152"/>
      <c r="L17" s="152"/>
      <c r="M17" s="152"/>
      <c r="N17" s="32">
        <f t="shared" si="0"/>
        <v>0</v>
      </c>
    </row>
    <row r="18" spans="1:14" ht="18" customHeight="1" thickBot="1">
      <c r="A18" s="114">
        <v>8</v>
      </c>
      <c r="B18" s="150">
        <v>22108</v>
      </c>
      <c r="C18" s="151" t="s">
        <v>114</v>
      </c>
      <c r="D18" s="171"/>
      <c r="E18" s="170"/>
      <c r="F18" s="170"/>
      <c r="G18" s="170"/>
      <c r="H18" s="171"/>
      <c r="I18" s="152"/>
      <c r="J18" s="152"/>
      <c r="K18" s="152"/>
      <c r="L18" s="152"/>
      <c r="M18" s="152"/>
      <c r="N18" s="32">
        <f t="shared" si="0"/>
        <v>0</v>
      </c>
    </row>
    <row r="19" spans="1:14" ht="18" customHeight="1" thickBot="1">
      <c r="A19" s="114">
        <v>9</v>
      </c>
      <c r="B19" s="150">
        <v>22109</v>
      </c>
      <c r="C19" s="151" t="s">
        <v>115</v>
      </c>
      <c r="D19" s="171"/>
      <c r="E19" s="170"/>
      <c r="F19" s="170"/>
      <c r="G19" s="170"/>
      <c r="H19" s="171"/>
      <c r="I19" s="152"/>
      <c r="J19" s="152"/>
      <c r="K19" s="152"/>
      <c r="L19" s="152"/>
      <c r="M19" s="152"/>
      <c r="N19" s="32">
        <f t="shared" si="0"/>
        <v>0</v>
      </c>
    </row>
    <row r="20" spans="1:14" ht="18" customHeight="1" thickBot="1">
      <c r="A20" s="114">
        <v>10</v>
      </c>
      <c r="B20" s="150">
        <v>22110</v>
      </c>
      <c r="C20" s="151" t="s">
        <v>116</v>
      </c>
      <c r="D20" s="171"/>
      <c r="E20" s="170"/>
      <c r="F20" s="170"/>
      <c r="G20" s="170"/>
      <c r="H20" s="171"/>
      <c r="I20" s="152"/>
      <c r="J20" s="152"/>
      <c r="K20" s="152"/>
      <c r="L20" s="152"/>
      <c r="M20" s="152"/>
      <c r="N20" s="32">
        <f t="shared" si="0"/>
        <v>0</v>
      </c>
    </row>
    <row r="21" spans="1:14" ht="18" customHeight="1" thickBot="1">
      <c r="A21" s="114">
        <v>11</v>
      </c>
      <c r="B21" s="150">
        <v>22111</v>
      </c>
      <c r="C21" s="151" t="s">
        <v>117</v>
      </c>
      <c r="D21" s="171"/>
      <c r="E21" s="170"/>
      <c r="F21" s="170"/>
      <c r="G21" s="170"/>
      <c r="H21" s="171"/>
      <c r="I21" s="152"/>
      <c r="J21" s="152"/>
      <c r="K21" s="152"/>
      <c r="L21" s="152"/>
      <c r="M21" s="152"/>
      <c r="N21" s="32">
        <f t="shared" si="0"/>
        <v>0</v>
      </c>
    </row>
    <row r="22" spans="1:14" ht="18" customHeight="1" thickBot="1">
      <c r="A22" s="114">
        <v>12</v>
      </c>
      <c r="B22" s="150">
        <v>22112</v>
      </c>
      <c r="C22" s="151" t="s">
        <v>118</v>
      </c>
      <c r="D22" s="171"/>
      <c r="E22" s="170"/>
      <c r="F22" s="170"/>
      <c r="G22" s="170"/>
      <c r="H22" s="171"/>
      <c r="I22" s="152"/>
      <c r="J22" s="152"/>
      <c r="K22" s="152"/>
      <c r="L22" s="152"/>
      <c r="M22" s="152"/>
      <c r="N22" s="32">
        <f t="shared" si="0"/>
        <v>0</v>
      </c>
    </row>
    <row r="23" spans="1:14" ht="18" customHeight="1" thickBot="1">
      <c r="A23" s="114">
        <v>13</v>
      </c>
      <c r="B23" s="150">
        <v>22113</v>
      </c>
      <c r="C23" s="151" t="s">
        <v>119</v>
      </c>
      <c r="D23" s="171"/>
      <c r="E23" s="170"/>
      <c r="F23" s="170"/>
      <c r="G23" s="170"/>
      <c r="H23" s="171"/>
      <c r="I23" s="152"/>
      <c r="J23" s="152"/>
      <c r="K23" s="152"/>
      <c r="L23" s="152"/>
      <c r="M23" s="152"/>
      <c r="N23" s="32">
        <f t="shared" si="0"/>
        <v>0</v>
      </c>
    </row>
    <row r="24" spans="1:14" ht="18" customHeight="1" thickBot="1">
      <c r="A24" s="114">
        <v>14</v>
      </c>
      <c r="B24" s="150">
        <v>22114</v>
      </c>
      <c r="C24" s="151" t="s">
        <v>120</v>
      </c>
      <c r="D24" s="171"/>
      <c r="E24" s="170"/>
      <c r="F24" s="170"/>
      <c r="G24" s="170"/>
      <c r="H24" s="171"/>
      <c r="I24" s="152"/>
      <c r="J24" s="152"/>
      <c r="K24" s="152"/>
      <c r="L24" s="152"/>
      <c r="M24" s="152"/>
      <c r="N24" s="32">
        <f t="shared" si="0"/>
        <v>0</v>
      </c>
    </row>
    <row r="25" spans="1:14" ht="18" customHeight="1" thickBot="1">
      <c r="A25" s="114">
        <v>15</v>
      </c>
      <c r="B25" s="150">
        <v>22115</v>
      </c>
      <c r="C25" s="151" t="s">
        <v>121</v>
      </c>
      <c r="D25" s="171"/>
      <c r="E25" s="170"/>
      <c r="F25" s="170"/>
      <c r="G25" s="170"/>
      <c r="H25" s="171"/>
      <c r="I25" s="152"/>
      <c r="J25" s="152"/>
      <c r="K25" s="152"/>
      <c r="L25" s="152"/>
      <c r="M25" s="152"/>
      <c r="N25" s="32">
        <f t="shared" si="0"/>
        <v>0</v>
      </c>
    </row>
    <row r="26" spans="1:14" ht="18" customHeight="1" thickBot="1">
      <c r="A26" s="114">
        <v>16</v>
      </c>
      <c r="B26" s="150">
        <v>22116</v>
      </c>
      <c r="C26" s="151" t="s">
        <v>122</v>
      </c>
      <c r="D26" s="171"/>
      <c r="E26" s="170"/>
      <c r="F26" s="170"/>
      <c r="G26" s="170"/>
      <c r="H26" s="171"/>
      <c r="I26" s="152"/>
      <c r="J26" s="152"/>
      <c r="K26" s="152"/>
      <c r="L26" s="152"/>
      <c r="M26" s="152"/>
      <c r="N26" s="32">
        <f t="shared" si="0"/>
        <v>0</v>
      </c>
    </row>
    <row r="27" spans="1:14" ht="18" customHeight="1" thickBot="1">
      <c r="A27" s="114">
        <v>17</v>
      </c>
      <c r="B27" s="150">
        <v>22117</v>
      </c>
      <c r="C27" s="151" t="s">
        <v>123</v>
      </c>
      <c r="D27" s="171"/>
      <c r="E27" s="170"/>
      <c r="F27" s="170"/>
      <c r="G27" s="170"/>
      <c r="H27" s="171"/>
      <c r="I27" s="152"/>
      <c r="J27" s="152"/>
      <c r="K27" s="152"/>
      <c r="L27" s="152"/>
      <c r="M27" s="152"/>
      <c r="N27" s="32">
        <f t="shared" si="0"/>
        <v>0</v>
      </c>
    </row>
    <row r="28" spans="1:14" ht="18" customHeight="1" thickBot="1">
      <c r="A28" s="114">
        <v>18</v>
      </c>
      <c r="B28" s="150">
        <v>22118</v>
      </c>
      <c r="C28" s="151" t="s">
        <v>124</v>
      </c>
      <c r="D28" s="171"/>
      <c r="E28" s="170"/>
      <c r="F28" s="170"/>
      <c r="G28" s="170"/>
      <c r="H28" s="171"/>
      <c r="I28" s="152"/>
      <c r="J28" s="152"/>
      <c r="K28" s="152"/>
      <c r="L28" s="152"/>
      <c r="M28" s="152"/>
      <c r="N28" s="32">
        <f t="shared" si="0"/>
        <v>0</v>
      </c>
    </row>
    <row r="29" spans="1:14" ht="18" customHeight="1" thickBot="1">
      <c r="A29" s="114">
        <v>19</v>
      </c>
      <c r="B29" s="150">
        <v>22119</v>
      </c>
      <c r="C29" s="151" t="s">
        <v>125</v>
      </c>
      <c r="D29" s="171"/>
      <c r="E29" s="170"/>
      <c r="F29" s="170"/>
      <c r="G29" s="170"/>
      <c r="H29" s="171"/>
      <c r="I29" s="152"/>
      <c r="J29" s="152"/>
      <c r="K29" s="152"/>
      <c r="L29" s="152"/>
      <c r="M29" s="152"/>
      <c r="N29" s="32">
        <f t="shared" si="0"/>
        <v>0</v>
      </c>
    </row>
    <row r="30" spans="1:14" ht="18" customHeight="1" thickBot="1">
      <c r="A30" s="114">
        <v>20</v>
      </c>
      <c r="B30" s="150">
        <v>22120</v>
      </c>
      <c r="C30" s="151" t="s">
        <v>126</v>
      </c>
      <c r="D30" s="171"/>
      <c r="E30" s="170"/>
      <c r="F30" s="170"/>
      <c r="G30" s="170"/>
      <c r="H30" s="171"/>
      <c r="I30" s="152"/>
      <c r="J30" s="152"/>
      <c r="K30" s="152"/>
      <c r="L30" s="152"/>
      <c r="M30" s="152"/>
      <c r="N30" s="32">
        <f t="shared" si="0"/>
        <v>0</v>
      </c>
    </row>
    <row r="31" spans="1:14" ht="18" customHeight="1" thickBot="1">
      <c r="A31" s="114">
        <v>21</v>
      </c>
      <c r="B31" s="150">
        <v>22121</v>
      </c>
      <c r="C31" s="151" t="s">
        <v>127</v>
      </c>
      <c r="D31" s="171"/>
      <c r="E31" s="170"/>
      <c r="F31" s="170"/>
      <c r="G31" s="170"/>
      <c r="H31" s="171"/>
      <c r="I31" s="152"/>
      <c r="J31" s="152"/>
      <c r="K31" s="152"/>
      <c r="L31" s="152"/>
      <c r="M31" s="152"/>
      <c r="N31" s="32">
        <f t="shared" si="0"/>
        <v>0</v>
      </c>
    </row>
    <row r="32" spans="1:14" ht="18" customHeight="1" thickBot="1">
      <c r="A32" s="114">
        <v>22</v>
      </c>
      <c r="B32" s="150">
        <v>22122</v>
      </c>
      <c r="C32" s="151" t="s">
        <v>128</v>
      </c>
      <c r="D32" s="171"/>
      <c r="E32" s="170"/>
      <c r="F32" s="170"/>
      <c r="G32" s="170"/>
      <c r="H32" s="171"/>
      <c r="I32" s="152"/>
      <c r="J32" s="152"/>
      <c r="K32" s="152"/>
      <c r="L32" s="152"/>
      <c r="M32" s="152"/>
      <c r="N32" s="32">
        <f t="shared" si="0"/>
        <v>0</v>
      </c>
    </row>
    <row r="33" spans="1:14" ht="18" customHeight="1" thickBot="1">
      <c r="A33" s="114">
        <v>23</v>
      </c>
      <c r="B33" s="150">
        <v>22123</v>
      </c>
      <c r="C33" s="151" t="s">
        <v>129</v>
      </c>
      <c r="D33" s="171"/>
      <c r="E33" s="170"/>
      <c r="F33" s="170"/>
      <c r="G33" s="170"/>
      <c r="H33" s="171"/>
      <c r="I33" s="152"/>
      <c r="J33" s="152"/>
      <c r="K33" s="152"/>
      <c r="L33" s="152"/>
      <c r="M33" s="152"/>
      <c r="N33" s="32">
        <f t="shared" si="0"/>
        <v>0</v>
      </c>
    </row>
    <row r="34" spans="1:14" ht="18" customHeight="1" thickBot="1">
      <c r="A34" s="114">
        <v>24</v>
      </c>
      <c r="B34" s="150">
        <v>22124</v>
      </c>
      <c r="C34" s="151" t="s">
        <v>130</v>
      </c>
      <c r="D34" s="171"/>
      <c r="E34" s="170"/>
      <c r="F34" s="170"/>
      <c r="G34" s="170"/>
      <c r="H34" s="171"/>
      <c r="I34" s="152"/>
      <c r="J34" s="152"/>
      <c r="K34" s="152"/>
      <c r="L34" s="152"/>
      <c r="M34" s="152"/>
      <c r="N34" s="32">
        <f t="shared" si="0"/>
        <v>0</v>
      </c>
    </row>
    <row r="35" spans="1:14" ht="18" customHeight="1" thickBot="1">
      <c r="A35" s="114">
        <v>25</v>
      </c>
      <c r="B35" s="150">
        <v>22125</v>
      </c>
      <c r="C35" s="151" t="s">
        <v>131</v>
      </c>
      <c r="D35" s="171"/>
      <c r="E35" s="170"/>
      <c r="F35" s="170"/>
      <c r="G35" s="170"/>
      <c r="H35" s="171"/>
      <c r="I35" s="152"/>
      <c r="J35" s="152"/>
      <c r="K35" s="152"/>
      <c r="L35" s="152"/>
      <c r="M35" s="152"/>
      <c r="N35" s="32">
        <f t="shared" si="0"/>
        <v>0</v>
      </c>
    </row>
    <row r="36" spans="1:14" ht="18" customHeight="1" thickBot="1">
      <c r="A36" s="114">
        <v>26</v>
      </c>
      <c r="B36" s="150">
        <v>22126</v>
      </c>
      <c r="C36" s="151" t="s">
        <v>132</v>
      </c>
      <c r="D36" s="171"/>
      <c r="E36" s="170"/>
      <c r="F36" s="170"/>
      <c r="G36" s="170"/>
      <c r="H36" s="171"/>
      <c r="I36" s="152"/>
      <c r="J36" s="152"/>
      <c r="K36" s="152"/>
      <c r="L36" s="152"/>
      <c r="M36" s="152"/>
      <c r="N36" s="32">
        <f t="shared" si="0"/>
        <v>0</v>
      </c>
    </row>
    <row r="37" spans="1:14" ht="18" customHeight="1" thickBot="1">
      <c r="A37" s="114">
        <v>27</v>
      </c>
      <c r="B37" s="150">
        <v>22127</v>
      </c>
      <c r="C37" s="151" t="s">
        <v>133</v>
      </c>
      <c r="D37" s="171"/>
      <c r="E37" s="170"/>
      <c r="F37" s="170"/>
      <c r="G37" s="170"/>
      <c r="H37" s="171"/>
      <c r="I37" s="152"/>
      <c r="J37" s="152"/>
      <c r="K37" s="152"/>
      <c r="L37" s="152"/>
      <c r="M37" s="152"/>
      <c r="N37" s="32">
        <f t="shared" si="0"/>
        <v>0</v>
      </c>
    </row>
    <row r="38" spans="1:14" ht="18" customHeight="1" thickBot="1">
      <c r="A38" s="114">
        <v>28</v>
      </c>
      <c r="B38" s="150">
        <v>22128</v>
      </c>
      <c r="C38" s="151" t="s">
        <v>134</v>
      </c>
      <c r="D38" s="171"/>
      <c r="E38" s="170"/>
      <c r="F38" s="170"/>
      <c r="G38" s="170"/>
      <c r="H38" s="171"/>
      <c r="I38" s="152"/>
      <c r="J38" s="152"/>
      <c r="K38" s="152"/>
      <c r="L38" s="152"/>
      <c r="M38" s="152"/>
      <c r="N38" s="32">
        <f t="shared" si="0"/>
        <v>0</v>
      </c>
    </row>
    <row r="39" spans="1:14" ht="18" customHeight="1" thickBot="1">
      <c r="A39" s="114">
        <v>29</v>
      </c>
      <c r="B39" s="150">
        <v>22129</v>
      </c>
      <c r="C39" s="151" t="s">
        <v>135</v>
      </c>
      <c r="D39" s="171"/>
      <c r="E39" s="170"/>
      <c r="F39" s="170"/>
      <c r="G39" s="170"/>
      <c r="H39" s="171"/>
      <c r="I39" s="152"/>
      <c r="J39" s="152"/>
      <c r="K39" s="152"/>
      <c r="L39" s="152"/>
      <c r="M39" s="152"/>
      <c r="N39" s="32">
        <f t="shared" si="0"/>
        <v>0</v>
      </c>
    </row>
    <row r="40" spans="1:14" ht="18" customHeight="1" thickBot="1">
      <c r="A40" s="114">
        <v>30</v>
      </c>
      <c r="B40" s="150">
        <v>22130</v>
      </c>
      <c r="C40" s="151" t="s">
        <v>136</v>
      </c>
      <c r="D40" s="171"/>
      <c r="E40" s="170"/>
      <c r="F40" s="170"/>
      <c r="G40" s="170"/>
      <c r="H40" s="171"/>
      <c r="I40" s="152"/>
      <c r="J40" s="152"/>
      <c r="K40" s="152"/>
      <c r="L40" s="152"/>
      <c r="M40" s="152"/>
      <c r="N40" s="32">
        <f t="shared" si="0"/>
        <v>0</v>
      </c>
    </row>
    <row r="41" spans="1:14" ht="18" customHeight="1" thickBot="1">
      <c r="A41" s="114">
        <v>31</v>
      </c>
      <c r="B41" s="150">
        <v>22131</v>
      </c>
      <c r="C41" s="151" t="s">
        <v>137</v>
      </c>
      <c r="D41" s="171"/>
      <c r="E41" s="170"/>
      <c r="F41" s="170"/>
      <c r="G41" s="170"/>
      <c r="H41" s="171"/>
      <c r="I41" s="152"/>
      <c r="J41" s="152"/>
      <c r="K41" s="152"/>
      <c r="L41" s="152"/>
      <c r="M41" s="152"/>
      <c r="N41" s="32">
        <f t="shared" si="0"/>
        <v>0</v>
      </c>
    </row>
    <row r="42" spans="1:14" ht="18" customHeight="1" thickBot="1">
      <c r="A42" s="114">
        <v>32</v>
      </c>
      <c r="B42" s="150">
        <v>22132</v>
      </c>
      <c r="C42" s="151" t="s">
        <v>138</v>
      </c>
      <c r="D42" s="171"/>
      <c r="E42" s="170"/>
      <c r="F42" s="170"/>
      <c r="G42" s="170"/>
      <c r="H42" s="171"/>
      <c r="I42" s="152"/>
      <c r="J42" s="152"/>
      <c r="K42" s="152"/>
      <c r="L42" s="152"/>
      <c r="M42" s="152"/>
      <c r="N42" s="32">
        <f t="shared" si="0"/>
        <v>0</v>
      </c>
    </row>
    <row r="43" spans="1:14" ht="18" customHeight="1" thickBot="1">
      <c r="A43" s="114">
        <v>33</v>
      </c>
      <c r="B43" s="150">
        <v>22133</v>
      </c>
      <c r="C43" s="151" t="s">
        <v>139</v>
      </c>
      <c r="D43" s="171"/>
      <c r="E43" s="170"/>
      <c r="F43" s="170"/>
      <c r="G43" s="170"/>
      <c r="H43" s="171"/>
      <c r="I43" s="152"/>
      <c r="J43" s="152"/>
      <c r="K43" s="152"/>
      <c r="L43" s="152"/>
      <c r="M43" s="152"/>
      <c r="N43" s="32">
        <f t="shared" si="0"/>
        <v>0</v>
      </c>
    </row>
    <row r="44" spans="1:14" ht="18" customHeight="1" thickBot="1">
      <c r="A44" s="114">
        <v>34</v>
      </c>
      <c r="B44" s="150">
        <v>22134</v>
      </c>
      <c r="C44" s="151" t="s">
        <v>140</v>
      </c>
      <c r="D44" s="171"/>
      <c r="E44" s="170"/>
      <c r="F44" s="170"/>
      <c r="G44" s="170"/>
      <c r="H44" s="171"/>
      <c r="I44" s="152"/>
      <c r="J44" s="152"/>
      <c r="K44" s="152"/>
      <c r="L44" s="152"/>
      <c r="M44" s="152"/>
      <c r="N44" s="32">
        <f t="shared" si="0"/>
        <v>0</v>
      </c>
    </row>
    <row r="45" spans="1:14" ht="18" customHeight="1" thickBot="1">
      <c r="A45" s="114">
        <v>35</v>
      </c>
      <c r="B45" s="150">
        <v>22135</v>
      </c>
      <c r="C45" s="151" t="s">
        <v>141</v>
      </c>
      <c r="D45" s="171"/>
      <c r="E45" s="170"/>
      <c r="F45" s="170"/>
      <c r="G45" s="170"/>
      <c r="H45" s="171"/>
      <c r="I45" s="152"/>
      <c r="J45" s="152"/>
      <c r="K45" s="152"/>
      <c r="L45" s="152"/>
      <c r="M45" s="152"/>
      <c r="N45" s="32">
        <f t="shared" si="0"/>
        <v>0</v>
      </c>
    </row>
    <row r="46" spans="1:14" ht="18" customHeight="1" thickBot="1">
      <c r="A46" s="114">
        <v>36</v>
      </c>
      <c r="B46" s="150">
        <v>22136</v>
      </c>
      <c r="C46" s="151" t="s">
        <v>142</v>
      </c>
      <c r="D46" s="171"/>
      <c r="E46" s="170"/>
      <c r="F46" s="170"/>
      <c r="G46" s="170"/>
      <c r="H46" s="171"/>
      <c r="I46" s="152"/>
      <c r="J46" s="152"/>
      <c r="K46" s="152"/>
      <c r="L46" s="152"/>
      <c r="M46" s="152"/>
      <c r="N46" s="32">
        <f t="shared" si="0"/>
        <v>0</v>
      </c>
    </row>
    <row r="47" spans="1:14" ht="18" customHeight="1" thickBot="1">
      <c r="A47" s="114">
        <v>37</v>
      </c>
      <c r="B47" s="150">
        <v>22137</v>
      </c>
      <c r="C47" s="151" t="s">
        <v>143</v>
      </c>
      <c r="D47" s="171"/>
      <c r="E47" s="170"/>
      <c r="F47" s="170"/>
      <c r="G47" s="170"/>
      <c r="H47" s="171"/>
      <c r="I47" s="152"/>
      <c r="J47" s="152"/>
      <c r="K47" s="152"/>
      <c r="L47" s="152"/>
      <c r="M47" s="152"/>
      <c r="N47" s="32">
        <f t="shared" si="0"/>
        <v>0</v>
      </c>
    </row>
    <row r="48" spans="1:14" ht="18" customHeight="1" thickBot="1">
      <c r="A48" s="114">
        <v>38</v>
      </c>
      <c r="B48" s="150">
        <v>22138</v>
      </c>
      <c r="C48" s="151" t="s">
        <v>144</v>
      </c>
      <c r="D48" s="171"/>
      <c r="E48" s="170"/>
      <c r="F48" s="170"/>
      <c r="G48" s="170"/>
      <c r="H48" s="171"/>
      <c r="I48" s="152"/>
      <c r="J48" s="152"/>
      <c r="K48" s="152"/>
      <c r="L48" s="152"/>
      <c r="M48" s="152"/>
      <c r="N48" s="32">
        <f t="shared" si="0"/>
        <v>0</v>
      </c>
    </row>
    <row r="49" spans="1:14" ht="18" customHeight="1" thickBot="1">
      <c r="A49" s="114">
        <v>39</v>
      </c>
      <c r="B49" s="150">
        <v>22139</v>
      </c>
      <c r="C49" s="151" t="s">
        <v>145</v>
      </c>
      <c r="D49" s="171"/>
      <c r="E49" s="170"/>
      <c r="F49" s="170"/>
      <c r="G49" s="170"/>
      <c r="H49" s="171"/>
      <c r="I49" s="152"/>
      <c r="J49" s="152"/>
      <c r="K49" s="152"/>
      <c r="L49" s="152"/>
      <c r="M49" s="152"/>
      <c r="N49" s="32">
        <f t="shared" si="0"/>
        <v>0</v>
      </c>
    </row>
    <row r="50" spans="1:14" ht="18" customHeight="1" thickBot="1">
      <c r="A50" s="114">
        <v>40</v>
      </c>
      <c r="B50" s="150">
        <v>22140</v>
      </c>
      <c r="C50" s="151" t="s">
        <v>146</v>
      </c>
      <c r="D50" s="171"/>
      <c r="E50" s="170"/>
      <c r="F50" s="170"/>
      <c r="G50" s="170"/>
      <c r="H50" s="171"/>
      <c r="I50" s="152"/>
      <c r="J50" s="152"/>
      <c r="K50" s="152"/>
      <c r="L50" s="152"/>
      <c r="M50" s="152"/>
      <c r="N50" s="32">
        <f t="shared" si="0"/>
        <v>0</v>
      </c>
    </row>
    <row r="51" spans="1:14" ht="18" customHeight="1" thickBot="1">
      <c r="A51" s="114">
        <v>41</v>
      </c>
      <c r="B51" s="150">
        <v>22141</v>
      </c>
      <c r="C51" s="151" t="s">
        <v>147</v>
      </c>
      <c r="D51" s="171"/>
      <c r="E51" s="170"/>
      <c r="F51" s="170"/>
      <c r="G51" s="170"/>
      <c r="H51" s="171"/>
      <c r="I51" s="152"/>
      <c r="J51" s="152"/>
      <c r="K51" s="152"/>
      <c r="L51" s="152"/>
      <c r="M51" s="152"/>
      <c r="N51" s="32">
        <f t="shared" si="0"/>
        <v>0</v>
      </c>
    </row>
    <row r="52" spans="1:14" ht="18" customHeight="1" thickBot="1">
      <c r="A52" s="114">
        <v>42</v>
      </c>
      <c r="B52" s="150">
        <v>22142</v>
      </c>
      <c r="C52" s="151" t="s">
        <v>148</v>
      </c>
      <c r="D52" s="171"/>
      <c r="E52" s="170"/>
      <c r="F52" s="170"/>
      <c r="G52" s="170"/>
      <c r="H52" s="171"/>
      <c r="I52" s="152"/>
      <c r="J52" s="152"/>
      <c r="K52" s="152"/>
      <c r="L52" s="152"/>
      <c r="M52" s="152"/>
      <c r="N52" s="32">
        <f t="shared" si="0"/>
        <v>0</v>
      </c>
    </row>
    <row r="53" spans="1:14" ht="18" customHeight="1" thickBot="1">
      <c r="A53" s="114">
        <v>43</v>
      </c>
      <c r="B53" s="150">
        <v>22143</v>
      </c>
      <c r="C53" s="151" t="s">
        <v>149</v>
      </c>
      <c r="D53" s="171"/>
      <c r="E53" s="170"/>
      <c r="F53" s="170"/>
      <c r="G53" s="170"/>
      <c r="H53" s="171"/>
      <c r="I53" s="152"/>
      <c r="J53" s="152"/>
      <c r="K53" s="152"/>
      <c r="L53" s="152"/>
      <c r="M53" s="152"/>
      <c r="N53" s="32">
        <f t="shared" si="0"/>
        <v>0</v>
      </c>
    </row>
    <row r="54" spans="1:14" ht="18" customHeight="1" thickBot="1">
      <c r="A54" s="114">
        <v>44</v>
      </c>
      <c r="B54" s="150">
        <v>22144</v>
      </c>
      <c r="C54" s="151" t="s">
        <v>150</v>
      </c>
      <c r="D54" s="171"/>
      <c r="E54" s="170"/>
      <c r="F54" s="170"/>
      <c r="G54" s="170"/>
      <c r="H54" s="171"/>
      <c r="I54" s="152"/>
      <c r="J54" s="152"/>
      <c r="K54" s="152"/>
      <c r="L54" s="152"/>
      <c r="M54" s="152"/>
      <c r="N54" s="32">
        <f t="shared" si="0"/>
        <v>0</v>
      </c>
    </row>
    <row r="55" spans="1:14" ht="18" customHeight="1" thickBot="1">
      <c r="A55" s="114">
        <v>45</v>
      </c>
      <c r="B55" s="150">
        <v>22145</v>
      </c>
      <c r="C55" s="151" t="s">
        <v>151</v>
      </c>
      <c r="D55" s="171"/>
      <c r="E55" s="170"/>
      <c r="F55" s="170"/>
      <c r="G55" s="170"/>
      <c r="H55" s="171"/>
      <c r="I55" s="152"/>
      <c r="J55" s="152"/>
      <c r="K55" s="152"/>
      <c r="L55" s="152"/>
      <c r="M55" s="152"/>
      <c r="N55" s="32">
        <f t="shared" si="0"/>
        <v>0</v>
      </c>
    </row>
    <row r="56" spans="1:14" ht="18" customHeight="1" thickBot="1">
      <c r="A56" s="114">
        <v>46</v>
      </c>
      <c r="B56" s="150">
        <v>22146</v>
      </c>
      <c r="C56" s="151" t="s">
        <v>152</v>
      </c>
      <c r="D56" s="171"/>
      <c r="E56" s="170"/>
      <c r="F56" s="170"/>
      <c r="G56" s="170"/>
      <c r="H56" s="171"/>
      <c r="I56" s="152"/>
      <c r="J56" s="152"/>
      <c r="K56" s="152"/>
      <c r="L56" s="152"/>
      <c r="M56" s="152"/>
      <c r="N56" s="32">
        <f t="shared" si="0"/>
        <v>0</v>
      </c>
    </row>
    <row r="57" spans="1:14" ht="18" customHeight="1" thickBot="1">
      <c r="A57" s="114">
        <v>47</v>
      </c>
      <c r="B57" s="150">
        <v>22147</v>
      </c>
      <c r="C57" s="151" t="s">
        <v>153</v>
      </c>
      <c r="D57" s="171"/>
      <c r="E57" s="170"/>
      <c r="F57" s="170"/>
      <c r="G57" s="170"/>
      <c r="H57" s="171"/>
      <c r="I57" s="152"/>
      <c r="J57" s="152"/>
      <c r="K57" s="152"/>
      <c r="L57" s="152"/>
      <c r="M57" s="152"/>
      <c r="N57" s="32">
        <f t="shared" si="0"/>
        <v>0</v>
      </c>
    </row>
    <row r="58" spans="1:14" ht="18" customHeight="1" thickBot="1">
      <c r="A58" s="114">
        <v>48</v>
      </c>
      <c r="B58" s="150">
        <v>22148</v>
      </c>
      <c r="C58" s="151" t="s">
        <v>154</v>
      </c>
      <c r="D58" s="171"/>
      <c r="E58" s="170"/>
      <c r="F58" s="170"/>
      <c r="G58" s="170"/>
      <c r="H58" s="171"/>
      <c r="I58" s="152"/>
      <c r="J58" s="152"/>
      <c r="K58" s="152"/>
      <c r="L58" s="152"/>
      <c r="M58" s="152"/>
      <c r="N58" s="32">
        <f t="shared" si="0"/>
        <v>0</v>
      </c>
    </row>
    <row r="59" spans="1:14" ht="18" customHeight="1" thickBot="1">
      <c r="A59" s="114">
        <v>49</v>
      </c>
      <c r="B59" s="150">
        <v>22149</v>
      </c>
      <c r="C59" s="151" t="s">
        <v>155</v>
      </c>
      <c r="D59" s="171"/>
      <c r="E59" s="170"/>
      <c r="F59" s="170"/>
      <c r="G59" s="170"/>
      <c r="H59" s="171"/>
      <c r="I59" s="152"/>
      <c r="J59" s="152"/>
      <c r="K59" s="152"/>
      <c r="L59" s="152"/>
      <c r="M59" s="152"/>
      <c r="N59" s="32">
        <f t="shared" si="0"/>
        <v>0</v>
      </c>
    </row>
    <row r="60" spans="1:14" ht="18" customHeight="1" thickBot="1">
      <c r="A60" s="114">
        <v>50</v>
      </c>
      <c r="B60" s="150">
        <v>22150</v>
      </c>
      <c r="C60" s="151" t="s">
        <v>156</v>
      </c>
      <c r="D60" s="171"/>
      <c r="E60" s="170"/>
      <c r="F60" s="170"/>
      <c r="G60" s="170"/>
      <c r="H60" s="171"/>
      <c r="I60" s="152"/>
      <c r="J60" s="152"/>
      <c r="K60" s="152"/>
      <c r="L60" s="152"/>
      <c r="M60" s="152"/>
      <c r="N60" s="32">
        <f t="shared" si="0"/>
        <v>0</v>
      </c>
    </row>
    <row r="61" spans="1:14" ht="18" customHeight="1" thickBot="1">
      <c r="A61" s="114">
        <v>51</v>
      </c>
      <c r="B61" s="150">
        <v>22151</v>
      </c>
      <c r="C61" s="151" t="s">
        <v>157</v>
      </c>
      <c r="D61" s="171"/>
      <c r="E61" s="170"/>
      <c r="F61" s="170"/>
      <c r="G61" s="170"/>
      <c r="H61" s="171"/>
      <c r="I61" s="152"/>
      <c r="J61" s="152"/>
      <c r="K61" s="152"/>
      <c r="L61" s="152"/>
      <c r="M61" s="152"/>
      <c r="N61" s="32">
        <f t="shared" si="0"/>
        <v>0</v>
      </c>
    </row>
    <row r="62" spans="1:14" ht="18" customHeight="1" thickBot="1">
      <c r="A62" s="114">
        <v>52</v>
      </c>
      <c r="B62" s="150">
        <v>22152</v>
      </c>
      <c r="C62" s="151" t="s">
        <v>158</v>
      </c>
      <c r="D62" s="171"/>
      <c r="E62" s="170"/>
      <c r="F62" s="170"/>
      <c r="G62" s="170"/>
      <c r="H62" s="171"/>
      <c r="I62" s="152"/>
      <c r="J62" s="152"/>
      <c r="K62" s="152"/>
      <c r="L62" s="152"/>
      <c r="M62" s="152"/>
      <c r="N62" s="32">
        <f t="shared" si="0"/>
        <v>0</v>
      </c>
    </row>
    <row r="63" spans="1:14" ht="18" customHeight="1" thickBot="1">
      <c r="A63" s="114">
        <v>53</v>
      </c>
      <c r="B63" s="150">
        <v>22153</v>
      </c>
      <c r="C63" s="151" t="s">
        <v>159</v>
      </c>
      <c r="D63" s="171"/>
      <c r="E63" s="170"/>
      <c r="F63" s="170"/>
      <c r="G63" s="170"/>
      <c r="H63" s="171"/>
      <c r="I63" s="152"/>
      <c r="J63" s="152"/>
      <c r="K63" s="152"/>
      <c r="L63" s="152"/>
      <c r="M63" s="152"/>
      <c r="N63" s="32">
        <f t="shared" si="0"/>
        <v>0</v>
      </c>
    </row>
    <row r="64" spans="1:14" ht="18" customHeight="1" thickBot="1">
      <c r="A64" s="114">
        <v>54</v>
      </c>
      <c r="B64" s="150">
        <v>22154</v>
      </c>
      <c r="C64" s="151" t="s">
        <v>160</v>
      </c>
      <c r="D64" s="171"/>
      <c r="E64" s="170"/>
      <c r="F64" s="170"/>
      <c r="G64" s="170"/>
      <c r="H64" s="171"/>
      <c r="I64" s="152"/>
      <c r="J64" s="152"/>
      <c r="K64" s="152"/>
      <c r="L64" s="152"/>
      <c r="M64" s="152"/>
      <c r="N64" s="32">
        <f t="shared" si="0"/>
        <v>0</v>
      </c>
    </row>
    <row r="65" spans="1:14" ht="18" customHeight="1" thickBot="1">
      <c r="A65" s="114">
        <v>55</v>
      </c>
      <c r="B65" s="150">
        <v>22155</v>
      </c>
      <c r="C65" s="151" t="s">
        <v>161</v>
      </c>
      <c r="D65" s="171"/>
      <c r="E65" s="170"/>
      <c r="F65" s="170"/>
      <c r="G65" s="170"/>
      <c r="H65" s="171"/>
      <c r="I65" s="152"/>
      <c r="J65" s="152"/>
      <c r="K65" s="152"/>
      <c r="L65" s="152"/>
      <c r="M65" s="152"/>
      <c r="N65" s="32">
        <f t="shared" si="0"/>
        <v>0</v>
      </c>
    </row>
    <row r="66" spans="1:14" ht="18" customHeight="1" thickBot="1">
      <c r="A66" s="114">
        <v>56</v>
      </c>
      <c r="B66" s="150">
        <v>22156</v>
      </c>
      <c r="C66" s="151" t="s">
        <v>162</v>
      </c>
      <c r="D66" s="171"/>
      <c r="E66" s="170"/>
      <c r="F66" s="170"/>
      <c r="G66" s="170"/>
      <c r="H66" s="171"/>
      <c r="I66" s="152"/>
      <c r="J66" s="152"/>
      <c r="K66" s="152"/>
      <c r="L66" s="152"/>
      <c r="M66" s="152"/>
      <c r="N66" s="32">
        <f t="shared" si="0"/>
        <v>0</v>
      </c>
    </row>
    <row r="67" spans="1:14" ht="18" customHeight="1" thickBot="1">
      <c r="A67" s="114">
        <v>57</v>
      </c>
      <c r="B67" s="150">
        <v>22157</v>
      </c>
      <c r="C67" s="151" t="s">
        <v>163</v>
      </c>
      <c r="D67" s="171"/>
      <c r="E67" s="170"/>
      <c r="F67" s="170"/>
      <c r="G67" s="170"/>
      <c r="H67" s="171"/>
      <c r="I67" s="152"/>
      <c r="J67" s="152"/>
      <c r="K67" s="152"/>
      <c r="L67" s="152"/>
      <c r="M67" s="152"/>
      <c r="N67" s="32">
        <f t="shared" si="0"/>
        <v>0</v>
      </c>
    </row>
    <row r="68" spans="1:14" ht="18" customHeight="1" thickBot="1">
      <c r="A68" s="114">
        <v>58</v>
      </c>
      <c r="B68" s="150">
        <v>22158</v>
      </c>
      <c r="C68" s="151" t="s">
        <v>164</v>
      </c>
      <c r="D68" s="171"/>
      <c r="E68" s="170"/>
      <c r="F68" s="170"/>
      <c r="G68" s="170"/>
      <c r="H68" s="171"/>
      <c r="I68" s="152"/>
      <c r="J68" s="152"/>
      <c r="K68" s="152"/>
      <c r="L68" s="152"/>
      <c r="M68" s="152"/>
      <c r="N68" s="32">
        <f t="shared" si="0"/>
        <v>0</v>
      </c>
    </row>
    <row r="69" spans="1:14" ht="18" customHeight="1" thickBot="1">
      <c r="A69" s="114">
        <v>59</v>
      </c>
      <c r="B69" s="150">
        <v>22159</v>
      </c>
      <c r="C69" s="151" t="s">
        <v>165</v>
      </c>
      <c r="D69" s="171"/>
      <c r="E69" s="170"/>
      <c r="F69" s="170"/>
      <c r="G69" s="170"/>
      <c r="H69" s="171"/>
      <c r="I69" s="152"/>
      <c r="J69" s="152"/>
      <c r="K69" s="152"/>
      <c r="L69" s="152"/>
      <c r="M69" s="152"/>
      <c r="N69" s="32">
        <f t="shared" si="0"/>
        <v>0</v>
      </c>
    </row>
    <row r="70" spans="1:14" ht="18" customHeight="1" thickBot="1">
      <c r="A70" s="114">
        <v>60</v>
      </c>
      <c r="B70" s="150">
        <v>22160</v>
      </c>
      <c r="C70" s="151" t="s">
        <v>166</v>
      </c>
      <c r="D70" s="171"/>
      <c r="E70" s="170"/>
      <c r="F70" s="170"/>
      <c r="G70" s="170"/>
      <c r="H70" s="171"/>
      <c r="I70" s="152"/>
      <c r="J70" s="152"/>
      <c r="K70" s="152"/>
      <c r="L70" s="152"/>
      <c r="M70" s="152"/>
      <c r="N70" s="32">
        <f t="shared" si="0"/>
        <v>0</v>
      </c>
    </row>
    <row r="71" spans="1:14" ht="18" customHeight="1" thickBot="1">
      <c r="A71" s="114">
        <v>61</v>
      </c>
      <c r="B71" s="150">
        <v>22161</v>
      </c>
      <c r="C71" s="151" t="s">
        <v>167</v>
      </c>
      <c r="D71" s="171"/>
      <c r="E71" s="170"/>
      <c r="F71" s="170"/>
      <c r="G71" s="170"/>
      <c r="H71" s="171"/>
      <c r="I71" s="152"/>
      <c r="J71" s="152"/>
      <c r="K71" s="152"/>
      <c r="L71" s="152"/>
      <c r="M71" s="152"/>
      <c r="N71" s="32">
        <f t="shared" si="0"/>
        <v>0</v>
      </c>
    </row>
    <row r="72" spans="1:14" ht="18" customHeight="1" thickBot="1">
      <c r="A72" s="114">
        <v>62</v>
      </c>
      <c r="B72" s="150">
        <v>22162</v>
      </c>
      <c r="C72" s="151" t="s">
        <v>168</v>
      </c>
      <c r="D72" s="171"/>
      <c r="E72" s="170"/>
      <c r="F72" s="170"/>
      <c r="G72" s="170"/>
      <c r="H72" s="171"/>
      <c r="I72" s="152"/>
      <c r="J72" s="152"/>
      <c r="K72" s="152"/>
      <c r="L72" s="152"/>
      <c r="M72" s="152"/>
      <c r="N72" s="32">
        <f t="shared" si="0"/>
        <v>0</v>
      </c>
    </row>
    <row r="73" spans="1:14" ht="18" customHeight="1" thickBot="1">
      <c r="A73" s="114">
        <v>63</v>
      </c>
      <c r="B73" s="150">
        <v>22163</v>
      </c>
      <c r="C73" s="151" t="s">
        <v>169</v>
      </c>
      <c r="D73" s="171"/>
      <c r="E73" s="170"/>
      <c r="F73" s="170"/>
      <c r="G73" s="170"/>
      <c r="H73" s="171"/>
      <c r="I73" s="152"/>
      <c r="J73" s="152"/>
      <c r="K73" s="152"/>
      <c r="L73" s="152"/>
      <c r="M73" s="152"/>
      <c r="N73" s="32">
        <f t="shared" si="0"/>
        <v>0</v>
      </c>
    </row>
    <row r="74" spans="1:14" ht="18" customHeight="1" thickBot="1">
      <c r="A74" s="114">
        <v>64</v>
      </c>
      <c r="B74" s="150">
        <v>22164</v>
      </c>
      <c r="C74" s="151" t="s">
        <v>170</v>
      </c>
      <c r="D74" s="171"/>
      <c r="E74" s="170"/>
      <c r="F74" s="170"/>
      <c r="G74" s="170"/>
      <c r="H74" s="171"/>
      <c r="I74" s="152"/>
      <c r="J74" s="152"/>
      <c r="K74" s="152"/>
      <c r="L74" s="152"/>
      <c r="M74" s="152"/>
      <c r="N74" s="32">
        <f t="shared" si="0"/>
        <v>0</v>
      </c>
    </row>
    <row r="75" spans="1:14" ht="18" customHeight="1" thickBot="1">
      <c r="A75" s="114">
        <v>65</v>
      </c>
      <c r="B75" s="150">
        <v>22165</v>
      </c>
      <c r="C75" s="151" t="s">
        <v>171</v>
      </c>
      <c r="D75" s="171"/>
      <c r="E75" s="170"/>
      <c r="F75" s="170"/>
      <c r="G75" s="170"/>
      <c r="H75" s="171"/>
      <c r="I75" s="152"/>
      <c r="J75" s="152"/>
      <c r="K75" s="152"/>
      <c r="L75" s="152"/>
      <c r="M75" s="152"/>
      <c r="N75" s="32">
        <f t="shared" ref="N75:N118" si="1">IF(D75&lt;&gt;"AB",SUM(D75:M75),"AB")</f>
        <v>0</v>
      </c>
    </row>
    <row r="76" spans="1:14" ht="18" customHeight="1" thickBot="1">
      <c r="A76" s="114">
        <v>66</v>
      </c>
      <c r="B76" s="150">
        <v>22166</v>
      </c>
      <c r="C76" s="151" t="s">
        <v>172</v>
      </c>
      <c r="D76" s="171"/>
      <c r="E76" s="170"/>
      <c r="F76" s="170"/>
      <c r="G76" s="170"/>
      <c r="H76" s="171"/>
      <c r="I76" s="152"/>
      <c r="J76" s="152"/>
      <c r="K76" s="152"/>
      <c r="L76" s="152"/>
      <c r="M76" s="152"/>
      <c r="N76" s="32">
        <f t="shared" si="1"/>
        <v>0</v>
      </c>
    </row>
    <row r="77" spans="1:14" ht="18" customHeight="1" thickBot="1">
      <c r="A77" s="114">
        <v>67</v>
      </c>
      <c r="B77" s="150">
        <v>22167</v>
      </c>
      <c r="C77" s="151" t="s">
        <v>173</v>
      </c>
      <c r="D77" s="171"/>
      <c r="E77" s="170"/>
      <c r="F77" s="170"/>
      <c r="G77" s="170"/>
      <c r="H77" s="171"/>
      <c r="I77" s="152"/>
      <c r="J77" s="152"/>
      <c r="K77" s="152"/>
      <c r="L77" s="152"/>
      <c r="M77" s="152"/>
      <c r="N77" s="32">
        <f t="shared" si="1"/>
        <v>0</v>
      </c>
    </row>
    <row r="78" spans="1:14" ht="18" customHeight="1" thickBot="1">
      <c r="A78" s="114">
        <v>68</v>
      </c>
      <c r="B78" s="150">
        <v>22168</v>
      </c>
      <c r="C78" s="151" t="s">
        <v>174</v>
      </c>
      <c r="D78" s="171"/>
      <c r="E78" s="170"/>
      <c r="F78" s="170"/>
      <c r="G78" s="170"/>
      <c r="H78" s="171"/>
      <c r="I78" s="152"/>
      <c r="J78" s="152"/>
      <c r="K78" s="152"/>
      <c r="L78" s="152"/>
      <c r="M78" s="152"/>
      <c r="N78" s="32">
        <f t="shared" si="1"/>
        <v>0</v>
      </c>
    </row>
    <row r="79" spans="1:14" ht="18" customHeight="1" thickBot="1">
      <c r="A79" s="114">
        <v>69</v>
      </c>
      <c r="B79" s="150">
        <v>22201</v>
      </c>
      <c r="C79" s="151" t="s">
        <v>175</v>
      </c>
      <c r="D79" s="171"/>
      <c r="E79" s="170"/>
      <c r="F79" s="170"/>
      <c r="G79" s="170"/>
      <c r="H79" s="171"/>
      <c r="I79" s="152"/>
      <c r="J79" s="152"/>
      <c r="K79" s="152"/>
      <c r="L79" s="152"/>
      <c r="M79" s="152"/>
      <c r="N79" s="32">
        <f t="shared" si="1"/>
        <v>0</v>
      </c>
    </row>
    <row r="80" spans="1:14" ht="18" customHeight="1" thickBot="1">
      <c r="A80" s="114">
        <v>70</v>
      </c>
      <c r="B80" s="150">
        <v>22202</v>
      </c>
      <c r="C80" s="151" t="s">
        <v>176</v>
      </c>
      <c r="D80" s="171"/>
      <c r="E80" s="170"/>
      <c r="F80" s="170"/>
      <c r="G80" s="170"/>
      <c r="H80" s="171"/>
      <c r="I80" s="152"/>
      <c r="J80" s="152"/>
      <c r="K80" s="152"/>
      <c r="L80" s="152"/>
      <c r="M80" s="152"/>
      <c r="N80" s="32">
        <f t="shared" si="1"/>
        <v>0</v>
      </c>
    </row>
    <row r="81" spans="1:14" ht="18" customHeight="1" thickBot="1">
      <c r="A81" s="114">
        <v>71</v>
      </c>
      <c r="B81" s="150">
        <v>22203</v>
      </c>
      <c r="C81" s="151" t="s">
        <v>177</v>
      </c>
      <c r="D81" s="171"/>
      <c r="E81" s="170"/>
      <c r="F81" s="170"/>
      <c r="G81" s="170"/>
      <c r="H81" s="171"/>
      <c r="I81" s="152"/>
      <c r="J81" s="152"/>
      <c r="K81" s="152"/>
      <c r="L81" s="152"/>
      <c r="M81" s="152"/>
      <c r="N81" s="32">
        <f t="shared" si="1"/>
        <v>0</v>
      </c>
    </row>
    <row r="82" spans="1:14" ht="18" customHeight="1" thickBot="1">
      <c r="A82" s="114">
        <v>72</v>
      </c>
      <c r="B82" s="150">
        <v>22204</v>
      </c>
      <c r="C82" s="151" t="s">
        <v>178</v>
      </c>
      <c r="D82" s="171"/>
      <c r="E82" s="170"/>
      <c r="F82" s="170"/>
      <c r="G82" s="170"/>
      <c r="H82" s="171"/>
      <c r="I82" s="152"/>
      <c r="J82" s="152"/>
      <c r="K82" s="152"/>
      <c r="L82" s="152"/>
      <c r="M82" s="152"/>
      <c r="N82" s="32">
        <f t="shared" si="1"/>
        <v>0</v>
      </c>
    </row>
    <row r="83" spans="1:14" ht="18" customHeight="1" thickBot="1">
      <c r="A83" s="114">
        <v>73</v>
      </c>
      <c r="B83" s="150">
        <v>22205</v>
      </c>
      <c r="C83" s="151" t="s">
        <v>179</v>
      </c>
      <c r="D83" s="171"/>
      <c r="E83" s="170"/>
      <c r="F83" s="170"/>
      <c r="G83" s="170"/>
      <c r="H83" s="171"/>
      <c r="I83" s="152"/>
      <c r="J83" s="152"/>
      <c r="K83" s="152"/>
      <c r="L83" s="152"/>
      <c r="M83" s="152"/>
      <c r="N83" s="32">
        <f t="shared" si="1"/>
        <v>0</v>
      </c>
    </row>
    <row r="84" spans="1:14" ht="18" customHeight="1" thickBot="1">
      <c r="A84" s="114">
        <v>74</v>
      </c>
      <c r="B84" s="150">
        <v>22206</v>
      </c>
      <c r="C84" s="151" t="s">
        <v>180</v>
      </c>
      <c r="D84" s="171"/>
      <c r="E84" s="170"/>
      <c r="F84" s="170"/>
      <c r="G84" s="170"/>
      <c r="H84" s="171"/>
      <c r="I84" s="152"/>
      <c r="J84" s="152"/>
      <c r="K84" s="152"/>
      <c r="L84" s="152"/>
      <c r="M84" s="152"/>
      <c r="N84" s="32">
        <f t="shared" si="1"/>
        <v>0</v>
      </c>
    </row>
    <row r="85" spans="1:14" ht="18" customHeight="1" thickBot="1">
      <c r="A85" s="114">
        <v>75</v>
      </c>
      <c r="B85" s="150">
        <v>22207</v>
      </c>
      <c r="C85" s="151" t="s">
        <v>181</v>
      </c>
      <c r="D85" s="171"/>
      <c r="E85" s="170"/>
      <c r="F85" s="170"/>
      <c r="G85" s="170"/>
      <c r="H85" s="171"/>
      <c r="I85" s="152"/>
      <c r="J85" s="152"/>
      <c r="K85" s="152"/>
      <c r="L85" s="152"/>
      <c r="M85" s="152"/>
      <c r="N85" s="32">
        <f t="shared" si="1"/>
        <v>0</v>
      </c>
    </row>
    <row r="86" spans="1:14" ht="18" customHeight="1" thickBot="1">
      <c r="A86" s="114">
        <v>76</v>
      </c>
      <c r="B86" s="150">
        <v>22208</v>
      </c>
      <c r="C86" s="151" t="s">
        <v>182</v>
      </c>
      <c r="D86" s="171"/>
      <c r="E86" s="170"/>
      <c r="F86" s="170"/>
      <c r="G86" s="170"/>
      <c r="H86" s="171"/>
      <c r="I86" s="152"/>
      <c r="J86" s="152"/>
      <c r="K86" s="152"/>
      <c r="L86" s="152"/>
      <c r="M86" s="152"/>
      <c r="N86" s="32">
        <f t="shared" si="1"/>
        <v>0</v>
      </c>
    </row>
    <row r="87" spans="1:14" ht="18" customHeight="1" thickBot="1">
      <c r="A87" s="114">
        <v>77</v>
      </c>
      <c r="B87" s="150">
        <v>22209</v>
      </c>
      <c r="C87" s="151" t="s">
        <v>183</v>
      </c>
      <c r="D87" s="171"/>
      <c r="E87" s="170"/>
      <c r="F87" s="170"/>
      <c r="G87" s="170"/>
      <c r="H87" s="171"/>
      <c r="I87" s="152"/>
      <c r="J87" s="152"/>
      <c r="K87" s="152"/>
      <c r="L87" s="152"/>
      <c r="M87" s="152"/>
      <c r="N87" s="32">
        <f t="shared" si="1"/>
        <v>0</v>
      </c>
    </row>
    <row r="88" spans="1:14" ht="18" customHeight="1" thickBot="1">
      <c r="A88" s="114">
        <v>78</v>
      </c>
      <c r="B88" s="150">
        <v>22210</v>
      </c>
      <c r="C88" s="151" t="s">
        <v>184</v>
      </c>
      <c r="D88" s="171"/>
      <c r="E88" s="170"/>
      <c r="F88" s="170"/>
      <c r="G88" s="170"/>
      <c r="H88" s="171"/>
      <c r="I88" s="152"/>
      <c r="J88" s="152"/>
      <c r="K88" s="152"/>
      <c r="L88" s="152"/>
      <c r="M88" s="152"/>
      <c r="N88" s="32">
        <f t="shared" si="1"/>
        <v>0</v>
      </c>
    </row>
    <row r="89" spans="1:14" ht="18" customHeight="1" thickBot="1">
      <c r="A89" s="114">
        <v>79</v>
      </c>
      <c r="B89" s="150">
        <v>22211</v>
      </c>
      <c r="C89" s="151" t="s">
        <v>185</v>
      </c>
      <c r="D89" s="171"/>
      <c r="E89" s="170"/>
      <c r="F89" s="170"/>
      <c r="G89" s="170"/>
      <c r="H89" s="171"/>
      <c r="I89" s="152"/>
      <c r="J89" s="152"/>
      <c r="K89" s="152"/>
      <c r="L89" s="152"/>
      <c r="M89" s="152"/>
      <c r="N89" s="32">
        <f t="shared" si="1"/>
        <v>0</v>
      </c>
    </row>
    <row r="90" spans="1:14" ht="18" customHeight="1" thickBot="1">
      <c r="A90" s="114">
        <v>80</v>
      </c>
      <c r="B90" s="150">
        <v>22212</v>
      </c>
      <c r="C90" s="151" t="s">
        <v>186</v>
      </c>
      <c r="D90" s="171"/>
      <c r="E90" s="170"/>
      <c r="F90" s="170"/>
      <c r="G90" s="170"/>
      <c r="H90" s="171"/>
      <c r="I90" s="152"/>
      <c r="J90" s="152"/>
      <c r="K90" s="152"/>
      <c r="L90" s="152"/>
      <c r="M90" s="152"/>
      <c r="N90" s="32">
        <f t="shared" si="1"/>
        <v>0</v>
      </c>
    </row>
    <row r="91" spans="1:14" ht="18" customHeight="1" thickBot="1">
      <c r="A91" s="114">
        <v>81</v>
      </c>
      <c r="B91" s="150">
        <v>22213</v>
      </c>
      <c r="C91" s="151" t="s">
        <v>187</v>
      </c>
      <c r="D91" s="171"/>
      <c r="E91" s="170"/>
      <c r="F91" s="170"/>
      <c r="G91" s="170"/>
      <c r="H91" s="171"/>
      <c r="I91" s="152"/>
      <c r="J91" s="152"/>
      <c r="K91" s="152"/>
      <c r="L91" s="152"/>
      <c r="M91" s="152"/>
      <c r="N91" s="32">
        <f t="shared" si="1"/>
        <v>0</v>
      </c>
    </row>
    <row r="92" spans="1:14" ht="18" customHeight="1" thickBot="1">
      <c r="A92" s="114">
        <v>82</v>
      </c>
      <c r="B92" s="150">
        <v>22214</v>
      </c>
      <c r="C92" s="151" t="s">
        <v>188</v>
      </c>
      <c r="D92" s="171"/>
      <c r="E92" s="170"/>
      <c r="F92" s="170"/>
      <c r="G92" s="170"/>
      <c r="H92" s="171"/>
      <c r="I92" s="152"/>
      <c r="J92" s="152"/>
      <c r="K92" s="152"/>
      <c r="L92" s="152"/>
      <c r="M92" s="152"/>
      <c r="N92" s="32">
        <f t="shared" si="1"/>
        <v>0</v>
      </c>
    </row>
    <row r="93" spans="1:14" ht="18" customHeight="1" thickBot="1">
      <c r="A93" s="114">
        <v>83</v>
      </c>
      <c r="B93" s="150">
        <v>22215</v>
      </c>
      <c r="C93" s="151" t="s">
        <v>189</v>
      </c>
      <c r="D93" s="171"/>
      <c r="E93" s="170"/>
      <c r="F93" s="170"/>
      <c r="G93" s="170"/>
      <c r="H93" s="171"/>
      <c r="I93" s="152"/>
      <c r="J93" s="152"/>
      <c r="K93" s="152"/>
      <c r="L93" s="152"/>
      <c r="M93" s="152"/>
      <c r="N93" s="32">
        <f t="shared" si="1"/>
        <v>0</v>
      </c>
    </row>
    <row r="94" spans="1:14" ht="18" customHeight="1" thickBot="1">
      <c r="A94" s="114">
        <v>84</v>
      </c>
      <c r="B94" s="150">
        <v>22216</v>
      </c>
      <c r="C94" s="151" t="s">
        <v>190</v>
      </c>
      <c r="D94" s="171"/>
      <c r="E94" s="170"/>
      <c r="F94" s="170"/>
      <c r="G94" s="170"/>
      <c r="H94" s="171"/>
      <c r="I94" s="152"/>
      <c r="J94" s="152"/>
      <c r="K94" s="152"/>
      <c r="L94" s="152"/>
      <c r="M94" s="152"/>
      <c r="N94" s="32">
        <f t="shared" si="1"/>
        <v>0</v>
      </c>
    </row>
    <row r="95" spans="1:14" ht="18" customHeight="1" thickBot="1">
      <c r="A95" s="114">
        <v>85</v>
      </c>
      <c r="B95" s="150">
        <v>22217</v>
      </c>
      <c r="C95" s="151" t="s">
        <v>191</v>
      </c>
      <c r="D95" s="171"/>
      <c r="E95" s="170"/>
      <c r="F95" s="170"/>
      <c r="G95" s="170"/>
      <c r="H95" s="171"/>
      <c r="I95" s="152"/>
      <c r="J95" s="152"/>
      <c r="K95" s="152"/>
      <c r="L95" s="152"/>
      <c r="M95" s="152"/>
      <c r="N95" s="32">
        <f t="shared" si="1"/>
        <v>0</v>
      </c>
    </row>
    <row r="96" spans="1:14" ht="18" customHeight="1" thickBot="1">
      <c r="A96" s="114">
        <v>86</v>
      </c>
      <c r="B96" s="150">
        <v>22218</v>
      </c>
      <c r="C96" s="151" t="s">
        <v>192</v>
      </c>
      <c r="D96" s="171"/>
      <c r="E96" s="170"/>
      <c r="F96" s="170"/>
      <c r="G96" s="170"/>
      <c r="H96" s="171"/>
      <c r="I96" s="152"/>
      <c r="J96" s="152"/>
      <c r="K96" s="152"/>
      <c r="L96" s="152"/>
      <c r="M96" s="152"/>
      <c r="N96" s="32">
        <f t="shared" si="1"/>
        <v>0</v>
      </c>
    </row>
    <row r="97" spans="1:14" ht="18" customHeight="1" thickBot="1">
      <c r="A97" s="114">
        <v>87</v>
      </c>
      <c r="B97" s="150">
        <v>22219</v>
      </c>
      <c r="C97" s="151" t="s">
        <v>193</v>
      </c>
      <c r="D97" s="171"/>
      <c r="E97" s="170"/>
      <c r="F97" s="170"/>
      <c r="G97" s="170"/>
      <c r="H97" s="171"/>
      <c r="I97" s="152"/>
      <c r="J97" s="152"/>
      <c r="K97" s="152"/>
      <c r="L97" s="152"/>
      <c r="M97" s="152"/>
      <c r="N97" s="32">
        <f t="shared" si="1"/>
        <v>0</v>
      </c>
    </row>
    <row r="98" spans="1:14" ht="18" customHeight="1" thickBot="1">
      <c r="A98" s="114">
        <v>88</v>
      </c>
      <c r="B98" s="150">
        <v>22220</v>
      </c>
      <c r="C98" s="151" t="s">
        <v>194</v>
      </c>
      <c r="D98" s="171"/>
      <c r="E98" s="170"/>
      <c r="F98" s="170"/>
      <c r="G98" s="170"/>
      <c r="H98" s="171"/>
      <c r="I98" s="152"/>
      <c r="J98" s="152"/>
      <c r="K98" s="152"/>
      <c r="L98" s="152"/>
      <c r="M98" s="152"/>
      <c r="N98" s="32">
        <f t="shared" si="1"/>
        <v>0</v>
      </c>
    </row>
    <row r="99" spans="1:14" ht="18" customHeight="1" thickBot="1">
      <c r="A99" s="114">
        <v>89</v>
      </c>
      <c r="B99" s="150">
        <v>22221</v>
      </c>
      <c r="C99" s="151" t="s">
        <v>195</v>
      </c>
      <c r="D99" s="171"/>
      <c r="E99" s="170"/>
      <c r="F99" s="170"/>
      <c r="G99" s="170"/>
      <c r="H99" s="171"/>
      <c r="I99" s="152"/>
      <c r="J99" s="152"/>
      <c r="K99" s="152"/>
      <c r="L99" s="152"/>
      <c r="M99" s="152"/>
      <c r="N99" s="32">
        <f t="shared" si="1"/>
        <v>0</v>
      </c>
    </row>
    <row r="100" spans="1:14" ht="18" customHeight="1" thickBot="1">
      <c r="A100" s="114">
        <v>90</v>
      </c>
      <c r="B100" s="150">
        <v>22222</v>
      </c>
      <c r="C100" s="151" t="s">
        <v>196</v>
      </c>
      <c r="D100" s="171"/>
      <c r="E100" s="170"/>
      <c r="F100" s="170"/>
      <c r="G100" s="170"/>
      <c r="H100" s="171"/>
      <c r="I100" s="152"/>
      <c r="J100" s="152"/>
      <c r="K100" s="152"/>
      <c r="L100" s="152"/>
      <c r="M100" s="152"/>
      <c r="N100" s="32">
        <f t="shared" si="1"/>
        <v>0</v>
      </c>
    </row>
    <row r="101" spans="1:14" ht="18" customHeight="1" thickBot="1">
      <c r="A101" s="114">
        <v>91</v>
      </c>
      <c r="B101" s="150">
        <v>22223</v>
      </c>
      <c r="C101" s="151" t="s">
        <v>197</v>
      </c>
      <c r="D101" s="171"/>
      <c r="E101" s="170"/>
      <c r="F101" s="170"/>
      <c r="G101" s="170"/>
      <c r="H101" s="171"/>
      <c r="I101" s="152"/>
      <c r="J101" s="152"/>
      <c r="K101" s="152"/>
      <c r="L101" s="152"/>
      <c r="M101" s="152"/>
      <c r="N101" s="32">
        <f t="shared" si="1"/>
        <v>0</v>
      </c>
    </row>
    <row r="102" spans="1:14" ht="18" customHeight="1" thickBot="1">
      <c r="A102" s="114">
        <v>92</v>
      </c>
      <c r="B102" s="150">
        <v>22224</v>
      </c>
      <c r="C102" s="151" t="s">
        <v>198</v>
      </c>
      <c r="D102" s="171"/>
      <c r="E102" s="170"/>
      <c r="F102" s="170"/>
      <c r="G102" s="170"/>
      <c r="H102" s="171"/>
      <c r="I102" s="152"/>
      <c r="J102" s="152"/>
      <c r="K102" s="152"/>
      <c r="L102" s="152"/>
      <c r="M102" s="152"/>
      <c r="N102" s="32">
        <f t="shared" si="1"/>
        <v>0</v>
      </c>
    </row>
    <row r="103" spans="1:14" ht="18" customHeight="1" thickBot="1">
      <c r="A103" s="114">
        <v>93</v>
      </c>
      <c r="B103" s="150">
        <v>22225</v>
      </c>
      <c r="C103" s="151" t="s">
        <v>199</v>
      </c>
      <c r="D103" s="171"/>
      <c r="E103" s="170"/>
      <c r="F103" s="170"/>
      <c r="G103" s="170"/>
      <c r="H103" s="171"/>
      <c r="I103" s="152"/>
      <c r="J103" s="152"/>
      <c r="K103" s="152"/>
      <c r="L103" s="152"/>
      <c r="M103" s="152"/>
      <c r="N103" s="32">
        <f t="shared" si="1"/>
        <v>0</v>
      </c>
    </row>
    <row r="104" spans="1:14" ht="18" customHeight="1" thickBot="1">
      <c r="A104" s="114">
        <v>94</v>
      </c>
      <c r="B104" s="150">
        <v>22226</v>
      </c>
      <c r="C104" s="151" t="s">
        <v>200</v>
      </c>
      <c r="D104" s="171"/>
      <c r="E104" s="170"/>
      <c r="F104" s="170"/>
      <c r="G104" s="170"/>
      <c r="H104" s="171"/>
      <c r="I104" s="152"/>
      <c r="J104" s="152"/>
      <c r="K104" s="152"/>
      <c r="L104" s="152"/>
      <c r="M104" s="152"/>
      <c r="N104" s="32">
        <f t="shared" si="1"/>
        <v>0</v>
      </c>
    </row>
    <row r="105" spans="1:14" ht="18" customHeight="1" thickBot="1">
      <c r="A105" s="114">
        <v>95</v>
      </c>
      <c r="B105" s="150">
        <v>22227</v>
      </c>
      <c r="C105" s="151" t="s">
        <v>201</v>
      </c>
      <c r="D105" s="171"/>
      <c r="E105" s="170"/>
      <c r="F105" s="170"/>
      <c r="G105" s="170"/>
      <c r="H105" s="171"/>
      <c r="I105" s="152"/>
      <c r="J105" s="152"/>
      <c r="K105" s="152"/>
      <c r="L105" s="152"/>
      <c r="M105" s="152"/>
      <c r="N105" s="32">
        <f t="shared" si="1"/>
        <v>0</v>
      </c>
    </row>
    <row r="106" spans="1:14" ht="18" customHeight="1" thickBot="1">
      <c r="A106" s="114">
        <v>96</v>
      </c>
      <c r="B106" s="150">
        <v>22228</v>
      </c>
      <c r="C106" s="151" t="s">
        <v>202</v>
      </c>
      <c r="D106" s="171"/>
      <c r="E106" s="170"/>
      <c r="F106" s="170"/>
      <c r="G106" s="170"/>
      <c r="H106" s="171"/>
      <c r="I106" s="152"/>
      <c r="J106" s="152"/>
      <c r="K106" s="152"/>
      <c r="L106" s="152"/>
      <c r="M106" s="152"/>
      <c r="N106" s="32">
        <f t="shared" si="1"/>
        <v>0</v>
      </c>
    </row>
    <row r="107" spans="1:14" ht="18" customHeight="1" thickBot="1">
      <c r="A107" s="114">
        <v>97</v>
      </c>
      <c r="B107" s="150">
        <v>22229</v>
      </c>
      <c r="C107" s="151" t="s">
        <v>203</v>
      </c>
      <c r="D107" s="171"/>
      <c r="E107" s="170"/>
      <c r="F107" s="170"/>
      <c r="G107" s="170"/>
      <c r="H107" s="171"/>
      <c r="I107" s="152"/>
      <c r="J107" s="152"/>
      <c r="K107" s="152"/>
      <c r="L107" s="152"/>
      <c r="M107" s="152"/>
      <c r="N107" s="32">
        <f t="shared" si="1"/>
        <v>0</v>
      </c>
    </row>
    <row r="108" spans="1:14" ht="18" customHeight="1" thickBot="1">
      <c r="A108" s="114">
        <v>98</v>
      </c>
      <c r="B108" s="150">
        <v>22230</v>
      </c>
      <c r="C108" s="151" t="s">
        <v>204</v>
      </c>
      <c r="D108" s="171"/>
      <c r="E108" s="170"/>
      <c r="F108" s="170"/>
      <c r="G108" s="170"/>
      <c r="H108" s="171"/>
      <c r="I108" s="152"/>
      <c r="J108" s="152"/>
      <c r="K108" s="152"/>
      <c r="L108" s="152"/>
      <c r="M108" s="152"/>
      <c r="N108" s="32">
        <f t="shared" si="1"/>
        <v>0</v>
      </c>
    </row>
    <row r="109" spans="1:14" ht="18" customHeight="1" thickBot="1">
      <c r="A109" s="114">
        <v>99</v>
      </c>
      <c r="B109" s="150">
        <v>22231</v>
      </c>
      <c r="C109" s="151" t="s">
        <v>205</v>
      </c>
      <c r="D109" s="171"/>
      <c r="E109" s="170"/>
      <c r="F109" s="170"/>
      <c r="G109" s="170"/>
      <c r="H109" s="171"/>
      <c r="I109" s="152"/>
      <c r="J109" s="152"/>
      <c r="K109" s="152"/>
      <c r="L109" s="152"/>
      <c r="M109" s="152"/>
      <c r="N109" s="32">
        <f t="shared" si="1"/>
        <v>0</v>
      </c>
    </row>
    <row r="110" spans="1:14" ht="18" customHeight="1" thickBot="1">
      <c r="A110" s="114">
        <v>100</v>
      </c>
      <c r="B110" s="150">
        <v>22232</v>
      </c>
      <c r="C110" s="151" t="s">
        <v>206</v>
      </c>
      <c r="D110" s="171"/>
      <c r="E110" s="170"/>
      <c r="F110" s="170"/>
      <c r="G110" s="170"/>
      <c r="H110" s="171"/>
      <c r="I110" s="152"/>
      <c r="J110" s="152"/>
      <c r="K110" s="152"/>
      <c r="L110" s="152"/>
      <c r="M110" s="152"/>
      <c r="N110" s="32">
        <f t="shared" si="1"/>
        <v>0</v>
      </c>
    </row>
    <row r="111" spans="1:14" ht="18" customHeight="1" thickBot="1">
      <c r="A111" s="114">
        <v>101</v>
      </c>
      <c r="B111" s="150">
        <v>22233</v>
      </c>
      <c r="C111" s="151" t="s">
        <v>207</v>
      </c>
      <c r="D111" s="171"/>
      <c r="E111" s="170"/>
      <c r="F111" s="170"/>
      <c r="G111" s="170"/>
      <c r="H111" s="171"/>
      <c r="I111" s="152"/>
      <c r="J111" s="152"/>
      <c r="K111" s="152"/>
      <c r="L111" s="152"/>
      <c r="M111" s="152"/>
      <c r="N111" s="32">
        <f t="shared" si="1"/>
        <v>0</v>
      </c>
    </row>
    <row r="112" spans="1:14" ht="18" customHeight="1" thickBot="1">
      <c r="A112" s="114">
        <v>102</v>
      </c>
      <c r="B112" s="150">
        <v>22234</v>
      </c>
      <c r="C112" s="151" t="s">
        <v>208</v>
      </c>
      <c r="D112" s="171"/>
      <c r="E112" s="170"/>
      <c r="F112" s="170"/>
      <c r="G112" s="170"/>
      <c r="H112" s="171"/>
      <c r="I112" s="152"/>
      <c r="J112" s="152"/>
      <c r="K112" s="152"/>
      <c r="L112" s="152"/>
      <c r="M112" s="152"/>
      <c r="N112" s="32">
        <f t="shared" si="1"/>
        <v>0</v>
      </c>
    </row>
    <row r="113" spans="1:19" ht="18" customHeight="1" thickBot="1">
      <c r="A113" s="114">
        <v>103</v>
      </c>
      <c r="B113" s="150">
        <v>22235</v>
      </c>
      <c r="C113" s="151" t="s">
        <v>209</v>
      </c>
      <c r="D113" s="171"/>
      <c r="E113" s="170"/>
      <c r="F113" s="170"/>
      <c r="G113" s="170"/>
      <c r="H113" s="171"/>
      <c r="I113" s="152"/>
      <c r="J113" s="152"/>
      <c r="K113" s="152"/>
      <c r="L113" s="152"/>
      <c r="M113" s="152"/>
      <c r="N113" s="32">
        <f t="shared" si="1"/>
        <v>0</v>
      </c>
    </row>
    <row r="114" spans="1:19" ht="18" customHeight="1" thickBot="1">
      <c r="A114" s="114">
        <v>104</v>
      </c>
      <c r="B114" s="150">
        <v>22236</v>
      </c>
      <c r="C114" s="151" t="s">
        <v>210</v>
      </c>
      <c r="D114" s="171"/>
      <c r="E114" s="170"/>
      <c r="F114" s="170"/>
      <c r="G114" s="170"/>
      <c r="H114" s="171"/>
      <c r="I114" s="152"/>
      <c r="J114" s="152"/>
      <c r="K114" s="152"/>
      <c r="L114" s="152"/>
      <c r="M114" s="152"/>
      <c r="N114" s="32">
        <f t="shared" si="1"/>
        <v>0</v>
      </c>
    </row>
    <row r="115" spans="1:19" ht="18" customHeight="1" thickBot="1">
      <c r="A115" s="114">
        <v>105</v>
      </c>
      <c r="B115" s="150">
        <v>22237</v>
      </c>
      <c r="C115" s="151" t="s">
        <v>211</v>
      </c>
      <c r="D115" s="171"/>
      <c r="E115" s="170"/>
      <c r="F115" s="170"/>
      <c r="G115" s="170"/>
      <c r="H115" s="171"/>
      <c r="I115" s="152"/>
      <c r="J115" s="152"/>
      <c r="K115" s="152"/>
      <c r="L115" s="152"/>
      <c r="M115" s="152"/>
      <c r="N115" s="32">
        <f t="shared" si="1"/>
        <v>0</v>
      </c>
    </row>
    <row r="116" spans="1:19" ht="18" customHeight="1" thickBot="1">
      <c r="A116" s="114">
        <v>106</v>
      </c>
      <c r="B116" s="150">
        <v>22238</v>
      </c>
      <c r="C116" s="151" t="s">
        <v>212</v>
      </c>
      <c r="D116" s="171"/>
      <c r="E116" s="170"/>
      <c r="F116" s="170"/>
      <c r="G116" s="170"/>
      <c r="H116" s="171"/>
      <c r="I116" s="152"/>
      <c r="J116" s="152"/>
      <c r="K116" s="152"/>
      <c r="L116" s="152"/>
      <c r="M116" s="152"/>
      <c r="N116" s="32">
        <f t="shared" si="1"/>
        <v>0</v>
      </c>
    </row>
    <row r="117" spans="1:19" ht="18" customHeight="1" thickBot="1">
      <c r="A117" s="114">
        <v>107</v>
      </c>
      <c r="B117" s="150">
        <v>22239</v>
      </c>
      <c r="C117" s="151" t="s">
        <v>213</v>
      </c>
      <c r="D117" s="171"/>
      <c r="E117" s="170"/>
      <c r="F117" s="170"/>
      <c r="G117" s="170"/>
      <c r="H117" s="171"/>
      <c r="I117" s="152"/>
      <c r="J117" s="152"/>
      <c r="K117" s="152"/>
      <c r="L117" s="152"/>
      <c r="M117" s="152"/>
      <c r="N117" s="32">
        <f t="shared" si="1"/>
        <v>0</v>
      </c>
    </row>
    <row r="118" spans="1:19" ht="18" customHeight="1">
      <c r="A118" s="114">
        <v>108</v>
      </c>
      <c r="B118" s="150">
        <v>22240</v>
      </c>
      <c r="C118" s="151" t="s">
        <v>214</v>
      </c>
      <c r="D118" s="173"/>
      <c r="E118" s="172"/>
      <c r="F118" s="172"/>
      <c r="G118" s="172"/>
      <c r="H118" s="173"/>
      <c r="I118" s="152"/>
      <c r="J118" s="152"/>
      <c r="K118" s="152"/>
      <c r="L118" s="152"/>
      <c r="M118" s="152"/>
      <c r="N118" s="32">
        <f t="shared" si="1"/>
        <v>0</v>
      </c>
    </row>
    <row r="119" spans="1:19" ht="15.75" customHeight="1">
      <c r="A119" s="4" t="s">
        <v>13</v>
      </c>
      <c r="C119" s="50">
        <f>COUNT(A11:A118)</f>
        <v>108</v>
      </c>
      <c r="G119" s="52"/>
      <c r="H119" s="52"/>
      <c r="L119" s="52"/>
      <c r="M119" s="52"/>
      <c r="O119"/>
      <c r="P119"/>
      <c r="Q119"/>
      <c r="R119"/>
      <c r="S119" s="78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78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0"/>
      <c r="P122"/>
      <c r="Q122" s="80"/>
      <c r="S122"/>
    </row>
    <row r="123" spans="1:19" ht="15.75" customHeight="1">
      <c r="A123"/>
      <c r="C123" t="str">
        <f>Faculty</f>
        <v>Narsareaddy Chude</v>
      </c>
      <c r="D123"/>
      <c r="E123"/>
      <c r="F123"/>
      <c r="G123"/>
      <c r="H123"/>
      <c r="I123"/>
      <c r="J123"/>
      <c r="K123"/>
      <c r="L123"/>
      <c r="M123"/>
      <c r="N123"/>
      <c r="O123" s="80"/>
      <c r="P123"/>
      <c r="Q123" s="80"/>
    </row>
    <row r="124" spans="1:19" ht="15.75" customHeight="1">
      <c r="A124"/>
      <c r="C124" s="80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4" customFormat="1">
      <c r="A126" s="249" t="str">
        <f>SubjectDetails!A24</f>
        <v>Dr. Ravi Chourasiya</v>
      </c>
      <c r="B126" s="249"/>
      <c r="C126" s="81"/>
      <c r="D126" s="217" t="str">
        <f>SubjectDetails!E24</f>
        <v>Dr. Ashwini Chavan</v>
      </c>
      <c r="E126" s="217"/>
      <c r="F126" s="217"/>
      <c r="G126" s="51"/>
      <c r="H126" s="298" t="str">
        <f>SubjectDetails!H24</f>
        <v>Dr. Priyanka Singh</v>
      </c>
      <c r="I126" s="298"/>
      <c r="J126" s="298"/>
      <c r="K126" s="298"/>
      <c r="L126" s="298"/>
      <c r="M126" s="298"/>
      <c r="N126" s="298"/>
      <c r="O126" s="80"/>
      <c r="P126"/>
      <c r="Q126" s="80"/>
      <c r="R126" s="47"/>
      <c r="S126"/>
    </row>
    <row r="127" spans="1:19" s="34" customFormat="1">
      <c r="A127" s="254" t="str">
        <f>SubjectDetails!A25</f>
        <v>(College Examination Officer)</v>
      </c>
      <c r="B127" s="254"/>
      <c r="C127" s="81"/>
      <c r="D127" s="217" t="str">
        <f>SubjectDetails!E25</f>
        <v>HOD (MCA)</v>
      </c>
      <c r="E127" s="217"/>
      <c r="F127" s="217"/>
      <c r="G127" s="51"/>
      <c r="H127" s="298" t="str">
        <f>SubjectDetails!H25</f>
        <v>Director</v>
      </c>
      <c r="I127" s="298"/>
      <c r="J127" s="298"/>
      <c r="K127" s="298"/>
      <c r="L127" s="298"/>
      <c r="M127" s="298"/>
      <c r="N127" s="298"/>
      <c r="O127" s="80"/>
      <c r="P127"/>
      <c r="Q127" s="80"/>
      <c r="R127" s="47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217"/>
      <c r="B130" s="217"/>
      <c r="C130" s="217"/>
      <c r="D130"/>
      <c r="E130" s="249"/>
      <c r="F130" s="249"/>
      <c r="G130"/>
      <c r="H130"/>
      <c r="I130"/>
      <c r="J130" s="249"/>
      <c r="K130" s="249"/>
      <c r="L130"/>
      <c r="M130"/>
      <c r="N130" s="97"/>
    </row>
    <row r="131" spans="1:14" ht="15.75" customHeight="1">
      <c r="A131" s="217"/>
      <c r="B131" s="217"/>
      <c r="C131" s="217"/>
      <c r="D131"/>
      <c r="E131" s="249"/>
      <c r="F131" s="249"/>
      <c r="G131"/>
      <c r="H131"/>
      <c r="I131"/>
      <c r="J131" s="249"/>
      <c r="K131" s="249"/>
      <c r="L131"/>
      <c r="M131"/>
      <c r="N131" s="97"/>
    </row>
  </sheetData>
  <sortState ref="A12:J202">
    <sortCondition ref="B12:B202"/>
  </sortState>
  <mergeCells count="25"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workbookViewId="0">
      <selection activeCell="H8" sqref="H8"/>
    </sheetView>
  </sheetViews>
  <sheetFormatPr defaultColWidth="8.85546875" defaultRowHeight="12.75"/>
  <cols>
    <col min="1" max="1" width="11.28515625" style="39" customWidth="1"/>
    <col min="2" max="2" width="15.140625" style="41" customWidth="1"/>
    <col min="3" max="3" width="41.42578125" style="39" bestFit="1" customWidth="1"/>
    <col min="4" max="4" width="18.5703125" style="39" customWidth="1"/>
    <col min="5" max="5" width="15.7109375" style="39" customWidth="1"/>
    <col min="6" max="6" width="17.85546875" style="39" customWidth="1"/>
    <col min="7" max="7" width="19" style="39" customWidth="1"/>
    <col min="8" max="8" width="18.5703125" style="39" customWidth="1"/>
    <col min="9" max="16384" width="8.85546875" style="39"/>
  </cols>
  <sheetData>
    <row r="1" spans="1:15" s="7" customFormat="1" ht="21" customHeight="1">
      <c r="A1" s="220" t="s">
        <v>71</v>
      </c>
      <c r="B1" s="220"/>
      <c r="C1" s="220"/>
      <c r="D1" s="220"/>
      <c r="E1" s="220"/>
      <c r="F1" s="220"/>
      <c r="G1" s="220"/>
      <c r="H1" s="220"/>
      <c r="I1" s="93"/>
      <c r="J1" s="93"/>
      <c r="K1" s="93"/>
      <c r="L1" s="93"/>
      <c r="M1" s="93"/>
      <c r="N1" s="93"/>
      <c r="O1" s="120"/>
    </row>
    <row r="2" spans="1:15" s="7" customFormat="1" ht="25.15" customHeight="1">
      <c r="A2" s="221" t="s">
        <v>72</v>
      </c>
      <c r="B2" s="221"/>
      <c r="C2" s="221"/>
      <c r="D2" s="221"/>
      <c r="E2" s="221"/>
      <c r="F2" s="221"/>
      <c r="G2" s="221"/>
      <c r="H2" s="221"/>
      <c r="I2" s="94"/>
      <c r="J2" s="94"/>
      <c r="K2" s="94"/>
      <c r="L2" s="94"/>
      <c r="M2" s="94"/>
      <c r="N2" s="94"/>
      <c r="O2" s="120"/>
    </row>
    <row r="3" spans="1:15" s="7" customFormat="1" ht="21.6" customHeight="1">
      <c r="A3" s="222" t="s">
        <v>73</v>
      </c>
      <c r="B3" s="222"/>
      <c r="C3" s="222"/>
      <c r="D3" s="222"/>
      <c r="E3" s="222"/>
      <c r="F3" s="222"/>
      <c r="G3" s="222"/>
      <c r="H3" s="222"/>
      <c r="I3" s="95"/>
      <c r="J3" s="95"/>
      <c r="K3" s="95"/>
      <c r="L3" s="95"/>
      <c r="M3" s="95"/>
      <c r="N3" s="95"/>
      <c r="O3" s="120"/>
    </row>
    <row r="4" spans="1:15" s="7" customFormat="1" ht="19.899999999999999" customHeight="1">
      <c r="A4" s="222" t="s">
        <v>9</v>
      </c>
      <c r="B4" s="222"/>
      <c r="C4" s="222"/>
      <c r="D4" s="222"/>
      <c r="E4" s="222"/>
      <c r="F4" s="222"/>
      <c r="G4" s="222"/>
      <c r="H4" s="222"/>
      <c r="I4" s="95"/>
      <c r="J4" s="95"/>
      <c r="K4" s="95"/>
      <c r="L4" s="95"/>
      <c r="M4" s="95"/>
      <c r="N4" s="95"/>
      <c r="O4" s="120"/>
    </row>
    <row r="5" spans="1:15" s="7" customFormat="1" ht="20.25">
      <c r="A5" s="303" t="s">
        <v>5</v>
      </c>
      <c r="B5" s="303"/>
      <c r="C5" s="303"/>
      <c r="D5" s="303"/>
      <c r="E5" s="303"/>
      <c r="F5" s="303"/>
      <c r="G5" s="303"/>
      <c r="H5" s="304"/>
      <c r="I5" s="120"/>
      <c r="J5" s="120"/>
      <c r="K5" s="120"/>
      <c r="L5" s="120"/>
      <c r="M5" s="120"/>
      <c r="N5" s="120"/>
      <c r="O5" s="120"/>
    </row>
    <row r="6" spans="1:15" s="7" customFormat="1" ht="43.15" customHeight="1">
      <c r="A6" s="302" t="str">
        <f>CONCATENATE(Class," ", spl)</f>
        <v xml:space="preserve">MCA I SEM I AY 2023-24 </v>
      </c>
      <c r="B6" s="302"/>
      <c r="C6" s="113" t="str">
        <f>CONCATENATE("Name of Faculty: ", Faculty)</f>
        <v>Name of Faculty: Narsareaddy Chude</v>
      </c>
      <c r="D6" s="293" t="str">
        <f>CONCATENATE("Course Name: ", Sub_Code)</f>
        <v>Course Name: Mini Project</v>
      </c>
      <c r="E6" s="296"/>
      <c r="F6" s="296"/>
      <c r="G6" s="296"/>
      <c r="H6" s="294"/>
    </row>
    <row r="7" spans="1:15" s="37" customFormat="1" ht="25.5">
      <c r="A7" s="121" t="s">
        <v>0</v>
      </c>
      <c r="B7" s="122" t="s">
        <v>6</v>
      </c>
      <c r="C7" s="122" t="s">
        <v>7</v>
      </c>
      <c r="D7" s="123" t="s">
        <v>221</v>
      </c>
      <c r="E7" s="123" t="s">
        <v>222</v>
      </c>
      <c r="F7" s="123" t="s">
        <v>94</v>
      </c>
      <c r="G7" s="123" t="s">
        <v>223</v>
      </c>
      <c r="H7" s="124" t="s">
        <v>95</v>
      </c>
    </row>
    <row r="8" spans="1:15" s="37" customFormat="1" ht="15.75">
      <c r="A8" s="156">
        <v>1</v>
      </c>
      <c r="B8" s="150">
        <v>22101</v>
      </c>
      <c r="C8" s="151" t="s">
        <v>107</v>
      </c>
      <c r="D8" s="153">
        <f>'CCE1'!J11</f>
        <v>47</v>
      </c>
      <c r="E8" s="153">
        <f>'CCE2'!L11</f>
        <v>22</v>
      </c>
      <c r="F8" s="153">
        <f>'CCE3'!N11</f>
        <v>0</v>
      </c>
      <c r="G8" s="154">
        <f>SUM(Table3[[#This Row],[CCE'#1  (50)]:[CCE'#3 (50)]])</f>
        <v>69</v>
      </c>
      <c r="H8" s="155">
        <f>Table3[[#This Row],[Total (75)]]/('CCE1'!$J$9+'CCE2'!$L$9+'CCE3'!$N$9)*25</f>
        <v>23</v>
      </c>
    </row>
    <row r="9" spans="1:15" s="37" customFormat="1" ht="15.75">
      <c r="A9" s="156">
        <v>2</v>
      </c>
      <c r="B9" s="150">
        <v>22102</v>
      </c>
      <c r="C9" s="151" t="s">
        <v>108</v>
      </c>
      <c r="D9" s="153">
        <f>'CCE1'!J12</f>
        <v>47</v>
      </c>
      <c r="E9" s="153">
        <f>'CCE2'!L12</f>
        <v>23</v>
      </c>
      <c r="F9" s="153">
        <f>'CCE3'!N12</f>
        <v>0</v>
      </c>
      <c r="G9" s="154">
        <f>SUM(Table3[[#This Row],[CCE'#1  (50)]:[CCE'#3 (50)]])</f>
        <v>70</v>
      </c>
      <c r="H9" s="155">
        <f>Table3[[#This Row],[Total (75)]]/('CCE1'!$J$9+'CCE2'!$L$9+'CCE3'!$N$9)*25</f>
        <v>23.333333333333332</v>
      </c>
    </row>
    <row r="10" spans="1:15" s="37" customFormat="1" ht="15.75">
      <c r="A10" s="156">
        <v>3</v>
      </c>
      <c r="B10" s="150">
        <v>22103</v>
      </c>
      <c r="C10" s="151" t="s">
        <v>109</v>
      </c>
      <c r="D10" s="153">
        <f>'CCE1'!J13</f>
        <v>46</v>
      </c>
      <c r="E10" s="153">
        <f>'CCE2'!L13</f>
        <v>23</v>
      </c>
      <c r="F10" s="153">
        <f>'CCE3'!N13</f>
        <v>0</v>
      </c>
      <c r="G10" s="154">
        <f>SUM(Table3[[#This Row],[CCE'#1  (50)]:[CCE'#3 (50)]])</f>
        <v>69</v>
      </c>
      <c r="H10" s="155">
        <f>Table3[[#This Row],[Total (75)]]/('CCE1'!$J$9+'CCE2'!$L$9+'CCE3'!$N$9)*25</f>
        <v>23</v>
      </c>
    </row>
    <row r="11" spans="1:15" s="37" customFormat="1" ht="15.75">
      <c r="A11" s="156">
        <v>4</v>
      </c>
      <c r="B11" s="150">
        <v>22104</v>
      </c>
      <c r="C11" s="151" t="s">
        <v>110</v>
      </c>
      <c r="D11" s="153">
        <f>'CCE1'!J14</f>
        <v>49</v>
      </c>
      <c r="E11" s="153">
        <f>'CCE2'!L14</f>
        <v>21</v>
      </c>
      <c r="F11" s="153">
        <f>'CCE3'!N14</f>
        <v>0</v>
      </c>
      <c r="G11" s="154">
        <f>SUM(Table3[[#This Row],[CCE'#1  (50)]:[CCE'#3 (50)]])</f>
        <v>70</v>
      </c>
      <c r="H11" s="155">
        <f>Table3[[#This Row],[Total (75)]]/('CCE1'!$J$9+'CCE2'!$L$9+'CCE3'!$N$9)*25</f>
        <v>23.333333333333332</v>
      </c>
    </row>
    <row r="12" spans="1:15" s="37" customFormat="1" ht="15.75">
      <c r="A12" s="156">
        <v>5</v>
      </c>
      <c r="B12" s="150">
        <v>22105</v>
      </c>
      <c r="C12" s="151" t="s">
        <v>111</v>
      </c>
      <c r="D12" s="153">
        <f>'CCE1'!J15</f>
        <v>44</v>
      </c>
      <c r="E12" s="153">
        <f>'CCE2'!L15</f>
        <v>21</v>
      </c>
      <c r="F12" s="153">
        <f>'CCE3'!N15</f>
        <v>0</v>
      </c>
      <c r="G12" s="154">
        <f>SUM(Table3[[#This Row],[CCE'#1  (50)]:[CCE'#3 (50)]])</f>
        <v>65</v>
      </c>
      <c r="H12" s="155">
        <f>Table3[[#This Row],[Total (75)]]/('CCE1'!$J$9+'CCE2'!$L$9+'CCE3'!$N$9)*25</f>
        <v>21.666666666666668</v>
      </c>
    </row>
    <row r="13" spans="1:15" s="37" customFormat="1" ht="15.75">
      <c r="A13" s="156">
        <v>6</v>
      </c>
      <c r="B13" s="150">
        <v>22106</v>
      </c>
      <c r="C13" s="151" t="s">
        <v>112</v>
      </c>
      <c r="D13" s="153">
        <f>'CCE1'!J16</f>
        <v>49</v>
      </c>
      <c r="E13" s="153">
        <f>'CCE2'!L16</f>
        <v>20</v>
      </c>
      <c r="F13" s="153">
        <f>'CCE3'!N16</f>
        <v>0</v>
      </c>
      <c r="G13" s="154">
        <f>SUM(Table3[[#This Row],[CCE'#1  (50)]:[CCE'#3 (50)]])</f>
        <v>69</v>
      </c>
      <c r="H13" s="155">
        <f>Table3[[#This Row],[Total (75)]]/('CCE1'!$J$9+'CCE2'!$L$9+'CCE3'!$N$9)*25</f>
        <v>23</v>
      </c>
    </row>
    <row r="14" spans="1:15" s="37" customFormat="1" ht="15.75">
      <c r="A14" s="156">
        <v>7</v>
      </c>
      <c r="B14" s="150">
        <v>22107</v>
      </c>
      <c r="C14" s="151" t="s">
        <v>113</v>
      </c>
      <c r="D14" s="153">
        <f>'CCE1'!J17</f>
        <v>50</v>
      </c>
      <c r="E14" s="153">
        <f>'CCE2'!L17</f>
        <v>23</v>
      </c>
      <c r="F14" s="153">
        <f>'CCE3'!N17</f>
        <v>0</v>
      </c>
      <c r="G14" s="154">
        <f>SUM(Table3[[#This Row],[CCE'#1  (50)]:[CCE'#3 (50)]])</f>
        <v>73</v>
      </c>
      <c r="H14" s="155">
        <f>Table3[[#This Row],[Total (75)]]/('CCE1'!$J$9+'CCE2'!$L$9+'CCE3'!$N$9)*25</f>
        <v>24.333333333333336</v>
      </c>
    </row>
    <row r="15" spans="1:15" s="37" customFormat="1" ht="15.75">
      <c r="A15" s="156">
        <v>8</v>
      </c>
      <c r="B15" s="150">
        <v>22108</v>
      </c>
      <c r="C15" s="151" t="s">
        <v>114</v>
      </c>
      <c r="D15" s="153">
        <f>'CCE1'!J18</f>
        <v>48</v>
      </c>
      <c r="E15" s="153">
        <f>'CCE2'!L18</f>
        <v>19</v>
      </c>
      <c r="F15" s="153">
        <f>'CCE3'!N18</f>
        <v>0</v>
      </c>
      <c r="G15" s="154">
        <f>SUM(Table3[[#This Row],[CCE'#1  (50)]:[CCE'#3 (50)]])</f>
        <v>67</v>
      </c>
      <c r="H15" s="155">
        <f>Table3[[#This Row],[Total (75)]]/('CCE1'!$J$9+'CCE2'!$L$9+'CCE3'!$N$9)*25</f>
        <v>22.333333333333332</v>
      </c>
    </row>
    <row r="16" spans="1:15" s="37" customFormat="1" ht="15.75">
      <c r="A16" s="156">
        <v>9</v>
      </c>
      <c r="B16" s="150">
        <v>22109</v>
      </c>
      <c r="C16" s="151" t="s">
        <v>115</v>
      </c>
      <c r="D16" s="153">
        <f>'CCE1'!J19</f>
        <v>49</v>
      </c>
      <c r="E16" s="153">
        <f>'CCE2'!L19</f>
        <v>21</v>
      </c>
      <c r="F16" s="153">
        <f>'CCE3'!N19</f>
        <v>0</v>
      </c>
      <c r="G16" s="154">
        <f>SUM(Table3[[#This Row],[CCE'#1  (50)]:[CCE'#3 (50)]])</f>
        <v>70</v>
      </c>
      <c r="H16" s="155">
        <f>Table3[[#This Row],[Total (75)]]/('CCE1'!$J$9+'CCE2'!$L$9+'CCE3'!$N$9)*25</f>
        <v>23.333333333333332</v>
      </c>
    </row>
    <row r="17" spans="1:8" s="37" customFormat="1" ht="15.75">
      <c r="A17" s="156">
        <v>10</v>
      </c>
      <c r="B17" s="150">
        <v>22110</v>
      </c>
      <c r="C17" s="151" t="s">
        <v>116</v>
      </c>
      <c r="D17" s="153">
        <f>'CCE1'!J20</f>
        <v>47</v>
      </c>
      <c r="E17" s="153">
        <f>'CCE2'!L20</f>
        <v>22</v>
      </c>
      <c r="F17" s="153">
        <f>'CCE3'!N20</f>
        <v>0</v>
      </c>
      <c r="G17" s="154">
        <f>SUM(Table3[[#This Row],[CCE'#1  (50)]:[CCE'#3 (50)]])</f>
        <v>69</v>
      </c>
      <c r="H17" s="155">
        <f>Table3[[#This Row],[Total (75)]]/('CCE1'!$J$9+'CCE2'!$L$9+'CCE3'!$N$9)*25</f>
        <v>23</v>
      </c>
    </row>
    <row r="18" spans="1:8" s="37" customFormat="1" ht="15.75">
      <c r="A18" s="156">
        <v>11</v>
      </c>
      <c r="B18" s="150">
        <v>22111</v>
      </c>
      <c r="C18" s="151" t="s">
        <v>117</v>
      </c>
      <c r="D18" s="153">
        <f>'CCE1'!J21</f>
        <v>47</v>
      </c>
      <c r="E18" s="153">
        <f>'CCE2'!L21</f>
        <v>17</v>
      </c>
      <c r="F18" s="153">
        <f>'CCE3'!N21</f>
        <v>0</v>
      </c>
      <c r="G18" s="154">
        <f>SUM(Table3[[#This Row],[CCE'#1  (50)]:[CCE'#3 (50)]])</f>
        <v>64</v>
      </c>
      <c r="H18" s="155">
        <f>Table3[[#This Row],[Total (75)]]/('CCE1'!$J$9+'CCE2'!$L$9+'CCE3'!$N$9)*25</f>
        <v>21.333333333333336</v>
      </c>
    </row>
    <row r="19" spans="1:8" s="37" customFormat="1" ht="15.75">
      <c r="A19" s="156">
        <v>12</v>
      </c>
      <c r="B19" s="150">
        <v>22112</v>
      </c>
      <c r="C19" s="151" t="s">
        <v>118</v>
      </c>
      <c r="D19" s="153">
        <f>'CCE1'!J22</f>
        <v>47</v>
      </c>
      <c r="E19" s="153">
        <f>'CCE2'!L22</f>
        <v>18</v>
      </c>
      <c r="F19" s="153">
        <f>'CCE3'!N22</f>
        <v>0</v>
      </c>
      <c r="G19" s="154">
        <f>SUM(Table3[[#This Row],[CCE'#1  (50)]:[CCE'#3 (50)]])</f>
        <v>65</v>
      </c>
      <c r="H19" s="155">
        <f>Table3[[#This Row],[Total (75)]]/('CCE1'!$J$9+'CCE2'!$L$9+'CCE3'!$N$9)*25</f>
        <v>21.666666666666668</v>
      </c>
    </row>
    <row r="20" spans="1:8" s="37" customFormat="1" ht="15.75">
      <c r="A20" s="156">
        <v>13</v>
      </c>
      <c r="B20" s="150">
        <v>22113</v>
      </c>
      <c r="C20" s="151" t="s">
        <v>119</v>
      </c>
      <c r="D20" s="153">
        <f>'CCE1'!J23</f>
        <v>47</v>
      </c>
      <c r="E20" s="153">
        <f>'CCE2'!L23</f>
        <v>22</v>
      </c>
      <c r="F20" s="153">
        <f>'CCE3'!N23</f>
        <v>0</v>
      </c>
      <c r="G20" s="154">
        <f>SUM(Table3[[#This Row],[CCE'#1  (50)]:[CCE'#3 (50)]])</f>
        <v>69</v>
      </c>
      <c r="H20" s="155">
        <f>Table3[[#This Row],[Total (75)]]/('CCE1'!$J$9+'CCE2'!$L$9+'CCE3'!$N$9)*25</f>
        <v>23</v>
      </c>
    </row>
    <row r="21" spans="1:8" s="37" customFormat="1" ht="15.75">
      <c r="A21" s="156">
        <v>14</v>
      </c>
      <c r="B21" s="150">
        <v>22114</v>
      </c>
      <c r="C21" s="151" t="s">
        <v>120</v>
      </c>
      <c r="D21" s="153">
        <f>'CCE1'!J24</f>
        <v>49</v>
      </c>
      <c r="E21" s="153">
        <f>'CCE2'!L24</f>
        <v>19</v>
      </c>
      <c r="F21" s="153">
        <f>'CCE3'!N24</f>
        <v>0</v>
      </c>
      <c r="G21" s="154">
        <f>SUM(Table3[[#This Row],[CCE'#1  (50)]:[CCE'#3 (50)]])</f>
        <v>68</v>
      </c>
      <c r="H21" s="155">
        <f>Table3[[#This Row],[Total (75)]]/('CCE1'!$J$9+'CCE2'!$L$9+'CCE3'!$N$9)*25</f>
        <v>22.666666666666664</v>
      </c>
    </row>
    <row r="22" spans="1:8" s="37" customFormat="1" ht="15.75">
      <c r="A22" s="156">
        <v>15</v>
      </c>
      <c r="B22" s="150">
        <v>22115</v>
      </c>
      <c r="C22" s="151" t="s">
        <v>121</v>
      </c>
      <c r="D22" s="153">
        <f>'CCE1'!J25</f>
        <v>50</v>
      </c>
      <c r="E22" s="153">
        <f>'CCE2'!L25</f>
        <v>20</v>
      </c>
      <c r="F22" s="153">
        <f>'CCE3'!N25</f>
        <v>0</v>
      </c>
      <c r="G22" s="154">
        <f>SUM(Table3[[#This Row],[CCE'#1  (50)]:[CCE'#3 (50)]])</f>
        <v>70</v>
      </c>
      <c r="H22" s="155">
        <f>Table3[[#This Row],[Total (75)]]/('CCE1'!$J$9+'CCE2'!$L$9+'CCE3'!$N$9)*25</f>
        <v>23.333333333333332</v>
      </c>
    </row>
    <row r="23" spans="1:8" s="37" customFormat="1" ht="15.75">
      <c r="A23" s="156">
        <v>16</v>
      </c>
      <c r="B23" s="150">
        <v>22116</v>
      </c>
      <c r="C23" s="151" t="s">
        <v>122</v>
      </c>
      <c r="D23" s="153">
        <f>'CCE1'!J26</f>
        <v>49</v>
      </c>
      <c r="E23" s="153">
        <f>'CCE2'!L26</f>
        <v>21</v>
      </c>
      <c r="F23" s="153">
        <f>'CCE3'!N26</f>
        <v>0</v>
      </c>
      <c r="G23" s="154">
        <f>SUM(Table3[[#This Row],[CCE'#1  (50)]:[CCE'#3 (50)]])</f>
        <v>70</v>
      </c>
      <c r="H23" s="155">
        <f>Table3[[#This Row],[Total (75)]]/('CCE1'!$J$9+'CCE2'!$L$9+'CCE3'!$N$9)*25</f>
        <v>23.333333333333332</v>
      </c>
    </row>
    <row r="24" spans="1:8" s="37" customFormat="1" ht="15.75">
      <c r="A24" s="156">
        <v>17</v>
      </c>
      <c r="B24" s="150">
        <v>22117</v>
      </c>
      <c r="C24" s="151" t="s">
        <v>123</v>
      </c>
      <c r="D24" s="153">
        <f>'CCE1'!J27</f>
        <v>45</v>
      </c>
      <c r="E24" s="153">
        <f>'CCE2'!L27</f>
        <v>19</v>
      </c>
      <c r="F24" s="153">
        <f>'CCE3'!N27</f>
        <v>0</v>
      </c>
      <c r="G24" s="154">
        <f>SUM(Table3[[#This Row],[CCE'#1  (50)]:[CCE'#3 (50)]])</f>
        <v>64</v>
      </c>
      <c r="H24" s="155">
        <f>Table3[[#This Row],[Total (75)]]/('CCE1'!$J$9+'CCE2'!$L$9+'CCE3'!$N$9)*25</f>
        <v>21.333333333333336</v>
      </c>
    </row>
    <row r="25" spans="1:8" s="37" customFormat="1" ht="15.75">
      <c r="A25" s="156">
        <v>18</v>
      </c>
      <c r="B25" s="150">
        <v>22118</v>
      </c>
      <c r="C25" s="151" t="s">
        <v>124</v>
      </c>
      <c r="D25" s="153">
        <f>'CCE1'!J28</f>
        <v>52</v>
      </c>
      <c r="E25" s="153">
        <f>'CCE2'!L28</f>
        <v>20</v>
      </c>
      <c r="F25" s="153">
        <f>'CCE3'!N28</f>
        <v>0</v>
      </c>
      <c r="G25" s="154">
        <f>SUM(Table3[[#This Row],[CCE'#1  (50)]:[CCE'#3 (50)]])</f>
        <v>72</v>
      </c>
      <c r="H25" s="155">
        <f>Table3[[#This Row],[Total (75)]]/('CCE1'!$J$9+'CCE2'!$L$9+'CCE3'!$N$9)*25</f>
        <v>24</v>
      </c>
    </row>
    <row r="26" spans="1:8" s="37" customFormat="1" ht="15.75">
      <c r="A26" s="156">
        <v>19</v>
      </c>
      <c r="B26" s="150">
        <v>22119</v>
      </c>
      <c r="C26" s="151" t="s">
        <v>125</v>
      </c>
      <c r="D26" s="153">
        <f>'CCE1'!J11</f>
        <v>47</v>
      </c>
      <c r="E26" s="153">
        <f>'CCE2'!L29</f>
        <v>14</v>
      </c>
      <c r="F26" s="153">
        <f>'CCE3'!N29</f>
        <v>0</v>
      </c>
      <c r="G26" s="154">
        <f>SUM(Table3[[#This Row],[CCE'#1  (50)]:[CCE'#3 (50)]])</f>
        <v>61</v>
      </c>
      <c r="H26" s="155">
        <f>Table3[[#This Row],[Total (75)]]/('CCE1'!$J$9+'CCE2'!$L$9+'CCE3'!$N$9)*25</f>
        <v>20.333333333333332</v>
      </c>
    </row>
    <row r="27" spans="1:8" s="37" customFormat="1" ht="15.75">
      <c r="A27" s="156">
        <v>20</v>
      </c>
      <c r="B27" s="150">
        <v>22120</v>
      </c>
      <c r="C27" s="151" t="s">
        <v>126</v>
      </c>
      <c r="D27" s="153">
        <f>'CCE1'!J12</f>
        <v>47</v>
      </c>
      <c r="E27" s="153">
        <f>'CCE2'!L30</f>
        <v>22</v>
      </c>
      <c r="F27" s="153">
        <f>'CCE3'!N30</f>
        <v>0</v>
      </c>
      <c r="G27" s="154">
        <f>SUM(Table3[[#This Row],[CCE'#1  (50)]:[CCE'#3 (50)]])</f>
        <v>69</v>
      </c>
      <c r="H27" s="155">
        <f>Table3[[#This Row],[Total (75)]]/('CCE1'!$J$9+'CCE2'!$L$9+'CCE3'!$N$9)*25</f>
        <v>23</v>
      </c>
    </row>
    <row r="28" spans="1:8" s="37" customFormat="1" ht="15.75">
      <c r="A28" s="156">
        <v>21</v>
      </c>
      <c r="B28" s="150">
        <v>22121</v>
      </c>
      <c r="C28" s="151" t="s">
        <v>127</v>
      </c>
      <c r="D28" s="153">
        <f>'CCE1'!J13</f>
        <v>46</v>
      </c>
      <c r="E28" s="153">
        <f>'CCE2'!L31</f>
        <v>23</v>
      </c>
      <c r="F28" s="153">
        <f>'CCE3'!N31</f>
        <v>0</v>
      </c>
      <c r="G28" s="154">
        <f>SUM(Table3[[#This Row],[CCE'#1  (50)]:[CCE'#3 (50)]])</f>
        <v>69</v>
      </c>
      <c r="H28" s="155">
        <f>Table3[[#This Row],[Total (75)]]/('CCE1'!$J$9+'CCE2'!$L$9+'CCE3'!$N$9)*25</f>
        <v>23</v>
      </c>
    </row>
    <row r="29" spans="1:8" s="37" customFormat="1" ht="15.75">
      <c r="A29" s="156">
        <v>22</v>
      </c>
      <c r="B29" s="150">
        <v>22122</v>
      </c>
      <c r="C29" s="151" t="s">
        <v>128</v>
      </c>
      <c r="D29" s="153">
        <f>'CCE1'!J14</f>
        <v>49</v>
      </c>
      <c r="E29" s="153">
        <f>'CCE2'!L32</f>
        <v>21</v>
      </c>
      <c r="F29" s="153">
        <f>'CCE3'!N32</f>
        <v>0</v>
      </c>
      <c r="G29" s="154">
        <f>SUM(Table3[[#This Row],[CCE'#1  (50)]:[CCE'#3 (50)]])</f>
        <v>70</v>
      </c>
      <c r="H29" s="155">
        <f>Table3[[#This Row],[Total (75)]]/('CCE1'!$J$9+'CCE2'!$L$9+'CCE3'!$N$9)*25</f>
        <v>23.333333333333332</v>
      </c>
    </row>
    <row r="30" spans="1:8" s="37" customFormat="1" ht="15.75">
      <c r="A30" s="156">
        <v>23</v>
      </c>
      <c r="B30" s="150">
        <v>22123</v>
      </c>
      <c r="C30" s="151" t="s">
        <v>129</v>
      </c>
      <c r="D30" s="153">
        <f>'CCE1'!J15</f>
        <v>44</v>
      </c>
      <c r="E30" s="153">
        <f>'CCE2'!L33</f>
        <v>15</v>
      </c>
      <c r="F30" s="153">
        <f>'CCE3'!N33</f>
        <v>0</v>
      </c>
      <c r="G30" s="154">
        <f>SUM(Table3[[#This Row],[CCE'#1  (50)]:[CCE'#3 (50)]])</f>
        <v>59</v>
      </c>
      <c r="H30" s="155">
        <f>Table3[[#This Row],[Total (75)]]/('CCE1'!$J$9+'CCE2'!$L$9+'CCE3'!$N$9)*25</f>
        <v>19.666666666666664</v>
      </c>
    </row>
    <row r="31" spans="1:8" s="37" customFormat="1" ht="15.75">
      <c r="A31" s="156">
        <v>24</v>
      </c>
      <c r="B31" s="150">
        <v>22124</v>
      </c>
      <c r="C31" s="151" t="s">
        <v>130</v>
      </c>
      <c r="D31" s="153">
        <f>'CCE1'!J16</f>
        <v>49</v>
      </c>
      <c r="E31" s="153">
        <f>'CCE2'!L34</f>
        <v>22</v>
      </c>
      <c r="F31" s="153">
        <f>'CCE3'!N34</f>
        <v>0</v>
      </c>
      <c r="G31" s="154">
        <f>SUM(Table3[[#This Row],[CCE'#1  (50)]:[CCE'#3 (50)]])</f>
        <v>71</v>
      </c>
      <c r="H31" s="155">
        <f>Table3[[#This Row],[Total (75)]]/('CCE1'!$J$9+'CCE2'!$L$9+'CCE3'!$N$9)*25</f>
        <v>23.666666666666668</v>
      </c>
    </row>
    <row r="32" spans="1:8" s="37" customFormat="1" ht="15.75">
      <c r="A32" s="156">
        <v>25</v>
      </c>
      <c r="B32" s="150">
        <v>22125</v>
      </c>
      <c r="C32" s="151" t="s">
        <v>131</v>
      </c>
      <c r="D32" s="153">
        <f>'CCE1'!J17</f>
        <v>50</v>
      </c>
      <c r="E32" s="153">
        <f>'CCE2'!L35</f>
        <v>21</v>
      </c>
      <c r="F32" s="153">
        <f>'CCE3'!N35</f>
        <v>0</v>
      </c>
      <c r="G32" s="154">
        <f>SUM(Table3[[#This Row],[CCE'#1  (50)]:[CCE'#3 (50)]])</f>
        <v>71</v>
      </c>
      <c r="H32" s="155">
        <f>Table3[[#This Row],[Total (75)]]/('CCE1'!$J$9+'CCE2'!$L$9+'CCE3'!$N$9)*25</f>
        <v>23.666666666666668</v>
      </c>
    </row>
    <row r="33" spans="1:8" s="37" customFormat="1" ht="15.75">
      <c r="A33" s="156">
        <v>26</v>
      </c>
      <c r="B33" s="150">
        <v>22126</v>
      </c>
      <c r="C33" s="151" t="s">
        <v>132</v>
      </c>
      <c r="D33" s="153">
        <f>'CCE1'!J18</f>
        <v>48</v>
      </c>
      <c r="E33" s="153">
        <f>'CCE2'!L36</f>
        <v>22</v>
      </c>
      <c r="F33" s="153">
        <f>'CCE3'!N36</f>
        <v>0</v>
      </c>
      <c r="G33" s="154">
        <f>SUM(Table3[[#This Row],[CCE'#1  (50)]:[CCE'#3 (50)]])</f>
        <v>70</v>
      </c>
      <c r="H33" s="155">
        <f>Table3[[#This Row],[Total (75)]]/('CCE1'!$J$9+'CCE2'!$L$9+'CCE3'!$N$9)*25</f>
        <v>23.333333333333332</v>
      </c>
    </row>
    <row r="34" spans="1:8" s="37" customFormat="1" ht="15.75">
      <c r="A34" s="156">
        <v>27</v>
      </c>
      <c r="B34" s="150">
        <v>22127</v>
      </c>
      <c r="C34" s="151" t="s">
        <v>133</v>
      </c>
      <c r="D34" s="153">
        <f>'CCE1'!J19</f>
        <v>49</v>
      </c>
      <c r="E34" s="153">
        <f>'CCE2'!L37</f>
        <v>23</v>
      </c>
      <c r="F34" s="153">
        <f>'CCE3'!N37</f>
        <v>0</v>
      </c>
      <c r="G34" s="154">
        <f>SUM(Table3[[#This Row],[CCE'#1  (50)]:[CCE'#3 (50)]])</f>
        <v>72</v>
      </c>
      <c r="H34" s="155">
        <f>Table3[[#This Row],[Total (75)]]/('CCE1'!$J$9+'CCE2'!$L$9+'CCE3'!$N$9)*25</f>
        <v>24</v>
      </c>
    </row>
    <row r="35" spans="1:8" s="37" customFormat="1" ht="15.75">
      <c r="A35" s="156">
        <v>28</v>
      </c>
      <c r="B35" s="150">
        <v>22128</v>
      </c>
      <c r="C35" s="151" t="s">
        <v>134</v>
      </c>
      <c r="D35" s="153">
        <f>'CCE1'!J20</f>
        <v>47</v>
      </c>
      <c r="E35" s="153">
        <f>'CCE2'!L38</f>
        <v>21</v>
      </c>
      <c r="F35" s="153">
        <f>'CCE3'!N38</f>
        <v>0</v>
      </c>
      <c r="G35" s="154">
        <f>SUM(Table3[[#This Row],[CCE'#1  (50)]:[CCE'#3 (50)]])</f>
        <v>68</v>
      </c>
      <c r="H35" s="155">
        <f>Table3[[#This Row],[Total (75)]]/('CCE1'!$J$9+'CCE2'!$L$9+'CCE3'!$N$9)*25</f>
        <v>22.666666666666664</v>
      </c>
    </row>
    <row r="36" spans="1:8" s="37" customFormat="1" ht="15.75">
      <c r="A36" s="156">
        <v>29</v>
      </c>
      <c r="B36" s="150">
        <v>22129</v>
      </c>
      <c r="C36" s="151" t="s">
        <v>135</v>
      </c>
      <c r="D36" s="153">
        <f>'CCE1'!J21</f>
        <v>47</v>
      </c>
      <c r="E36" s="153">
        <f>'CCE2'!L39</f>
        <v>20</v>
      </c>
      <c r="F36" s="153">
        <f>'CCE3'!N39</f>
        <v>0</v>
      </c>
      <c r="G36" s="154">
        <f>SUM(Table3[[#This Row],[CCE'#1  (50)]:[CCE'#3 (50)]])</f>
        <v>67</v>
      </c>
      <c r="H36" s="155">
        <f>Table3[[#This Row],[Total (75)]]/('CCE1'!$J$9+'CCE2'!$L$9+'CCE3'!$N$9)*25</f>
        <v>22.333333333333332</v>
      </c>
    </row>
    <row r="37" spans="1:8" s="37" customFormat="1" ht="15.75">
      <c r="A37" s="156">
        <v>30</v>
      </c>
      <c r="B37" s="150">
        <v>22130</v>
      </c>
      <c r="C37" s="151" t="s">
        <v>136</v>
      </c>
      <c r="D37" s="153">
        <f>'CCE1'!J22</f>
        <v>47</v>
      </c>
      <c r="E37" s="153">
        <f>'CCE2'!L40</f>
        <v>23</v>
      </c>
      <c r="F37" s="153">
        <f>'CCE3'!N40</f>
        <v>0</v>
      </c>
      <c r="G37" s="154">
        <f>SUM(Table3[[#This Row],[CCE'#1  (50)]:[CCE'#3 (50)]])</f>
        <v>70</v>
      </c>
      <c r="H37" s="155">
        <f>Table3[[#This Row],[Total (75)]]/('CCE1'!$J$9+'CCE2'!$L$9+'CCE3'!$N$9)*25</f>
        <v>23.333333333333332</v>
      </c>
    </row>
    <row r="38" spans="1:8" s="37" customFormat="1" ht="15.75">
      <c r="A38" s="156">
        <v>31</v>
      </c>
      <c r="B38" s="150">
        <v>22131</v>
      </c>
      <c r="C38" s="151" t="s">
        <v>137</v>
      </c>
      <c r="D38" s="153">
        <f>'CCE1'!J23</f>
        <v>47</v>
      </c>
      <c r="E38" s="153">
        <f>'CCE2'!L41</f>
        <v>22</v>
      </c>
      <c r="F38" s="153">
        <f>'CCE3'!N41</f>
        <v>0</v>
      </c>
      <c r="G38" s="154">
        <f>SUM(Table3[[#This Row],[CCE'#1  (50)]:[CCE'#3 (50)]])</f>
        <v>69</v>
      </c>
      <c r="H38" s="155">
        <f>Table3[[#This Row],[Total (75)]]/('CCE1'!$J$9+'CCE2'!$L$9+'CCE3'!$N$9)*25</f>
        <v>23</v>
      </c>
    </row>
    <row r="39" spans="1:8" s="37" customFormat="1" ht="15.75">
      <c r="A39" s="156">
        <v>32</v>
      </c>
      <c r="B39" s="150">
        <v>22132</v>
      </c>
      <c r="C39" s="151" t="s">
        <v>138</v>
      </c>
      <c r="D39" s="153">
        <f>'CCE1'!J24</f>
        <v>49</v>
      </c>
      <c r="E39" s="153">
        <f>'CCE2'!L42</f>
        <v>18</v>
      </c>
      <c r="F39" s="153">
        <f>'CCE3'!N42</f>
        <v>0</v>
      </c>
      <c r="G39" s="154">
        <f>SUM(Table3[[#This Row],[CCE'#1  (50)]:[CCE'#3 (50)]])</f>
        <v>67</v>
      </c>
      <c r="H39" s="155">
        <f>Table3[[#This Row],[Total (75)]]/('CCE1'!$J$9+'CCE2'!$L$9+'CCE3'!$N$9)*25</f>
        <v>22.333333333333332</v>
      </c>
    </row>
    <row r="40" spans="1:8" s="37" customFormat="1" ht="15.75">
      <c r="A40" s="156">
        <v>33</v>
      </c>
      <c r="B40" s="150">
        <v>22133</v>
      </c>
      <c r="C40" s="151" t="s">
        <v>139</v>
      </c>
      <c r="D40" s="153">
        <f>'CCE1'!J25</f>
        <v>50</v>
      </c>
      <c r="E40" s="153">
        <f>'CCE2'!L43</f>
        <v>22</v>
      </c>
      <c r="F40" s="153">
        <f>'CCE3'!N43</f>
        <v>0</v>
      </c>
      <c r="G40" s="154">
        <f>SUM(Table3[[#This Row],[CCE'#1  (50)]:[CCE'#3 (50)]])</f>
        <v>72</v>
      </c>
      <c r="H40" s="155">
        <f>Table3[[#This Row],[Total (75)]]/('CCE1'!$J$9+'CCE2'!$L$9+'CCE3'!$N$9)*25</f>
        <v>24</v>
      </c>
    </row>
    <row r="41" spans="1:8" s="37" customFormat="1" ht="15.75">
      <c r="A41" s="156">
        <v>34</v>
      </c>
      <c r="B41" s="150">
        <v>22134</v>
      </c>
      <c r="C41" s="151" t="s">
        <v>140</v>
      </c>
      <c r="D41" s="153">
        <f>'CCE1'!J26</f>
        <v>49</v>
      </c>
      <c r="E41" s="153">
        <f>'CCE2'!L44</f>
        <v>19</v>
      </c>
      <c r="F41" s="153">
        <f>'CCE3'!N44</f>
        <v>0</v>
      </c>
      <c r="G41" s="154">
        <f>SUM(Table3[[#This Row],[CCE'#1  (50)]:[CCE'#3 (50)]])</f>
        <v>68</v>
      </c>
      <c r="H41" s="155">
        <f>Table3[[#This Row],[Total (75)]]/('CCE1'!$J$9+'CCE2'!$L$9+'CCE3'!$N$9)*25</f>
        <v>22.666666666666664</v>
      </c>
    </row>
    <row r="42" spans="1:8" s="37" customFormat="1" ht="15.75">
      <c r="A42" s="156">
        <v>35</v>
      </c>
      <c r="B42" s="150">
        <v>22135</v>
      </c>
      <c r="C42" s="151" t="s">
        <v>141</v>
      </c>
      <c r="D42" s="153">
        <f>'CCE1'!J27</f>
        <v>45</v>
      </c>
      <c r="E42" s="153">
        <f>'CCE2'!L45</f>
        <v>22</v>
      </c>
      <c r="F42" s="153">
        <f>'CCE3'!N45</f>
        <v>0</v>
      </c>
      <c r="G42" s="154">
        <f>SUM(Table3[[#This Row],[CCE'#1  (50)]:[CCE'#3 (50)]])</f>
        <v>67</v>
      </c>
      <c r="H42" s="155">
        <f>Table3[[#This Row],[Total (75)]]/('CCE1'!$J$9+'CCE2'!$L$9+'CCE3'!$N$9)*25</f>
        <v>22.333333333333332</v>
      </c>
    </row>
    <row r="43" spans="1:8" s="37" customFormat="1" ht="15.75">
      <c r="A43" s="156">
        <v>36</v>
      </c>
      <c r="B43" s="150">
        <v>22136</v>
      </c>
      <c r="C43" s="151" t="s">
        <v>142</v>
      </c>
      <c r="D43" s="153">
        <f>'CCE1'!J28</f>
        <v>52</v>
      </c>
      <c r="E43" s="153">
        <f>'CCE2'!L46</f>
        <v>19</v>
      </c>
      <c r="F43" s="153">
        <f>'CCE3'!N46</f>
        <v>0</v>
      </c>
      <c r="G43" s="154">
        <f>SUM(Table3[[#This Row],[CCE'#1  (50)]:[CCE'#3 (50)]])</f>
        <v>71</v>
      </c>
      <c r="H43" s="155">
        <f>Table3[[#This Row],[Total (75)]]/('CCE1'!$J$9+'CCE2'!$L$9+'CCE3'!$N$9)*25</f>
        <v>23.666666666666668</v>
      </c>
    </row>
    <row r="44" spans="1:8" s="37" customFormat="1" ht="15.75">
      <c r="A44" s="156">
        <v>37</v>
      </c>
      <c r="B44" s="150">
        <v>22137</v>
      </c>
      <c r="C44" s="151" t="s">
        <v>143</v>
      </c>
      <c r="D44" s="153">
        <f>'CCE1'!J29</f>
        <v>48</v>
      </c>
      <c r="E44" s="153">
        <f>'CCE2'!L47</f>
        <v>23</v>
      </c>
      <c r="F44" s="153">
        <f>'CCE3'!N47</f>
        <v>0</v>
      </c>
      <c r="G44" s="154">
        <f>SUM(Table3[[#This Row],[CCE'#1  (50)]:[CCE'#3 (50)]])</f>
        <v>71</v>
      </c>
      <c r="H44" s="155">
        <f>Table3[[#This Row],[Total (75)]]/('CCE1'!$J$9+'CCE2'!$L$9+'CCE3'!$N$9)*25</f>
        <v>23.666666666666668</v>
      </c>
    </row>
    <row r="45" spans="1:8" s="37" customFormat="1" ht="15.75">
      <c r="A45" s="156">
        <v>38</v>
      </c>
      <c r="B45" s="150">
        <v>22138</v>
      </c>
      <c r="C45" s="151" t="s">
        <v>144</v>
      </c>
      <c r="D45" s="153">
        <f>'CCE1'!J30</f>
        <v>46</v>
      </c>
      <c r="E45" s="153">
        <f>'CCE2'!L48</f>
        <v>22</v>
      </c>
      <c r="F45" s="153">
        <f>'CCE3'!N48</f>
        <v>0</v>
      </c>
      <c r="G45" s="154">
        <f>SUM(Table3[[#This Row],[CCE'#1  (50)]:[CCE'#3 (50)]])</f>
        <v>68</v>
      </c>
      <c r="H45" s="155">
        <f>Table3[[#This Row],[Total (75)]]/('CCE1'!$J$9+'CCE2'!$L$9+'CCE3'!$N$9)*25</f>
        <v>22.666666666666664</v>
      </c>
    </row>
    <row r="46" spans="1:8" s="37" customFormat="1" ht="15.75">
      <c r="A46" s="156">
        <v>39</v>
      </c>
      <c r="B46" s="150">
        <v>22139</v>
      </c>
      <c r="C46" s="151" t="s">
        <v>145</v>
      </c>
      <c r="D46" s="153">
        <f>'CCE1'!J31</f>
        <v>48</v>
      </c>
      <c r="E46" s="153">
        <f>'CCE2'!L49</f>
        <v>21</v>
      </c>
      <c r="F46" s="153">
        <f>'CCE3'!N49</f>
        <v>0</v>
      </c>
      <c r="G46" s="154">
        <f>SUM(Table3[[#This Row],[CCE'#1  (50)]:[CCE'#3 (50)]])</f>
        <v>69</v>
      </c>
      <c r="H46" s="155">
        <f>Table3[[#This Row],[Total (75)]]/('CCE1'!$J$9+'CCE2'!$L$9+'CCE3'!$N$9)*25</f>
        <v>23</v>
      </c>
    </row>
    <row r="47" spans="1:8" s="37" customFormat="1" ht="15.75">
      <c r="A47" s="156">
        <v>40</v>
      </c>
      <c r="B47" s="150">
        <v>22140</v>
      </c>
      <c r="C47" s="151" t="s">
        <v>146</v>
      </c>
      <c r="D47" s="153">
        <f>'CCE1'!J32</f>
        <v>43</v>
      </c>
      <c r="E47" s="153">
        <f>'CCE2'!L50</f>
        <v>23</v>
      </c>
      <c r="F47" s="153">
        <f>'CCE3'!N50</f>
        <v>0</v>
      </c>
      <c r="G47" s="154">
        <f>SUM(Table3[[#This Row],[CCE'#1  (50)]:[CCE'#3 (50)]])</f>
        <v>66</v>
      </c>
      <c r="H47" s="155">
        <f>Table3[[#This Row],[Total (75)]]/('CCE1'!$J$9+'CCE2'!$L$9+'CCE3'!$N$9)*25</f>
        <v>22</v>
      </c>
    </row>
    <row r="48" spans="1:8" s="37" customFormat="1" ht="15.75">
      <c r="A48" s="156">
        <v>41</v>
      </c>
      <c r="B48" s="150">
        <v>22141</v>
      </c>
      <c r="C48" s="151" t="s">
        <v>147</v>
      </c>
      <c r="D48" s="153">
        <f>'CCE1'!J33</f>
        <v>49</v>
      </c>
      <c r="E48" s="153">
        <f>'CCE2'!L51</f>
        <v>21</v>
      </c>
      <c r="F48" s="153">
        <f>'CCE3'!N51</f>
        <v>0</v>
      </c>
      <c r="G48" s="154">
        <f>SUM(Table3[[#This Row],[CCE'#1  (50)]:[CCE'#3 (50)]])</f>
        <v>70</v>
      </c>
      <c r="H48" s="155">
        <f>Table3[[#This Row],[Total (75)]]/('CCE1'!$J$9+'CCE2'!$L$9+'CCE3'!$N$9)*25</f>
        <v>23.333333333333332</v>
      </c>
    </row>
    <row r="49" spans="1:8" s="37" customFormat="1" ht="15.75">
      <c r="A49" s="156">
        <v>42</v>
      </c>
      <c r="B49" s="150">
        <v>22142</v>
      </c>
      <c r="C49" s="151" t="s">
        <v>148</v>
      </c>
      <c r="D49" s="153">
        <f>'CCE1'!J34</f>
        <v>48</v>
      </c>
      <c r="E49" s="153">
        <f>'CCE2'!L52</f>
        <v>23</v>
      </c>
      <c r="F49" s="153">
        <f>'CCE3'!N52</f>
        <v>0</v>
      </c>
      <c r="G49" s="154">
        <f>SUM(Table3[[#This Row],[CCE'#1  (50)]:[CCE'#3 (50)]])</f>
        <v>71</v>
      </c>
      <c r="H49" s="155">
        <f>Table3[[#This Row],[Total (75)]]/('CCE1'!$J$9+'CCE2'!$L$9+'CCE3'!$N$9)*25</f>
        <v>23.666666666666668</v>
      </c>
    </row>
    <row r="50" spans="1:8" s="37" customFormat="1" ht="15.75">
      <c r="A50" s="156">
        <v>43</v>
      </c>
      <c r="B50" s="150">
        <v>22143</v>
      </c>
      <c r="C50" s="151" t="s">
        <v>149</v>
      </c>
      <c r="D50" s="153">
        <f>'CCE1'!J35</f>
        <v>48</v>
      </c>
      <c r="E50" s="153">
        <f>'CCE2'!L53</f>
        <v>21</v>
      </c>
      <c r="F50" s="153">
        <f>'CCE3'!N53</f>
        <v>0</v>
      </c>
      <c r="G50" s="154">
        <f>SUM(Table3[[#This Row],[CCE'#1  (50)]:[CCE'#3 (50)]])</f>
        <v>69</v>
      </c>
      <c r="H50" s="155">
        <f>Table3[[#This Row],[Total (75)]]/('CCE1'!$J$9+'CCE2'!$L$9+'CCE3'!$N$9)*25</f>
        <v>23</v>
      </c>
    </row>
    <row r="51" spans="1:8" s="37" customFormat="1" ht="15.75">
      <c r="A51" s="156">
        <v>44</v>
      </c>
      <c r="B51" s="150">
        <v>22144</v>
      </c>
      <c r="C51" s="151" t="s">
        <v>150</v>
      </c>
      <c r="D51" s="153">
        <f>'CCE1'!J36</f>
        <v>47</v>
      </c>
      <c r="E51" s="153">
        <f>'CCE2'!L54</f>
        <v>20</v>
      </c>
      <c r="F51" s="153">
        <f>'CCE3'!N54</f>
        <v>0</v>
      </c>
      <c r="G51" s="154">
        <f>SUM(Table3[[#This Row],[CCE'#1  (50)]:[CCE'#3 (50)]])</f>
        <v>67</v>
      </c>
      <c r="H51" s="155">
        <f>Table3[[#This Row],[Total (75)]]/('CCE1'!$J$9+'CCE2'!$L$9+'CCE3'!$N$9)*25</f>
        <v>22.333333333333332</v>
      </c>
    </row>
    <row r="52" spans="1:8" s="37" customFormat="1" ht="15.75">
      <c r="A52" s="156">
        <v>45</v>
      </c>
      <c r="B52" s="150">
        <v>22145</v>
      </c>
      <c r="C52" s="151" t="s">
        <v>151</v>
      </c>
      <c r="D52" s="153">
        <f>'CCE1'!J37</f>
        <v>47</v>
      </c>
      <c r="E52" s="153">
        <f>'CCE2'!L55</f>
        <v>20</v>
      </c>
      <c r="F52" s="153">
        <f>'CCE3'!N55</f>
        <v>0</v>
      </c>
      <c r="G52" s="154">
        <f>SUM(Table3[[#This Row],[CCE'#1  (50)]:[CCE'#3 (50)]])</f>
        <v>67</v>
      </c>
      <c r="H52" s="155">
        <f>Table3[[#This Row],[Total (75)]]/('CCE1'!$J$9+'CCE2'!$L$9+'CCE3'!$N$9)*25</f>
        <v>22.333333333333332</v>
      </c>
    </row>
    <row r="53" spans="1:8" s="37" customFormat="1" ht="15.75">
      <c r="A53" s="156">
        <v>46</v>
      </c>
      <c r="B53" s="150">
        <v>22146</v>
      </c>
      <c r="C53" s="151" t="s">
        <v>152</v>
      </c>
      <c r="D53" s="153">
        <f>'CCE1'!J38</f>
        <v>47</v>
      </c>
      <c r="E53" s="153">
        <f>'CCE2'!L56</f>
        <v>21</v>
      </c>
      <c r="F53" s="153">
        <f>'CCE3'!N56</f>
        <v>0</v>
      </c>
      <c r="G53" s="154">
        <f>SUM(Table3[[#This Row],[CCE'#1  (50)]:[CCE'#3 (50)]])</f>
        <v>68</v>
      </c>
      <c r="H53" s="155">
        <f>Table3[[#This Row],[Total (75)]]/('CCE1'!$J$9+'CCE2'!$L$9+'CCE3'!$N$9)*25</f>
        <v>22.666666666666664</v>
      </c>
    </row>
    <row r="54" spans="1:8" s="37" customFormat="1" ht="15.75">
      <c r="A54" s="156">
        <v>47</v>
      </c>
      <c r="B54" s="150">
        <v>22147</v>
      </c>
      <c r="C54" s="151" t="s">
        <v>153</v>
      </c>
      <c r="D54" s="153">
        <f>'CCE1'!J39</f>
        <v>49</v>
      </c>
      <c r="E54" s="153">
        <f>'CCE2'!L57</f>
        <v>22</v>
      </c>
      <c r="F54" s="153">
        <f>'CCE3'!N57</f>
        <v>0</v>
      </c>
      <c r="G54" s="154">
        <f>SUM(Table3[[#This Row],[CCE'#1  (50)]:[CCE'#3 (50)]])</f>
        <v>71</v>
      </c>
      <c r="H54" s="155">
        <f>Table3[[#This Row],[Total (75)]]/('CCE1'!$J$9+'CCE2'!$L$9+'CCE3'!$N$9)*25</f>
        <v>23.666666666666668</v>
      </c>
    </row>
    <row r="55" spans="1:8" s="37" customFormat="1" ht="15.75">
      <c r="A55" s="156">
        <v>48</v>
      </c>
      <c r="B55" s="150">
        <v>22148</v>
      </c>
      <c r="C55" s="151" t="s">
        <v>154</v>
      </c>
      <c r="D55" s="153">
        <f>'CCE1'!J40</f>
        <v>41</v>
      </c>
      <c r="E55" s="153">
        <f>'CCE2'!L58</f>
        <v>22</v>
      </c>
      <c r="F55" s="153">
        <f>'CCE3'!N58</f>
        <v>0</v>
      </c>
      <c r="G55" s="154">
        <f>SUM(Table3[[#This Row],[CCE'#1  (50)]:[CCE'#3 (50)]])</f>
        <v>63</v>
      </c>
      <c r="H55" s="155">
        <f>Table3[[#This Row],[Total (75)]]/('CCE1'!$J$9+'CCE2'!$L$9+'CCE3'!$N$9)*25</f>
        <v>21</v>
      </c>
    </row>
    <row r="56" spans="1:8" s="37" customFormat="1" ht="15.75">
      <c r="A56" s="156">
        <v>49</v>
      </c>
      <c r="B56" s="150">
        <v>22149</v>
      </c>
      <c r="C56" s="151" t="s">
        <v>155</v>
      </c>
      <c r="D56" s="153">
        <f>'CCE1'!J41</f>
        <v>46</v>
      </c>
      <c r="E56" s="153">
        <f>'CCE2'!L59</f>
        <v>22</v>
      </c>
      <c r="F56" s="153">
        <f>'CCE3'!N59</f>
        <v>0</v>
      </c>
      <c r="G56" s="154">
        <f>SUM(Table3[[#This Row],[CCE'#1  (50)]:[CCE'#3 (50)]])</f>
        <v>68</v>
      </c>
      <c r="H56" s="155">
        <f>Table3[[#This Row],[Total (75)]]/('CCE1'!$J$9+'CCE2'!$L$9+'CCE3'!$N$9)*25</f>
        <v>22.666666666666664</v>
      </c>
    </row>
    <row r="57" spans="1:8" s="37" customFormat="1" ht="15.75">
      <c r="A57" s="156">
        <v>50</v>
      </c>
      <c r="B57" s="150">
        <v>22150</v>
      </c>
      <c r="C57" s="151" t="s">
        <v>156</v>
      </c>
      <c r="D57" s="153">
        <f>'CCE1'!J42</f>
        <v>49</v>
      </c>
      <c r="E57" s="153">
        <f>'CCE2'!L60</f>
        <v>21</v>
      </c>
      <c r="F57" s="153">
        <f>'CCE3'!N60</f>
        <v>0</v>
      </c>
      <c r="G57" s="154">
        <f>SUM(Table3[[#This Row],[CCE'#1  (50)]:[CCE'#3 (50)]])</f>
        <v>70</v>
      </c>
      <c r="H57" s="155">
        <f>Table3[[#This Row],[Total (75)]]/('CCE1'!$J$9+'CCE2'!$L$9+'CCE3'!$N$9)*25</f>
        <v>23.333333333333332</v>
      </c>
    </row>
    <row r="58" spans="1:8" s="37" customFormat="1" ht="15.75">
      <c r="A58" s="156">
        <v>51</v>
      </c>
      <c r="B58" s="150">
        <v>22151</v>
      </c>
      <c r="C58" s="151" t="s">
        <v>157</v>
      </c>
      <c r="D58" s="153">
        <f>'CCE1'!J43</f>
        <v>49</v>
      </c>
      <c r="E58" s="153">
        <f>'CCE2'!L61</f>
        <v>20</v>
      </c>
      <c r="F58" s="153">
        <f>'CCE3'!N61</f>
        <v>0</v>
      </c>
      <c r="G58" s="154">
        <f>SUM(Table3[[#This Row],[CCE'#1  (50)]:[CCE'#3 (50)]])</f>
        <v>69</v>
      </c>
      <c r="H58" s="155">
        <f>Table3[[#This Row],[Total (75)]]/('CCE1'!$J$9+'CCE2'!$L$9+'CCE3'!$N$9)*25</f>
        <v>23</v>
      </c>
    </row>
    <row r="59" spans="1:8" s="37" customFormat="1" ht="15.75">
      <c r="A59" s="156">
        <v>52</v>
      </c>
      <c r="B59" s="150">
        <v>22152</v>
      </c>
      <c r="C59" s="151" t="s">
        <v>158</v>
      </c>
      <c r="D59" s="153">
        <f>'CCE1'!J44</f>
        <v>49</v>
      </c>
      <c r="E59" s="153">
        <f>'CCE2'!L62</f>
        <v>23</v>
      </c>
      <c r="F59" s="153">
        <f>'CCE3'!N62</f>
        <v>0</v>
      </c>
      <c r="G59" s="154">
        <f>SUM(Table3[[#This Row],[CCE'#1  (50)]:[CCE'#3 (50)]])</f>
        <v>72</v>
      </c>
      <c r="H59" s="155">
        <f>Table3[[#This Row],[Total (75)]]/('CCE1'!$J$9+'CCE2'!$L$9+'CCE3'!$N$9)*25</f>
        <v>24</v>
      </c>
    </row>
    <row r="60" spans="1:8" s="37" customFormat="1" ht="15.75">
      <c r="A60" s="156">
        <v>53</v>
      </c>
      <c r="B60" s="150">
        <v>22153</v>
      </c>
      <c r="C60" s="151" t="s">
        <v>159</v>
      </c>
      <c r="D60" s="153">
        <f>'CCE1'!J45</f>
        <v>47</v>
      </c>
      <c r="E60" s="153">
        <f>'CCE2'!L63</f>
        <v>20</v>
      </c>
      <c r="F60" s="153">
        <f>'CCE3'!N63</f>
        <v>0</v>
      </c>
      <c r="G60" s="154">
        <f>SUM(Table3[[#This Row],[CCE'#1  (50)]:[CCE'#3 (50)]])</f>
        <v>67</v>
      </c>
      <c r="H60" s="155">
        <f>Table3[[#This Row],[Total (75)]]/('CCE1'!$J$9+'CCE2'!$L$9+'CCE3'!$N$9)*25</f>
        <v>22.333333333333332</v>
      </c>
    </row>
    <row r="61" spans="1:8" s="37" customFormat="1" ht="15.75">
      <c r="A61" s="156">
        <v>54</v>
      </c>
      <c r="B61" s="150">
        <v>22154</v>
      </c>
      <c r="C61" s="151" t="s">
        <v>160</v>
      </c>
      <c r="D61" s="153">
        <f>'CCE1'!J46</f>
        <v>45</v>
      </c>
      <c r="E61" s="153">
        <f>'CCE2'!L64</f>
        <v>18</v>
      </c>
      <c r="F61" s="153">
        <f>'CCE3'!N64</f>
        <v>0</v>
      </c>
      <c r="G61" s="154">
        <f>SUM(Table3[[#This Row],[CCE'#1  (50)]:[CCE'#3 (50)]])</f>
        <v>63</v>
      </c>
      <c r="H61" s="155">
        <f>Table3[[#This Row],[Total (75)]]/('CCE1'!$J$9+'CCE2'!$L$9+'CCE3'!$N$9)*25</f>
        <v>21</v>
      </c>
    </row>
    <row r="62" spans="1:8" s="37" customFormat="1" ht="15.75">
      <c r="A62" s="156">
        <v>55</v>
      </c>
      <c r="B62" s="150">
        <v>22155</v>
      </c>
      <c r="C62" s="151" t="s">
        <v>161</v>
      </c>
      <c r="D62" s="153">
        <f>'CCE1'!J47</f>
        <v>40</v>
      </c>
      <c r="E62" s="153">
        <f>'CCE2'!L65</f>
        <v>19</v>
      </c>
      <c r="F62" s="153">
        <f>'CCE3'!N65</f>
        <v>0</v>
      </c>
      <c r="G62" s="154">
        <f>SUM(Table3[[#This Row],[CCE'#1  (50)]:[CCE'#3 (50)]])</f>
        <v>59</v>
      </c>
      <c r="H62" s="155">
        <f>Table3[[#This Row],[Total (75)]]/('CCE1'!$J$9+'CCE2'!$L$9+'CCE3'!$N$9)*25</f>
        <v>19.666666666666664</v>
      </c>
    </row>
    <row r="63" spans="1:8" s="37" customFormat="1" ht="15.75">
      <c r="A63" s="156">
        <v>56</v>
      </c>
      <c r="B63" s="150">
        <v>22156</v>
      </c>
      <c r="C63" s="151" t="s">
        <v>162</v>
      </c>
      <c r="D63" s="153">
        <f>'CCE1'!J48</f>
        <v>48</v>
      </c>
      <c r="E63" s="153">
        <f>'CCE2'!L66</f>
        <v>20</v>
      </c>
      <c r="F63" s="153">
        <f>'CCE3'!N66</f>
        <v>0</v>
      </c>
      <c r="G63" s="154">
        <f>SUM(Table3[[#This Row],[CCE'#1  (50)]:[CCE'#3 (50)]])</f>
        <v>68</v>
      </c>
      <c r="H63" s="155">
        <f>Table3[[#This Row],[Total (75)]]/('CCE1'!$J$9+'CCE2'!$L$9+'CCE3'!$N$9)*25</f>
        <v>22.666666666666664</v>
      </c>
    </row>
    <row r="64" spans="1:8" s="37" customFormat="1" ht="15.75">
      <c r="A64" s="156">
        <v>57</v>
      </c>
      <c r="B64" s="150">
        <v>22157</v>
      </c>
      <c r="C64" s="151" t="s">
        <v>163</v>
      </c>
      <c r="D64" s="153">
        <f>'CCE1'!J49</f>
        <v>44</v>
      </c>
      <c r="E64" s="153">
        <f>'CCE2'!L67</f>
        <v>23</v>
      </c>
      <c r="F64" s="153">
        <f>'CCE3'!N67</f>
        <v>0</v>
      </c>
      <c r="G64" s="154">
        <f>SUM(Table3[[#This Row],[CCE'#1  (50)]:[CCE'#3 (50)]])</f>
        <v>67</v>
      </c>
      <c r="H64" s="155">
        <f>Table3[[#This Row],[Total (75)]]/('CCE1'!$J$9+'CCE2'!$L$9+'CCE3'!$N$9)*25</f>
        <v>22.333333333333332</v>
      </c>
    </row>
    <row r="65" spans="1:8" s="37" customFormat="1" ht="15.75">
      <c r="A65" s="156">
        <v>58</v>
      </c>
      <c r="B65" s="150">
        <v>22158</v>
      </c>
      <c r="C65" s="151" t="s">
        <v>164</v>
      </c>
      <c r="D65" s="153">
        <f>'CCE1'!J50</f>
        <v>43</v>
      </c>
      <c r="E65" s="153">
        <f>'CCE2'!L68</f>
        <v>20</v>
      </c>
      <c r="F65" s="153">
        <f>'CCE3'!N68</f>
        <v>0</v>
      </c>
      <c r="G65" s="154">
        <f>SUM(Table3[[#This Row],[CCE'#1  (50)]:[CCE'#3 (50)]])</f>
        <v>63</v>
      </c>
      <c r="H65" s="155">
        <f>Table3[[#This Row],[Total (75)]]/('CCE1'!$J$9+'CCE2'!$L$9+'CCE3'!$N$9)*25</f>
        <v>21</v>
      </c>
    </row>
    <row r="66" spans="1:8" s="37" customFormat="1" ht="15.75">
      <c r="A66" s="156">
        <v>59</v>
      </c>
      <c r="B66" s="150">
        <v>22159</v>
      </c>
      <c r="C66" s="151" t="s">
        <v>165</v>
      </c>
      <c r="D66" s="153">
        <f>'CCE1'!J51</f>
        <v>43</v>
      </c>
      <c r="E66" s="153">
        <f>'CCE2'!L69</f>
        <v>21</v>
      </c>
      <c r="F66" s="153">
        <f>'CCE3'!N69</f>
        <v>0</v>
      </c>
      <c r="G66" s="154">
        <f>SUM(Table3[[#This Row],[CCE'#1  (50)]:[CCE'#3 (50)]])</f>
        <v>64</v>
      </c>
      <c r="H66" s="155">
        <f>Table3[[#This Row],[Total (75)]]/('CCE1'!$J$9+'CCE2'!$L$9+'CCE3'!$N$9)*25</f>
        <v>21.333333333333336</v>
      </c>
    </row>
    <row r="67" spans="1:8" s="37" customFormat="1" ht="15.75">
      <c r="A67" s="156">
        <v>60</v>
      </c>
      <c r="B67" s="150">
        <v>22160</v>
      </c>
      <c r="C67" s="151" t="s">
        <v>166</v>
      </c>
      <c r="D67" s="153">
        <f>'CCE1'!J52</f>
        <v>47</v>
      </c>
      <c r="E67" s="153">
        <f>'CCE2'!L70</f>
        <v>17</v>
      </c>
      <c r="F67" s="153">
        <f>'CCE3'!N70</f>
        <v>0</v>
      </c>
      <c r="G67" s="154">
        <f>SUM(Table3[[#This Row],[CCE'#1  (50)]:[CCE'#3 (50)]])</f>
        <v>64</v>
      </c>
      <c r="H67" s="155">
        <f>Table3[[#This Row],[Total (75)]]/('CCE1'!$J$9+'CCE2'!$L$9+'CCE3'!$N$9)*25</f>
        <v>21.333333333333336</v>
      </c>
    </row>
    <row r="68" spans="1:8" s="37" customFormat="1" ht="15.75">
      <c r="A68" s="156">
        <v>61</v>
      </c>
      <c r="B68" s="150">
        <v>22161</v>
      </c>
      <c r="C68" s="151" t="s">
        <v>167</v>
      </c>
      <c r="D68" s="153">
        <f>'CCE1'!J53</f>
        <v>49</v>
      </c>
      <c r="E68" s="153">
        <f>'CCE2'!L71</f>
        <v>23</v>
      </c>
      <c r="F68" s="153">
        <f>'CCE3'!N71</f>
        <v>0</v>
      </c>
      <c r="G68" s="154">
        <f>SUM(Table3[[#This Row],[CCE'#1  (50)]:[CCE'#3 (50)]])</f>
        <v>72</v>
      </c>
      <c r="H68" s="155">
        <f>Table3[[#This Row],[Total (75)]]/('CCE1'!$J$9+'CCE2'!$L$9+'CCE3'!$N$9)*25</f>
        <v>24</v>
      </c>
    </row>
    <row r="69" spans="1:8" s="37" customFormat="1" ht="15.75">
      <c r="A69" s="156">
        <v>62</v>
      </c>
      <c r="B69" s="150">
        <v>22162</v>
      </c>
      <c r="C69" s="151" t="s">
        <v>168</v>
      </c>
      <c r="D69" s="153">
        <f>'CCE1'!J54</f>
        <v>49</v>
      </c>
      <c r="E69" s="153">
        <f>'CCE2'!L72</f>
        <v>19</v>
      </c>
      <c r="F69" s="153">
        <f>'CCE3'!N72</f>
        <v>0</v>
      </c>
      <c r="G69" s="154">
        <f>SUM(Table3[[#This Row],[CCE'#1  (50)]:[CCE'#3 (50)]])</f>
        <v>68</v>
      </c>
      <c r="H69" s="155">
        <f>Table3[[#This Row],[Total (75)]]/('CCE1'!$J$9+'CCE2'!$L$9+'CCE3'!$N$9)*25</f>
        <v>22.666666666666664</v>
      </c>
    </row>
    <row r="70" spans="1:8" s="37" customFormat="1" ht="15.75">
      <c r="A70" s="156">
        <v>63</v>
      </c>
      <c r="B70" s="150">
        <v>22163</v>
      </c>
      <c r="C70" s="151" t="s">
        <v>169</v>
      </c>
      <c r="D70" s="153">
        <f>'CCE1'!J55</f>
        <v>44</v>
      </c>
      <c r="E70" s="153">
        <f>'CCE2'!L73</f>
        <v>20</v>
      </c>
      <c r="F70" s="153">
        <f>'CCE3'!N73</f>
        <v>0</v>
      </c>
      <c r="G70" s="154">
        <f>SUM(Table3[[#This Row],[CCE'#1  (50)]:[CCE'#3 (50)]])</f>
        <v>64</v>
      </c>
      <c r="H70" s="155">
        <f>Table3[[#This Row],[Total (75)]]/('CCE1'!$J$9+'CCE2'!$L$9+'CCE3'!$N$9)*25</f>
        <v>21.333333333333336</v>
      </c>
    </row>
    <row r="71" spans="1:8" s="37" customFormat="1" ht="15.75">
      <c r="A71" s="156">
        <v>64</v>
      </c>
      <c r="B71" s="150">
        <v>22164</v>
      </c>
      <c r="C71" s="151" t="s">
        <v>170</v>
      </c>
      <c r="D71" s="153">
        <f>'CCE1'!J56</f>
        <v>48</v>
      </c>
      <c r="E71" s="153">
        <f>'CCE2'!L74</f>
        <v>22</v>
      </c>
      <c r="F71" s="153">
        <f>'CCE3'!N74</f>
        <v>0</v>
      </c>
      <c r="G71" s="154">
        <f>SUM(Table3[[#This Row],[CCE'#1  (50)]:[CCE'#3 (50)]])</f>
        <v>70</v>
      </c>
      <c r="H71" s="155">
        <f>Table3[[#This Row],[Total (75)]]/('CCE1'!$J$9+'CCE2'!$L$9+'CCE3'!$N$9)*25</f>
        <v>23.333333333333332</v>
      </c>
    </row>
    <row r="72" spans="1:8" s="37" customFormat="1" ht="15.75">
      <c r="A72" s="156">
        <v>65</v>
      </c>
      <c r="B72" s="150">
        <v>22165</v>
      </c>
      <c r="C72" s="151" t="s">
        <v>171</v>
      </c>
      <c r="D72" s="153">
        <f>'CCE1'!J57</f>
        <v>45</v>
      </c>
      <c r="E72" s="153">
        <f>'CCE2'!L75</f>
        <v>17</v>
      </c>
      <c r="F72" s="153">
        <f>'CCE3'!N75</f>
        <v>0</v>
      </c>
      <c r="G72" s="154">
        <f>SUM(Table3[[#This Row],[CCE'#1  (50)]:[CCE'#3 (50)]])</f>
        <v>62</v>
      </c>
      <c r="H72" s="155">
        <f>Table3[[#This Row],[Total (75)]]/('CCE1'!$J$9+'CCE2'!$L$9+'CCE3'!$N$9)*25</f>
        <v>20.666666666666668</v>
      </c>
    </row>
    <row r="73" spans="1:8" s="37" customFormat="1" ht="15.75">
      <c r="A73" s="156">
        <v>66</v>
      </c>
      <c r="B73" s="150">
        <v>22166</v>
      </c>
      <c r="C73" s="151" t="s">
        <v>172</v>
      </c>
      <c r="D73" s="153">
        <f>'CCE1'!J58</f>
        <v>48</v>
      </c>
      <c r="E73" s="153">
        <f>'CCE2'!L76</f>
        <v>22</v>
      </c>
      <c r="F73" s="153">
        <f>'CCE3'!N76</f>
        <v>0</v>
      </c>
      <c r="G73" s="154">
        <f>SUM(Table3[[#This Row],[CCE'#1  (50)]:[CCE'#3 (50)]])</f>
        <v>70</v>
      </c>
      <c r="H73" s="155">
        <f>Table3[[#This Row],[Total (75)]]/('CCE1'!$J$9+'CCE2'!$L$9+'CCE3'!$N$9)*25</f>
        <v>23.333333333333332</v>
      </c>
    </row>
    <row r="74" spans="1:8" s="37" customFormat="1" ht="15.75">
      <c r="A74" s="156">
        <v>67</v>
      </c>
      <c r="B74" s="150">
        <v>22167</v>
      </c>
      <c r="C74" s="151" t="s">
        <v>173</v>
      </c>
      <c r="D74" s="153">
        <f>'CCE1'!J59</f>
        <v>43</v>
      </c>
      <c r="E74" s="153">
        <f>'CCE2'!L77</f>
        <v>22</v>
      </c>
      <c r="F74" s="153">
        <f>'CCE3'!N77</f>
        <v>0</v>
      </c>
      <c r="G74" s="154">
        <f>SUM(Table3[[#This Row],[CCE'#1  (50)]:[CCE'#3 (50)]])</f>
        <v>65</v>
      </c>
      <c r="H74" s="155">
        <f>Table3[[#This Row],[Total (75)]]/('CCE1'!$J$9+'CCE2'!$L$9+'CCE3'!$N$9)*25</f>
        <v>21.666666666666668</v>
      </c>
    </row>
    <row r="75" spans="1:8" s="37" customFormat="1" ht="15.75">
      <c r="A75" s="156">
        <v>68</v>
      </c>
      <c r="B75" s="150">
        <v>22168</v>
      </c>
      <c r="C75" s="151" t="s">
        <v>174</v>
      </c>
      <c r="D75" s="153">
        <f>'CCE1'!J60</f>
        <v>49</v>
      </c>
      <c r="E75" s="153">
        <f>'CCE2'!L78</f>
        <v>21</v>
      </c>
      <c r="F75" s="153">
        <f>'CCE3'!N78</f>
        <v>0</v>
      </c>
      <c r="G75" s="154">
        <f>SUM(Table3[[#This Row],[CCE'#1  (50)]:[CCE'#3 (50)]])</f>
        <v>70</v>
      </c>
      <c r="H75" s="155">
        <f>Table3[[#This Row],[Total (75)]]/('CCE1'!$J$9+'CCE2'!$L$9+'CCE3'!$N$9)*25</f>
        <v>23.333333333333332</v>
      </c>
    </row>
    <row r="76" spans="1:8" s="37" customFormat="1" ht="15.75">
      <c r="A76" s="156">
        <v>69</v>
      </c>
      <c r="B76" s="150">
        <v>22201</v>
      </c>
      <c r="C76" s="151" t="s">
        <v>175</v>
      </c>
      <c r="D76" s="153">
        <f>'CCE1'!J61</f>
        <v>49</v>
      </c>
      <c r="E76" s="153">
        <f>'CCE2'!L79</f>
        <v>23</v>
      </c>
      <c r="F76" s="153">
        <f>'CCE3'!N79</f>
        <v>0</v>
      </c>
      <c r="G76" s="154">
        <f>SUM(Table3[[#This Row],[CCE'#1  (50)]:[CCE'#3 (50)]])</f>
        <v>72</v>
      </c>
      <c r="H76" s="155">
        <f>Table3[[#This Row],[Total (75)]]/('CCE1'!$J$9+'CCE2'!$L$9+'CCE3'!$N$9)*25</f>
        <v>24</v>
      </c>
    </row>
    <row r="77" spans="1:8" s="37" customFormat="1" ht="15.75">
      <c r="A77" s="156">
        <v>70</v>
      </c>
      <c r="B77" s="150">
        <v>22202</v>
      </c>
      <c r="C77" s="151" t="s">
        <v>176</v>
      </c>
      <c r="D77" s="153">
        <f>'CCE1'!J62</f>
        <v>46</v>
      </c>
      <c r="E77" s="153">
        <f>'CCE2'!L80</f>
        <v>22</v>
      </c>
      <c r="F77" s="153">
        <f>'CCE3'!N80</f>
        <v>0</v>
      </c>
      <c r="G77" s="154">
        <f>SUM(Table3[[#This Row],[CCE'#1  (50)]:[CCE'#3 (50)]])</f>
        <v>68</v>
      </c>
      <c r="H77" s="155">
        <f>Table3[[#This Row],[Total (75)]]/('CCE1'!$J$9+'CCE2'!$L$9+'CCE3'!$N$9)*25</f>
        <v>22.666666666666664</v>
      </c>
    </row>
    <row r="78" spans="1:8" s="37" customFormat="1" ht="15.75">
      <c r="A78" s="156">
        <v>71</v>
      </c>
      <c r="B78" s="150">
        <v>22203</v>
      </c>
      <c r="C78" s="151" t="s">
        <v>177</v>
      </c>
      <c r="D78" s="153">
        <f>'CCE1'!J63</f>
        <v>43</v>
      </c>
      <c r="E78" s="153">
        <f>'CCE2'!L81</f>
        <v>21</v>
      </c>
      <c r="F78" s="153">
        <f>'CCE3'!N81</f>
        <v>0</v>
      </c>
      <c r="G78" s="154">
        <f>SUM(Table3[[#This Row],[CCE'#1  (50)]:[CCE'#3 (50)]])</f>
        <v>64</v>
      </c>
      <c r="H78" s="155">
        <f>Table3[[#This Row],[Total (75)]]/('CCE1'!$J$9+'CCE2'!$L$9+'CCE3'!$N$9)*25</f>
        <v>21.333333333333336</v>
      </c>
    </row>
    <row r="79" spans="1:8" s="37" customFormat="1" ht="15.75">
      <c r="A79" s="156">
        <v>72</v>
      </c>
      <c r="B79" s="150">
        <v>22204</v>
      </c>
      <c r="C79" s="151" t="s">
        <v>178</v>
      </c>
      <c r="D79" s="153">
        <f>'CCE1'!J64</f>
        <v>49</v>
      </c>
      <c r="E79" s="153">
        <f>'CCE2'!L82</f>
        <v>14</v>
      </c>
      <c r="F79" s="153">
        <f>'CCE3'!N82</f>
        <v>0</v>
      </c>
      <c r="G79" s="154">
        <f>SUM(Table3[[#This Row],[CCE'#1  (50)]:[CCE'#3 (50)]])</f>
        <v>63</v>
      </c>
      <c r="H79" s="155">
        <f>Table3[[#This Row],[Total (75)]]/('CCE1'!$J$9+'CCE2'!$L$9+'CCE3'!$N$9)*25</f>
        <v>21</v>
      </c>
    </row>
    <row r="80" spans="1:8" s="37" customFormat="1" ht="15.75">
      <c r="A80" s="156">
        <v>73</v>
      </c>
      <c r="B80" s="150">
        <v>22205</v>
      </c>
      <c r="C80" s="151" t="s">
        <v>179</v>
      </c>
      <c r="D80" s="153">
        <f>'CCE1'!J65</f>
        <v>48</v>
      </c>
      <c r="E80" s="153">
        <f>'CCE2'!L83</f>
        <v>23</v>
      </c>
      <c r="F80" s="153">
        <f>'CCE3'!N83</f>
        <v>0</v>
      </c>
      <c r="G80" s="154">
        <f>SUM(Table3[[#This Row],[CCE'#1  (50)]:[CCE'#3 (50)]])</f>
        <v>71</v>
      </c>
      <c r="H80" s="155">
        <f>Table3[[#This Row],[Total (75)]]/('CCE1'!$J$9+'CCE2'!$L$9+'CCE3'!$N$9)*25</f>
        <v>23.666666666666668</v>
      </c>
    </row>
    <row r="81" spans="1:8" s="37" customFormat="1" ht="15.75">
      <c r="A81" s="156">
        <v>74</v>
      </c>
      <c r="B81" s="150">
        <v>22206</v>
      </c>
      <c r="C81" s="151" t="s">
        <v>180</v>
      </c>
      <c r="D81" s="153">
        <f>'CCE1'!J66</f>
        <v>45</v>
      </c>
      <c r="E81" s="153">
        <f>'CCE2'!L84</f>
        <v>22</v>
      </c>
      <c r="F81" s="153">
        <f>'CCE3'!N84</f>
        <v>0</v>
      </c>
      <c r="G81" s="154">
        <f>SUM(Table3[[#This Row],[CCE'#1  (50)]:[CCE'#3 (50)]])</f>
        <v>67</v>
      </c>
      <c r="H81" s="155">
        <f>Table3[[#This Row],[Total (75)]]/('CCE1'!$J$9+'CCE2'!$L$9+'CCE3'!$N$9)*25</f>
        <v>22.333333333333332</v>
      </c>
    </row>
    <row r="82" spans="1:8" s="37" customFormat="1" ht="15.75">
      <c r="A82" s="156">
        <v>75</v>
      </c>
      <c r="B82" s="150">
        <v>22207</v>
      </c>
      <c r="C82" s="151" t="s">
        <v>181</v>
      </c>
      <c r="D82" s="153">
        <f>'CCE1'!J67</f>
        <v>43</v>
      </c>
      <c r="E82" s="153">
        <f>'CCE2'!L85</f>
        <v>21</v>
      </c>
      <c r="F82" s="153">
        <f>'CCE3'!N85</f>
        <v>0</v>
      </c>
      <c r="G82" s="154">
        <f>SUM(Table3[[#This Row],[CCE'#1  (50)]:[CCE'#3 (50)]])</f>
        <v>64</v>
      </c>
      <c r="H82" s="155">
        <f>Table3[[#This Row],[Total (75)]]/('CCE1'!$J$9+'CCE2'!$L$9+'CCE3'!$N$9)*25</f>
        <v>21.333333333333336</v>
      </c>
    </row>
    <row r="83" spans="1:8" s="37" customFormat="1" ht="15.75">
      <c r="A83" s="156">
        <v>76</v>
      </c>
      <c r="B83" s="150">
        <v>22208</v>
      </c>
      <c r="C83" s="151" t="s">
        <v>182</v>
      </c>
      <c r="D83" s="153">
        <f>'CCE1'!J68</f>
        <v>48</v>
      </c>
      <c r="E83" s="153">
        <f>'CCE2'!L86</f>
        <v>21</v>
      </c>
      <c r="F83" s="153">
        <f>'CCE3'!N86</f>
        <v>0</v>
      </c>
      <c r="G83" s="154">
        <f>SUM(Table3[[#This Row],[CCE'#1  (50)]:[CCE'#3 (50)]])</f>
        <v>69</v>
      </c>
      <c r="H83" s="155">
        <f>Table3[[#This Row],[Total (75)]]/('CCE1'!$J$9+'CCE2'!$L$9+'CCE3'!$N$9)*25</f>
        <v>23</v>
      </c>
    </row>
    <row r="84" spans="1:8" s="37" customFormat="1" ht="15.75">
      <c r="A84" s="156">
        <v>77</v>
      </c>
      <c r="B84" s="150">
        <v>22209</v>
      </c>
      <c r="C84" s="151" t="s">
        <v>183</v>
      </c>
      <c r="D84" s="153">
        <f>'CCE1'!J69</f>
        <v>48</v>
      </c>
      <c r="E84" s="153">
        <f>'CCE2'!L87</f>
        <v>21</v>
      </c>
      <c r="F84" s="153">
        <f>'CCE3'!N87</f>
        <v>0</v>
      </c>
      <c r="G84" s="154">
        <f>SUM(Table3[[#This Row],[CCE'#1  (50)]:[CCE'#3 (50)]])</f>
        <v>69</v>
      </c>
      <c r="H84" s="155">
        <f>Table3[[#This Row],[Total (75)]]/('CCE1'!$J$9+'CCE2'!$L$9+'CCE3'!$N$9)*25</f>
        <v>23</v>
      </c>
    </row>
    <row r="85" spans="1:8" s="37" customFormat="1" ht="15.75">
      <c r="A85" s="156">
        <v>78</v>
      </c>
      <c r="B85" s="150">
        <v>22210</v>
      </c>
      <c r="C85" s="151" t="s">
        <v>184</v>
      </c>
      <c r="D85" s="153">
        <f>'CCE1'!J70</f>
        <v>43</v>
      </c>
      <c r="E85" s="153">
        <f>'CCE2'!L88</f>
        <v>22</v>
      </c>
      <c r="F85" s="153">
        <f>'CCE3'!N88</f>
        <v>0</v>
      </c>
      <c r="G85" s="154">
        <f>SUM(Table3[[#This Row],[CCE'#1  (50)]:[CCE'#3 (50)]])</f>
        <v>65</v>
      </c>
      <c r="H85" s="155">
        <f>Table3[[#This Row],[Total (75)]]/('CCE1'!$J$9+'CCE2'!$L$9+'CCE3'!$N$9)*25</f>
        <v>21.666666666666668</v>
      </c>
    </row>
    <row r="86" spans="1:8" s="37" customFormat="1" ht="15.75">
      <c r="A86" s="156">
        <v>79</v>
      </c>
      <c r="B86" s="150">
        <v>22211</v>
      </c>
      <c r="C86" s="151" t="s">
        <v>185</v>
      </c>
      <c r="D86" s="153">
        <f>'CCE1'!J71</f>
        <v>44</v>
      </c>
      <c r="E86" s="153">
        <f>'CCE2'!L89</f>
        <v>21</v>
      </c>
      <c r="F86" s="153">
        <f>'CCE3'!N89</f>
        <v>0</v>
      </c>
      <c r="G86" s="154">
        <f>SUM(Table3[[#This Row],[CCE'#1  (50)]:[CCE'#3 (50)]])</f>
        <v>65</v>
      </c>
      <c r="H86" s="155">
        <f>Table3[[#This Row],[Total (75)]]/('CCE1'!$J$9+'CCE2'!$L$9+'CCE3'!$N$9)*25</f>
        <v>21.666666666666668</v>
      </c>
    </row>
    <row r="87" spans="1:8" ht="15.75">
      <c r="A87" s="156">
        <v>80</v>
      </c>
      <c r="B87" s="150">
        <v>22212</v>
      </c>
      <c r="C87" s="151" t="s">
        <v>186</v>
      </c>
      <c r="D87" s="76">
        <f>'CCE1'!J11</f>
        <v>47</v>
      </c>
      <c r="E87" s="153">
        <f>'CCE2'!L90</f>
        <v>22</v>
      </c>
      <c r="F87" s="153">
        <f>'CCE3'!N90</f>
        <v>0</v>
      </c>
      <c r="G87" s="38">
        <f>SUM(Table3[[#This Row],[CCE'#1  (50)]:[CCE'#3 (50)]])</f>
        <v>69</v>
      </c>
      <c r="H87" s="155">
        <f>Table3[[#This Row],[Total (75)]]/('CCE1'!$J$9+'CCE2'!$L$9+'CCE3'!$N$9)*25</f>
        <v>23</v>
      </c>
    </row>
    <row r="88" spans="1:8" ht="15.75">
      <c r="A88" s="156">
        <v>81</v>
      </c>
      <c r="B88" s="150">
        <v>22213</v>
      </c>
      <c r="C88" s="151" t="s">
        <v>187</v>
      </c>
      <c r="D88" s="76">
        <f>'CCE1'!J12</f>
        <v>47</v>
      </c>
      <c r="E88" s="153">
        <f>'CCE2'!L91</f>
        <v>23</v>
      </c>
      <c r="F88" s="153">
        <f>'CCE3'!N91</f>
        <v>0</v>
      </c>
      <c r="G88" s="40">
        <f>SUM(Table3[[#This Row],[CCE'#1  (50)]:[CCE'#3 (50)]])</f>
        <v>70</v>
      </c>
      <c r="H88" s="155">
        <f>Table3[[#This Row],[Total (75)]]/('CCE1'!$J$9+'CCE2'!$L$9+'CCE3'!$N$9)*25</f>
        <v>23.333333333333332</v>
      </c>
    </row>
    <row r="89" spans="1:8" ht="15.75">
      <c r="A89" s="156">
        <v>82</v>
      </c>
      <c r="B89" s="150">
        <v>22214</v>
      </c>
      <c r="C89" s="151" t="s">
        <v>188</v>
      </c>
      <c r="D89" s="76">
        <f>'CCE1'!J13</f>
        <v>46</v>
      </c>
      <c r="E89" s="153">
        <f>'CCE2'!L92</f>
        <v>22</v>
      </c>
      <c r="F89" s="153">
        <f>'CCE3'!N92</f>
        <v>0</v>
      </c>
      <c r="G89" s="40">
        <f>SUM(Table3[[#This Row],[CCE'#1  (50)]:[CCE'#3 (50)]])</f>
        <v>68</v>
      </c>
      <c r="H89" s="155">
        <f>Table3[[#This Row],[Total (75)]]/('CCE1'!$J$9+'CCE2'!$L$9+'CCE3'!$N$9)*25</f>
        <v>22.666666666666664</v>
      </c>
    </row>
    <row r="90" spans="1:8" ht="15.75">
      <c r="A90" s="156">
        <v>83</v>
      </c>
      <c r="B90" s="150">
        <v>22215</v>
      </c>
      <c r="C90" s="151" t="s">
        <v>189</v>
      </c>
      <c r="D90" s="76">
        <f>'CCE1'!J14</f>
        <v>49</v>
      </c>
      <c r="E90" s="153">
        <f>'CCE2'!L93</f>
        <v>18</v>
      </c>
      <c r="F90" s="153">
        <f>'CCE3'!N93</f>
        <v>0</v>
      </c>
      <c r="G90" s="40">
        <f>SUM(Table3[[#This Row],[CCE'#1  (50)]:[CCE'#3 (50)]])</f>
        <v>67</v>
      </c>
      <c r="H90" s="155">
        <f>Table3[[#This Row],[Total (75)]]/('CCE1'!$J$9+'CCE2'!$L$9+'CCE3'!$N$9)*25</f>
        <v>22.333333333333332</v>
      </c>
    </row>
    <row r="91" spans="1:8" ht="15.75">
      <c r="A91" s="156">
        <v>84</v>
      </c>
      <c r="B91" s="150">
        <v>22216</v>
      </c>
      <c r="C91" s="151" t="s">
        <v>190</v>
      </c>
      <c r="D91" s="76">
        <f>'CCE1'!J15</f>
        <v>44</v>
      </c>
      <c r="E91" s="153">
        <f>'CCE2'!L94</f>
        <v>23</v>
      </c>
      <c r="F91" s="153">
        <f>'CCE3'!N94</f>
        <v>0</v>
      </c>
      <c r="G91" s="40">
        <f>SUM(Table3[[#This Row],[CCE'#1  (50)]:[CCE'#3 (50)]])</f>
        <v>67</v>
      </c>
      <c r="H91" s="155">
        <f>Table3[[#This Row],[Total (75)]]/('CCE1'!$J$9+'CCE2'!$L$9+'CCE3'!$N$9)*25</f>
        <v>22.333333333333332</v>
      </c>
    </row>
    <row r="92" spans="1:8" ht="15.75">
      <c r="A92" s="156">
        <v>85</v>
      </c>
      <c r="B92" s="150">
        <v>22217</v>
      </c>
      <c r="C92" s="151" t="s">
        <v>191</v>
      </c>
      <c r="D92" s="76">
        <f>'CCE1'!J16</f>
        <v>49</v>
      </c>
      <c r="E92" s="153">
        <f>'CCE2'!L95</f>
        <v>22</v>
      </c>
      <c r="F92" s="153">
        <f>'CCE3'!N95</f>
        <v>0</v>
      </c>
      <c r="G92" s="38">
        <f>SUM(Table3[[#This Row],[CCE'#1  (50)]:[CCE'#3 (50)]])</f>
        <v>71</v>
      </c>
      <c r="H92" s="155">
        <f>Table3[[#This Row],[Total (75)]]/('CCE1'!$J$9+'CCE2'!$L$9+'CCE3'!$N$9)*25</f>
        <v>23.666666666666668</v>
      </c>
    </row>
    <row r="93" spans="1:8" ht="15.75">
      <c r="A93" s="156">
        <v>86</v>
      </c>
      <c r="B93" s="150">
        <v>22218</v>
      </c>
      <c r="C93" s="151" t="s">
        <v>192</v>
      </c>
      <c r="D93" s="76">
        <f>'CCE1'!J17</f>
        <v>50</v>
      </c>
      <c r="E93" s="153">
        <f>'CCE2'!L96</f>
        <v>18</v>
      </c>
      <c r="F93" s="153">
        <f>'CCE3'!N96</f>
        <v>0</v>
      </c>
      <c r="G93" s="40">
        <f>SUM(Table3[[#This Row],[CCE'#1  (50)]:[CCE'#3 (50)]])</f>
        <v>68</v>
      </c>
      <c r="H93" s="155">
        <f>Table3[[#This Row],[Total (75)]]/('CCE1'!$J$9+'CCE2'!$L$9+'CCE3'!$N$9)*25</f>
        <v>22.666666666666664</v>
      </c>
    </row>
    <row r="94" spans="1:8" ht="15.75">
      <c r="A94" s="156">
        <v>87</v>
      </c>
      <c r="B94" s="150">
        <v>22219</v>
      </c>
      <c r="C94" s="151" t="s">
        <v>193</v>
      </c>
      <c r="D94" s="76">
        <f>'CCE1'!J18</f>
        <v>48</v>
      </c>
      <c r="E94" s="153">
        <f>'CCE2'!L97</f>
        <v>18</v>
      </c>
      <c r="F94" s="153">
        <f>'CCE3'!N97</f>
        <v>0</v>
      </c>
      <c r="G94" s="40">
        <f>SUM(Table3[[#This Row],[CCE'#1  (50)]:[CCE'#3 (50)]])</f>
        <v>66</v>
      </c>
      <c r="H94" s="155">
        <f>Table3[[#This Row],[Total (75)]]/('CCE1'!$J$9+'CCE2'!$L$9+'CCE3'!$N$9)*25</f>
        <v>22</v>
      </c>
    </row>
    <row r="95" spans="1:8" ht="15.75">
      <c r="A95" s="156">
        <v>88</v>
      </c>
      <c r="B95" s="150">
        <v>22220</v>
      </c>
      <c r="C95" s="151" t="s">
        <v>194</v>
      </c>
      <c r="D95" s="76">
        <f>'CCE1'!J19</f>
        <v>49</v>
      </c>
      <c r="E95" s="153">
        <f>'CCE2'!L98</f>
        <v>0</v>
      </c>
      <c r="F95" s="153">
        <f>'CCE3'!N98</f>
        <v>0</v>
      </c>
      <c r="G95" s="40">
        <f>SUM(Table3[[#This Row],[CCE'#1  (50)]:[CCE'#3 (50)]])</f>
        <v>49</v>
      </c>
      <c r="H95" s="155">
        <f>Table3[[#This Row],[Total (75)]]/('CCE1'!$J$9+'CCE2'!$L$9+'CCE3'!$N$9)*25</f>
        <v>16.333333333333332</v>
      </c>
    </row>
    <row r="96" spans="1:8" ht="15.75">
      <c r="A96" s="156">
        <v>89</v>
      </c>
      <c r="B96" s="150">
        <v>22221</v>
      </c>
      <c r="C96" s="151" t="s">
        <v>195</v>
      </c>
      <c r="D96" s="76">
        <f>'CCE1'!J20</f>
        <v>47</v>
      </c>
      <c r="E96" s="153">
        <f>'CCE2'!L99</f>
        <v>18</v>
      </c>
      <c r="F96" s="153">
        <f>'CCE3'!N99</f>
        <v>0</v>
      </c>
      <c r="G96" s="40">
        <f>SUM(Table3[[#This Row],[CCE'#1  (50)]:[CCE'#3 (50)]])</f>
        <v>65</v>
      </c>
      <c r="H96" s="155">
        <f>Table3[[#This Row],[Total (75)]]/('CCE1'!$J$9+'CCE2'!$L$9+'CCE3'!$N$9)*25</f>
        <v>21.666666666666668</v>
      </c>
    </row>
    <row r="97" spans="1:8" ht="15.75">
      <c r="A97" s="156">
        <v>90</v>
      </c>
      <c r="B97" s="150">
        <v>22222</v>
      </c>
      <c r="C97" s="151" t="s">
        <v>196</v>
      </c>
      <c r="D97" s="76">
        <f>'CCE1'!J21</f>
        <v>47</v>
      </c>
      <c r="E97" s="153">
        <f>'CCE2'!L100</f>
        <v>21</v>
      </c>
      <c r="F97" s="153">
        <f>'CCE3'!N100</f>
        <v>0</v>
      </c>
      <c r="G97" s="40">
        <f>SUM(Table3[[#This Row],[CCE'#1  (50)]:[CCE'#3 (50)]])</f>
        <v>68</v>
      </c>
      <c r="H97" s="155">
        <f>Table3[[#This Row],[Total (75)]]/('CCE1'!$J$9+'CCE2'!$L$9+'CCE3'!$N$9)*25</f>
        <v>22.666666666666664</v>
      </c>
    </row>
    <row r="98" spans="1:8" ht="15.75">
      <c r="A98" s="156">
        <v>91</v>
      </c>
      <c r="B98" s="150">
        <v>22223</v>
      </c>
      <c r="C98" s="151" t="s">
        <v>197</v>
      </c>
      <c r="D98" s="76">
        <f>'CCE1'!J22</f>
        <v>47</v>
      </c>
      <c r="E98" s="153">
        <f>'CCE2'!L101</f>
        <v>23</v>
      </c>
      <c r="F98" s="153">
        <f>'CCE3'!N101</f>
        <v>0</v>
      </c>
      <c r="G98" s="40">
        <f>SUM(Table3[[#This Row],[CCE'#1  (50)]:[CCE'#3 (50)]])</f>
        <v>70</v>
      </c>
      <c r="H98" s="155">
        <f>Table3[[#This Row],[Total (75)]]/('CCE1'!$J$9+'CCE2'!$L$9+'CCE3'!$N$9)*25</f>
        <v>23.333333333333332</v>
      </c>
    </row>
    <row r="99" spans="1:8" ht="15.75">
      <c r="A99" s="156">
        <v>92</v>
      </c>
      <c r="B99" s="150">
        <v>22224</v>
      </c>
      <c r="C99" s="151" t="s">
        <v>198</v>
      </c>
      <c r="D99" s="76">
        <f>'CCE1'!J23</f>
        <v>47</v>
      </c>
      <c r="E99" s="153">
        <f>'CCE2'!L102</f>
        <v>18</v>
      </c>
      <c r="F99" s="153">
        <f>'CCE3'!N102</f>
        <v>0</v>
      </c>
      <c r="G99" s="40">
        <f>SUM(Table3[[#This Row],[CCE'#1  (50)]:[CCE'#3 (50)]])</f>
        <v>65</v>
      </c>
      <c r="H99" s="155">
        <f>Table3[[#This Row],[Total (75)]]/('CCE1'!$J$9+'CCE2'!$L$9+'CCE3'!$N$9)*25</f>
        <v>21.666666666666668</v>
      </c>
    </row>
    <row r="100" spans="1:8" ht="15.75">
      <c r="A100" s="156">
        <v>93</v>
      </c>
      <c r="B100" s="150">
        <v>22225</v>
      </c>
      <c r="C100" s="151" t="s">
        <v>199</v>
      </c>
      <c r="D100" s="76">
        <f>'CCE1'!J24</f>
        <v>49</v>
      </c>
      <c r="E100" s="153">
        <f>'CCE2'!L103</f>
        <v>21</v>
      </c>
      <c r="F100" s="153">
        <f>'CCE3'!N103</f>
        <v>0</v>
      </c>
      <c r="G100" s="40">
        <f>SUM(Table3[[#This Row],[CCE'#1  (50)]:[CCE'#3 (50)]])</f>
        <v>70</v>
      </c>
      <c r="H100" s="155">
        <f>Table3[[#This Row],[Total (75)]]/('CCE1'!$J$9+'CCE2'!$L$9+'CCE3'!$N$9)*25</f>
        <v>23.333333333333332</v>
      </c>
    </row>
    <row r="101" spans="1:8" ht="15.75">
      <c r="A101" s="156">
        <v>94</v>
      </c>
      <c r="B101" s="150">
        <v>22226</v>
      </c>
      <c r="C101" s="151" t="s">
        <v>200</v>
      </c>
      <c r="D101" s="76">
        <f>'CCE1'!J25</f>
        <v>50</v>
      </c>
      <c r="E101" s="153">
        <f>'CCE2'!L104</f>
        <v>23</v>
      </c>
      <c r="F101" s="153">
        <f>'CCE3'!N104</f>
        <v>0</v>
      </c>
      <c r="G101" s="40">
        <f>SUM(Table3[[#This Row],[CCE'#1  (50)]:[CCE'#3 (50)]])</f>
        <v>73</v>
      </c>
      <c r="H101" s="155">
        <f>Table3[[#This Row],[Total (75)]]/('CCE1'!$J$9+'CCE2'!$L$9+'CCE3'!$N$9)*25</f>
        <v>24.333333333333336</v>
      </c>
    </row>
    <row r="102" spans="1:8" ht="15.75">
      <c r="A102" s="156">
        <v>95</v>
      </c>
      <c r="B102" s="150">
        <v>22227</v>
      </c>
      <c r="C102" s="151" t="s">
        <v>201</v>
      </c>
      <c r="D102" s="76">
        <f>'CCE1'!J26</f>
        <v>49</v>
      </c>
      <c r="E102" s="153">
        <f>'CCE2'!L105</f>
        <v>21</v>
      </c>
      <c r="F102" s="153">
        <f>'CCE3'!N105</f>
        <v>0</v>
      </c>
      <c r="G102" s="40">
        <f>SUM(Table3[[#This Row],[CCE'#1  (50)]:[CCE'#3 (50)]])</f>
        <v>70</v>
      </c>
      <c r="H102" s="155">
        <f>Table3[[#This Row],[Total (75)]]/('CCE1'!$J$9+'CCE2'!$L$9+'CCE3'!$N$9)*25</f>
        <v>23.333333333333332</v>
      </c>
    </row>
    <row r="103" spans="1:8" ht="15.75">
      <c r="A103" s="156">
        <v>96</v>
      </c>
      <c r="B103" s="150">
        <v>22228</v>
      </c>
      <c r="C103" s="151" t="s">
        <v>202</v>
      </c>
      <c r="D103" s="76">
        <f>'CCE1'!J27</f>
        <v>45</v>
      </c>
      <c r="E103" s="153">
        <f>'CCE2'!L106</f>
        <v>20</v>
      </c>
      <c r="F103" s="153">
        <f>'CCE3'!N106</f>
        <v>0</v>
      </c>
      <c r="G103" s="40">
        <f>SUM(Table3[[#This Row],[CCE'#1  (50)]:[CCE'#3 (50)]])</f>
        <v>65</v>
      </c>
      <c r="H103" s="155">
        <f>Table3[[#This Row],[Total (75)]]/('CCE1'!$J$9+'CCE2'!$L$9+'CCE3'!$N$9)*25</f>
        <v>21.666666666666668</v>
      </c>
    </row>
    <row r="104" spans="1:8" ht="15.75">
      <c r="A104" s="156">
        <v>97</v>
      </c>
      <c r="B104" s="150">
        <v>22229</v>
      </c>
      <c r="C104" s="151" t="s">
        <v>203</v>
      </c>
      <c r="D104" s="76">
        <f>'CCE1'!J28</f>
        <v>52</v>
      </c>
      <c r="E104" s="153">
        <f>'CCE2'!L107</f>
        <v>21</v>
      </c>
      <c r="F104" s="153">
        <f>'CCE3'!N107</f>
        <v>0</v>
      </c>
      <c r="G104" s="40">
        <f>SUM(Table3[[#This Row],[CCE'#1  (50)]:[CCE'#3 (50)]])</f>
        <v>73</v>
      </c>
      <c r="H104" s="155">
        <f>Table3[[#This Row],[Total (75)]]/('CCE1'!$J$9+'CCE2'!$L$9+'CCE3'!$N$9)*25</f>
        <v>24.333333333333336</v>
      </c>
    </row>
    <row r="105" spans="1:8" ht="15.75">
      <c r="A105" s="156">
        <v>98</v>
      </c>
      <c r="B105" s="150">
        <v>22230</v>
      </c>
      <c r="C105" s="151" t="s">
        <v>204</v>
      </c>
      <c r="D105" s="76">
        <f>'CCE1'!J29</f>
        <v>48</v>
      </c>
      <c r="E105" s="153">
        <f>'CCE2'!L108</f>
        <v>20</v>
      </c>
      <c r="F105" s="153">
        <f>'CCE3'!N108</f>
        <v>0</v>
      </c>
      <c r="G105" s="40">
        <f>SUM(Table3[[#This Row],[CCE'#1  (50)]:[CCE'#3 (50)]])</f>
        <v>68</v>
      </c>
      <c r="H105" s="155">
        <f>Table3[[#This Row],[Total (75)]]/('CCE1'!$J$9+'CCE2'!$L$9+'CCE3'!$N$9)*25</f>
        <v>22.666666666666664</v>
      </c>
    </row>
    <row r="106" spans="1:8" ht="15.75">
      <c r="A106" s="156">
        <v>99</v>
      </c>
      <c r="B106" s="150">
        <v>22231</v>
      </c>
      <c r="C106" s="151" t="s">
        <v>205</v>
      </c>
      <c r="D106" s="76">
        <f>'CCE1'!J30</f>
        <v>46</v>
      </c>
      <c r="E106" s="153">
        <f>'CCE2'!L109</f>
        <v>20</v>
      </c>
      <c r="F106" s="153">
        <f>'CCE3'!N109</f>
        <v>0</v>
      </c>
      <c r="G106" s="40">
        <f>SUM(Table3[[#This Row],[CCE'#1  (50)]:[CCE'#3 (50)]])</f>
        <v>66</v>
      </c>
      <c r="H106" s="155">
        <f>Table3[[#This Row],[Total (75)]]/('CCE1'!$J$9+'CCE2'!$L$9+'CCE3'!$N$9)*25</f>
        <v>22</v>
      </c>
    </row>
    <row r="107" spans="1:8" ht="15.75">
      <c r="A107" s="156">
        <v>100</v>
      </c>
      <c r="B107" s="150">
        <v>22232</v>
      </c>
      <c r="C107" s="151" t="s">
        <v>206</v>
      </c>
      <c r="D107" s="76">
        <f>'CCE1'!J31</f>
        <v>48</v>
      </c>
      <c r="E107" s="153">
        <f>'CCE2'!L110</f>
        <v>0</v>
      </c>
      <c r="F107" s="153">
        <f>'CCE3'!N110</f>
        <v>0</v>
      </c>
      <c r="G107" s="40">
        <f>SUM(Table3[[#This Row],[CCE'#1  (50)]:[CCE'#3 (50)]])</f>
        <v>48</v>
      </c>
      <c r="H107" s="155">
        <f>Table3[[#This Row],[Total (75)]]/('CCE1'!$J$9+'CCE2'!$L$9+'CCE3'!$N$9)*25</f>
        <v>16</v>
      </c>
    </row>
    <row r="108" spans="1:8" ht="15.75">
      <c r="A108" s="156">
        <v>101</v>
      </c>
      <c r="B108" s="150">
        <v>22233</v>
      </c>
      <c r="C108" s="151" t="s">
        <v>207</v>
      </c>
      <c r="D108" s="76">
        <f>'CCE1'!J32</f>
        <v>43</v>
      </c>
      <c r="E108" s="153">
        <f>'CCE2'!L111</f>
        <v>0</v>
      </c>
      <c r="F108" s="153">
        <f>'CCE3'!N111</f>
        <v>0</v>
      </c>
      <c r="G108" s="40">
        <f>SUM(Table3[[#This Row],[CCE'#1  (50)]:[CCE'#3 (50)]])</f>
        <v>43</v>
      </c>
      <c r="H108" s="155">
        <f>Table3[[#This Row],[Total (75)]]/('CCE1'!$J$9+'CCE2'!$L$9+'CCE3'!$N$9)*25</f>
        <v>14.333333333333334</v>
      </c>
    </row>
    <row r="109" spans="1:8" ht="15.75">
      <c r="A109" s="156">
        <v>102</v>
      </c>
      <c r="B109" s="150">
        <v>22234</v>
      </c>
      <c r="C109" s="151" t="s">
        <v>208</v>
      </c>
      <c r="D109" s="76">
        <f>'CCE1'!J33</f>
        <v>49</v>
      </c>
      <c r="E109" s="153">
        <f>'CCE2'!L112</f>
        <v>0</v>
      </c>
      <c r="F109" s="153">
        <f>'CCE3'!N112</f>
        <v>0</v>
      </c>
      <c r="G109" s="40">
        <f>SUM(Table3[[#This Row],[CCE'#1  (50)]:[CCE'#3 (50)]])</f>
        <v>49</v>
      </c>
      <c r="H109" s="155">
        <f>Table3[[#This Row],[Total (75)]]/('CCE1'!$J$9+'CCE2'!$L$9+'CCE3'!$N$9)*25</f>
        <v>16.333333333333332</v>
      </c>
    </row>
    <row r="110" spans="1:8" ht="15.75">
      <c r="A110" s="156">
        <v>103</v>
      </c>
      <c r="B110" s="150">
        <v>22235</v>
      </c>
      <c r="C110" s="151" t="s">
        <v>209</v>
      </c>
      <c r="D110" s="76">
        <f>'CCE1'!J34</f>
        <v>48</v>
      </c>
      <c r="E110" s="153">
        <f>'CCE2'!L113</f>
        <v>0</v>
      </c>
      <c r="F110" s="153">
        <f>'CCE3'!N113</f>
        <v>0</v>
      </c>
      <c r="G110" s="40">
        <f>SUM(Table3[[#This Row],[CCE'#1  (50)]:[CCE'#3 (50)]])</f>
        <v>48</v>
      </c>
      <c r="H110" s="155">
        <f>Table3[[#This Row],[Total (75)]]/('CCE1'!$J$9+'CCE2'!$L$9+'CCE3'!$N$9)*25</f>
        <v>16</v>
      </c>
    </row>
    <row r="111" spans="1:8" ht="15.75">
      <c r="A111" s="156">
        <v>104</v>
      </c>
      <c r="B111" s="150">
        <v>22236</v>
      </c>
      <c r="C111" s="151" t="s">
        <v>210</v>
      </c>
      <c r="D111" s="76">
        <f>'CCE1'!J35</f>
        <v>48</v>
      </c>
      <c r="E111" s="153">
        <f>'CCE2'!L114</f>
        <v>0</v>
      </c>
      <c r="F111" s="153">
        <f>'CCE3'!N114</f>
        <v>0</v>
      </c>
      <c r="G111" s="40">
        <f>SUM(Table3[[#This Row],[CCE'#1  (50)]:[CCE'#3 (50)]])</f>
        <v>48</v>
      </c>
      <c r="H111" s="155">
        <f>Table3[[#This Row],[Total (75)]]/('CCE1'!$J$9+'CCE2'!$L$9+'CCE3'!$N$9)*25</f>
        <v>16</v>
      </c>
    </row>
    <row r="112" spans="1:8" ht="15.75">
      <c r="A112" s="156">
        <v>105</v>
      </c>
      <c r="B112" s="150">
        <v>22237</v>
      </c>
      <c r="C112" s="151" t="s">
        <v>211</v>
      </c>
      <c r="D112" s="76">
        <f>'CCE1'!J36</f>
        <v>47</v>
      </c>
      <c r="E112" s="153">
        <f>'CCE2'!L115</f>
        <v>0</v>
      </c>
      <c r="F112" s="153">
        <f>'CCE3'!N115</f>
        <v>0</v>
      </c>
      <c r="G112" s="40">
        <f>SUM(Table3[[#This Row],[CCE'#1  (50)]:[CCE'#3 (50)]])</f>
        <v>47</v>
      </c>
      <c r="H112" s="155">
        <f>Table3[[#This Row],[Total (75)]]/('CCE1'!$J$9+'CCE2'!$L$9+'CCE3'!$N$9)*25</f>
        <v>15.666666666666668</v>
      </c>
    </row>
    <row r="113" spans="1:15" ht="15.75">
      <c r="A113" s="156">
        <v>106</v>
      </c>
      <c r="B113" s="150">
        <v>22238</v>
      </c>
      <c r="C113" s="151" t="s">
        <v>212</v>
      </c>
      <c r="D113" s="76">
        <f>'CCE1'!J37</f>
        <v>47</v>
      </c>
      <c r="E113" s="153">
        <f>'CCE2'!L116</f>
        <v>23</v>
      </c>
      <c r="F113" s="153">
        <f>'CCE3'!N116</f>
        <v>0</v>
      </c>
      <c r="G113" s="40">
        <f>SUM(Table3[[#This Row],[CCE'#1  (50)]:[CCE'#3 (50)]])</f>
        <v>70</v>
      </c>
      <c r="H113" s="155">
        <f>Table3[[#This Row],[Total (75)]]/('CCE1'!$J$9+'CCE2'!$L$9+'CCE3'!$N$9)*25</f>
        <v>23.333333333333332</v>
      </c>
    </row>
    <row r="114" spans="1:15" ht="15.75">
      <c r="A114" s="156">
        <v>107</v>
      </c>
      <c r="B114" s="150">
        <v>22239</v>
      </c>
      <c r="C114" s="151" t="s">
        <v>213</v>
      </c>
      <c r="D114" s="76">
        <f>'CCE1'!J38</f>
        <v>47</v>
      </c>
      <c r="E114" s="153">
        <f>'CCE2'!L117</f>
        <v>22</v>
      </c>
      <c r="F114" s="153">
        <f>'CCE3'!N117</f>
        <v>0</v>
      </c>
      <c r="G114" s="40">
        <f>SUM(Table3[[#This Row],[CCE'#1  (50)]:[CCE'#3 (50)]])</f>
        <v>69</v>
      </c>
      <c r="H114" s="155">
        <f>Table3[[#This Row],[Total (75)]]/('CCE1'!$J$9+'CCE2'!$L$9+'CCE3'!$N$9)*25</f>
        <v>23</v>
      </c>
    </row>
    <row r="115" spans="1:15" ht="15.75">
      <c r="A115" s="156">
        <v>108</v>
      </c>
      <c r="B115" s="150">
        <v>22240</v>
      </c>
      <c r="C115" s="151" t="s">
        <v>214</v>
      </c>
      <c r="D115" s="76">
        <f>'CCE1'!J39</f>
        <v>49</v>
      </c>
      <c r="E115" s="153">
        <f>'CCE2'!L118</f>
        <v>23</v>
      </c>
      <c r="F115" s="153">
        <f>'CCE3'!N118</f>
        <v>0</v>
      </c>
      <c r="G115" s="40">
        <f>SUM(Table3[[#This Row],[CCE'#1  (50)]:[CCE'#3 (50)]])</f>
        <v>72</v>
      </c>
      <c r="H115" s="155">
        <f>Table3[[#This Row],[Total (75)]]/('CCE1'!$J$9+'CCE2'!$L$9+'CCE3'!$N$9)*25</f>
        <v>24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78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78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0"/>
      <c r="B121" t="str">
        <f>Faculty</f>
        <v>Narsareaddy Chude</v>
      </c>
      <c r="C121"/>
      <c r="G121" s="2"/>
      <c r="H121" s="2"/>
      <c r="K121" s="80"/>
      <c r="L121"/>
      <c r="M121" s="80"/>
      <c r="O121"/>
    </row>
    <row r="122" spans="1:15" ht="15.75">
      <c r="A122" s="80"/>
      <c r="B122" s="80" t="str">
        <f>SubjectDetails!E17</f>
        <v>Subject Faculty</v>
      </c>
      <c r="C122" s="305"/>
      <c r="D122" s="305"/>
      <c r="E122" s="305"/>
      <c r="G122" s="2"/>
      <c r="H122" s="2"/>
      <c r="K122" s="80"/>
      <c r="L122"/>
      <c r="M122" s="80"/>
      <c r="O122" s="7"/>
    </row>
    <row r="123" spans="1:15" ht="15.75">
      <c r="A123"/>
      <c r="B123"/>
      <c r="C123" s="83"/>
      <c r="D123" s="249"/>
      <c r="E123" s="249"/>
      <c r="F123"/>
      <c r="G123" s="47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49"/>
      <c r="E124" s="249"/>
      <c r="F124" s="2"/>
      <c r="G124" s="47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5"/>
      <c r="B125" s="34"/>
      <c r="C125" s="34"/>
      <c r="D125" s="34"/>
      <c r="E125" s="34"/>
      <c r="F125" s="34"/>
      <c r="G125" s="3"/>
      <c r="H125" s="34"/>
      <c r="I125" s="34"/>
      <c r="J125" s="34"/>
      <c r="K125" s="34"/>
      <c r="L125" s="34"/>
      <c r="M125" s="34"/>
      <c r="N125" s="34"/>
      <c r="O125" s="34"/>
    </row>
    <row r="126" spans="1:15" s="34" customFormat="1" ht="15.75">
      <c r="A126" s="217" t="str">
        <f>SubjectDetails!A24</f>
        <v>Dr. Ravi Chourasiya</v>
      </c>
      <c r="B126" s="217"/>
      <c r="C126" s="217"/>
      <c r="D126" t="str">
        <f>SubjectDetails!E24</f>
        <v>Dr. Ashwini Chavan</v>
      </c>
      <c r="E126" s="249"/>
      <c r="F126" s="249"/>
      <c r="G126" t="str">
        <f>SubjectDetails!H24</f>
        <v>Dr. Priyanka Singh</v>
      </c>
      <c r="H126"/>
      <c r="I126" s="218"/>
      <c r="J126" s="218"/>
      <c r="K126" s="80"/>
      <c r="L126"/>
      <c r="M126" s="80"/>
      <c r="N126" s="47"/>
      <c r="O126"/>
    </row>
    <row r="127" spans="1:15" s="34" customFormat="1" ht="15.75">
      <c r="A127" s="217" t="str">
        <f>SubjectDetails!A25</f>
        <v>(College Examination Officer)</v>
      </c>
      <c r="B127" s="217"/>
      <c r="C127" s="217"/>
      <c r="D127" s="125" t="str">
        <f>SubjectDetails!E25</f>
        <v>HOD (MCA)</v>
      </c>
      <c r="E127" s="249"/>
      <c r="F127" s="249"/>
      <c r="G127" s="125" t="str">
        <f>SubjectDetails!H25</f>
        <v>Director</v>
      </c>
      <c r="H127"/>
      <c r="I127" s="218"/>
      <c r="J127" s="218"/>
      <c r="K127" s="80"/>
      <c r="L127"/>
      <c r="M127" s="80"/>
      <c r="N127" s="47"/>
      <c r="O127" s="7"/>
    </row>
  </sheetData>
  <mergeCells count="16">
    <mergeCell ref="I126:J126"/>
    <mergeCell ref="A127:C127"/>
    <mergeCell ref="E127:F127"/>
    <mergeCell ref="I127:J127"/>
    <mergeCell ref="C122:E122"/>
    <mergeCell ref="D123:E123"/>
    <mergeCell ref="D124:E124"/>
    <mergeCell ref="A1:H1"/>
    <mergeCell ref="A2:H2"/>
    <mergeCell ref="A3:H3"/>
    <mergeCell ref="A4:H4"/>
    <mergeCell ref="A126:C126"/>
    <mergeCell ref="E126:F126"/>
    <mergeCell ref="A6:B6"/>
    <mergeCell ref="A5:H5"/>
    <mergeCell ref="D6:H6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3"/>
  <sheetViews>
    <sheetView topLeftCell="A121" zoomScaleNormal="100" workbookViewId="0">
      <selection activeCell="C122" sqref="C122:D129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4" width="8.7109375" style="7" bestFit="1" customWidth="1"/>
    <col min="5" max="5" width="13" style="7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35" t="s">
        <v>71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</row>
    <row r="2" spans="1:27" ht="25.15" customHeight="1">
      <c r="A2" s="237" t="s">
        <v>72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7" ht="21.6" customHeight="1">
      <c r="A3" s="239" t="s">
        <v>73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</row>
    <row r="4" spans="1:27" ht="17.45" customHeight="1">
      <c r="A4" s="239" t="s">
        <v>9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>Faculty Name: Narsareaddy Chude</v>
      </c>
      <c r="B6" s="29"/>
      <c r="C6" s="29"/>
      <c r="D6" s="29"/>
      <c r="E6" s="29"/>
      <c r="F6" s="12"/>
      <c r="G6" s="12"/>
      <c r="H6" s="12"/>
      <c r="I6" s="315" t="s">
        <v>103</v>
      </c>
      <c r="J6" s="315"/>
      <c r="K6" s="316"/>
      <c r="L6" s="321">
        <v>3</v>
      </c>
      <c r="M6" s="321"/>
      <c r="N6" s="165">
        <v>70</v>
      </c>
      <c r="O6" s="306" t="s">
        <v>25</v>
      </c>
      <c r="P6" s="307"/>
      <c r="Q6" s="307"/>
      <c r="R6" s="308"/>
      <c r="S6" s="324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Mini Project</v>
      </c>
      <c r="B7" s="29"/>
      <c r="C7" s="29"/>
      <c r="D7" s="29"/>
      <c r="E7" s="29"/>
      <c r="F7" s="12"/>
      <c r="G7" s="12"/>
      <c r="H7" s="12"/>
      <c r="I7" s="317"/>
      <c r="J7" s="317"/>
      <c r="K7" s="318"/>
      <c r="L7" s="321">
        <v>2</v>
      </c>
      <c r="M7" s="321"/>
      <c r="N7" s="166">
        <v>60</v>
      </c>
      <c r="O7" s="309"/>
      <c r="P7" s="310"/>
      <c r="Q7" s="310"/>
      <c r="R7" s="311"/>
      <c r="S7" s="325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29"/>
      <c r="C8" s="29"/>
      <c r="D8" s="29"/>
      <c r="E8" s="29"/>
      <c r="F8" s="12"/>
      <c r="G8" s="12"/>
      <c r="H8" s="12"/>
      <c r="I8" s="319"/>
      <c r="J8" s="319"/>
      <c r="K8" s="320"/>
      <c r="L8" s="321">
        <v>1</v>
      </c>
      <c r="M8" s="321"/>
      <c r="N8" s="167">
        <v>50</v>
      </c>
      <c r="O8" s="312"/>
      <c r="P8" s="313"/>
      <c r="Q8" s="313"/>
      <c r="R8" s="314"/>
      <c r="S8" s="326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327" t="s">
        <v>54</v>
      </c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9"/>
    </row>
    <row r="11" spans="1:27">
      <c r="A11" s="331" t="s">
        <v>105</v>
      </c>
      <c r="B11" s="334" t="s">
        <v>6</v>
      </c>
      <c r="C11" s="323" t="s">
        <v>1</v>
      </c>
      <c r="D11" s="323" t="s">
        <v>96</v>
      </c>
      <c r="E11" s="323"/>
      <c r="F11" s="323"/>
      <c r="G11" s="323"/>
      <c r="H11" s="323"/>
      <c r="I11" s="323" t="s">
        <v>100</v>
      </c>
      <c r="J11" s="323"/>
      <c r="K11" s="323"/>
      <c r="L11" s="323"/>
      <c r="M11" s="323"/>
      <c r="N11" s="323" t="s">
        <v>97</v>
      </c>
      <c r="O11" s="323"/>
      <c r="P11" s="323"/>
      <c r="Q11" s="323"/>
      <c r="R11" s="323"/>
      <c r="S11" s="323" t="s">
        <v>216</v>
      </c>
      <c r="T11" s="323"/>
      <c r="U11" s="323"/>
      <c r="V11" s="323"/>
      <c r="W11" s="323"/>
      <c r="X11" s="330" t="s">
        <v>11</v>
      </c>
    </row>
    <row r="12" spans="1:27">
      <c r="A12" s="332"/>
      <c r="B12" s="323"/>
      <c r="C12" s="323"/>
      <c r="D12" s="100" t="s">
        <v>2</v>
      </c>
      <c r="E12" s="100"/>
      <c r="F12" s="100"/>
      <c r="G12" s="100"/>
      <c r="H12" s="100"/>
      <c r="I12" s="100" t="s">
        <v>2</v>
      </c>
      <c r="J12" s="100"/>
      <c r="K12" s="100"/>
      <c r="L12" s="100"/>
      <c r="M12" s="100"/>
      <c r="N12" s="100" t="s">
        <v>2</v>
      </c>
      <c r="O12" s="100"/>
      <c r="P12" s="100"/>
      <c r="Q12" s="100"/>
      <c r="R12" s="100"/>
      <c r="S12" s="13" t="s">
        <v>2</v>
      </c>
      <c r="T12" s="13"/>
      <c r="U12" s="13"/>
      <c r="V12" s="13"/>
      <c r="W12" s="13"/>
      <c r="X12" s="330"/>
    </row>
    <row r="13" spans="1:27" ht="13.5" thickBot="1">
      <c r="A13" s="333"/>
      <c r="B13" s="335"/>
      <c r="C13" s="323"/>
      <c r="D13" s="159">
        <f>'CCE1'!D9+'CCE1'!E9</f>
        <v>50</v>
      </c>
      <c r="E13" s="159"/>
      <c r="F13" s="159"/>
      <c r="G13" s="159"/>
      <c r="H13" s="159"/>
      <c r="I13" s="159">
        <f>'CCE2'!D9+'CCE2'!E9</f>
        <v>25</v>
      </c>
      <c r="J13" s="159"/>
      <c r="K13" s="159"/>
      <c r="L13" s="159"/>
      <c r="M13" s="159"/>
      <c r="N13" s="159">
        <f>'CCE3'!D9+'CCE3'!E9</f>
        <v>0</v>
      </c>
      <c r="O13" s="159"/>
      <c r="P13" s="159"/>
      <c r="Q13" s="159"/>
      <c r="R13" s="159"/>
      <c r="S13" s="132">
        <f>D13+I13+N13</f>
        <v>75</v>
      </c>
      <c r="T13" s="132"/>
      <c r="U13" s="132"/>
      <c r="V13" s="132"/>
      <c r="W13" s="132"/>
      <c r="X13" s="132">
        <f>SUM(S13:W13)</f>
        <v>75</v>
      </c>
    </row>
    <row r="14" spans="1:27" ht="15.75">
      <c r="A14" s="159">
        <v>1</v>
      </c>
      <c r="B14" s="157">
        <v>22101</v>
      </c>
      <c r="C14" s="158" t="s">
        <v>107</v>
      </c>
      <c r="D14" s="164">
        <f>'CCE1'!D11+'CCE1'!E11</f>
        <v>47</v>
      </c>
      <c r="E14" s="164"/>
      <c r="F14" s="164"/>
      <c r="G14" s="164"/>
      <c r="H14" s="164"/>
      <c r="I14" s="164">
        <f>'CCE2'!D11+'CCE2'!E11</f>
        <v>22</v>
      </c>
      <c r="J14" s="164"/>
      <c r="K14" s="164"/>
      <c r="L14" s="164"/>
      <c r="M14" s="164"/>
      <c r="N14" s="164">
        <f>'CCE3'!D11+'CCE3'!E11</f>
        <v>0</v>
      </c>
      <c r="O14" s="164"/>
      <c r="P14" s="164"/>
      <c r="Q14" s="164"/>
      <c r="R14" s="164"/>
      <c r="S14" s="162">
        <f t="shared" ref="S14:S77" si="0">IFERROR(SUM(D14,I14,N14),"AB")</f>
        <v>69</v>
      </c>
      <c r="T14" s="162"/>
      <c r="U14" s="162"/>
      <c r="V14" s="162"/>
      <c r="W14" s="162"/>
      <c r="X14" s="162">
        <f t="shared" ref="X14:X77" si="1">IFERROR(SUM(S14:W14),"AB")</f>
        <v>69</v>
      </c>
    </row>
    <row r="15" spans="1:27" ht="15.75">
      <c r="A15" s="159">
        <v>2</v>
      </c>
      <c r="B15" s="157">
        <v>22102</v>
      </c>
      <c r="C15" s="158" t="s">
        <v>108</v>
      </c>
      <c r="D15" s="164">
        <f>'CCE1'!D12+'CCE1'!E12</f>
        <v>47</v>
      </c>
      <c r="E15" s="164"/>
      <c r="F15" s="164"/>
      <c r="G15" s="164"/>
      <c r="H15" s="164"/>
      <c r="I15" s="164">
        <f>'CCE2'!D12+'CCE2'!E12</f>
        <v>23</v>
      </c>
      <c r="J15" s="164"/>
      <c r="K15" s="164"/>
      <c r="L15" s="164"/>
      <c r="M15" s="164"/>
      <c r="N15" s="164">
        <f>'CCE3'!D12+'CCE3'!E12</f>
        <v>0</v>
      </c>
      <c r="O15" s="164"/>
      <c r="P15" s="164"/>
      <c r="Q15" s="164"/>
      <c r="R15" s="164"/>
      <c r="S15" s="162">
        <f t="shared" si="0"/>
        <v>70</v>
      </c>
      <c r="T15" s="162"/>
      <c r="U15" s="162"/>
      <c r="V15" s="162"/>
      <c r="W15" s="162"/>
      <c r="X15" s="162">
        <f t="shared" si="1"/>
        <v>70</v>
      </c>
    </row>
    <row r="16" spans="1:27" ht="15.75">
      <c r="A16" s="159">
        <v>3</v>
      </c>
      <c r="B16" s="157">
        <v>22103</v>
      </c>
      <c r="C16" s="158" t="s">
        <v>109</v>
      </c>
      <c r="D16" s="164">
        <f>'CCE1'!D13+'CCE1'!E13</f>
        <v>46</v>
      </c>
      <c r="E16" s="164"/>
      <c r="F16" s="164"/>
      <c r="G16" s="164"/>
      <c r="H16" s="164"/>
      <c r="I16" s="164">
        <f>'CCE2'!D13+'CCE2'!E13</f>
        <v>23</v>
      </c>
      <c r="J16" s="164"/>
      <c r="K16" s="164"/>
      <c r="L16" s="164"/>
      <c r="M16" s="164"/>
      <c r="N16" s="164">
        <f>'CCE3'!D13+'CCE3'!E13</f>
        <v>0</v>
      </c>
      <c r="O16" s="164"/>
      <c r="P16" s="164"/>
      <c r="Q16" s="164"/>
      <c r="R16" s="164"/>
      <c r="S16" s="162">
        <f t="shared" si="0"/>
        <v>69</v>
      </c>
      <c r="T16" s="162"/>
      <c r="U16" s="162"/>
      <c r="V16" s="162"/>
      <c r="W16" s="162"/>
      <c r="X16" s="162">
        <f t="shared" si="1"/>
        <v>69</v>
      </c>
    </row>
    <row r="17" spans="1:24" ht="15.75">
      <c r="A17" s="159">
        <v>4</v>
      </c>
      <c r="B17" s="157">
        <v>22104</v>
      </c>
      <c r="C17" s="158" t="s">
        <v>110</v>
      </c>
      <c r="D17" s="164">
        <f>'CCE1'!D14+'CCE1'!E14</f>
        <v>49</v>
      </c>
      <c r="E17" s="164"/>
      <c r="F17" s="164"/>
      <c r="G17" s="164"/>
      <c r="H17" s="164"/>
      <c r="I17" s="164">
        <f>'CCE2'!D14+'CCE2'!E14</f>
        <v>21</v>
      </c>
      <c r="J17" s="164"/>
      <c r="K17" s="164"/>
      <c r="L17" s="164"/>
      <c r="M17" s="164"/>
      <c r="N17" s="164">
        <f>'CCE3'!D14+'CCE3'!E14</f>
        <v>0</v>
      </c>
      <c r="O17" s="164"/>
      <c r="P17" s="164"/>
      <c r="Q17" s="164"/>
      <c r="R17" s="164"/>
      <c r="S17" s="162">
        <f t="shared" si="0"/>
        <v>70</v>
      </c>
      <c r="T17" s="162"/>
      <c r="U17" s="162"/>
      <c r="V17" s="162"/>
      <c r="W17" s="162"/>
      <c r="X17" s="162">
        <f t="shared" si="1"/>
        <v>70</v>
      </c>
    </row>
    <row r="18" spans="1:24" ht="15.75">
      <c r="A18" s="159">
        <v>5</v>
      </c>
      <c r="B18" s="157">
        <v>22105</v>
      </c>
      <c r="C18" s="158" t="s">
        <v>111</v>
      </c>
      <c r="D18" s="164">
        <f>'CCE1'!D15+'CCE1'!E15</f>
        <v>44</v>
      </c>
      <c r="E18" s="164"/>
      <c r="F18" s="164"/>
      <c r="G18" s="164"/>
      <c r="H18" s="164"/>
      <c r="I18" s="164">
        <f>'CCE2'!D15+'CCE2'!E15</f>
        <v>21</v>
      </c>
      <c r="J18" s="164"/>
      <c r="K18" s="164"/>
      <c r="L18" s="164"/>
      <c r="M18" s="164"/>
      <c r="N18" s="164">
        <f>'CCE3'!D15+'CCE3'!E15</f>
        <v>0</v>
      </c>
      <c r="O18" s="164"/>
      <c r="P18" s="164"/>
      <c r="Q18" s="164"/>
      <c r="R18" s="164"/>
      <c r="S18" s="162">
        <f t="shared" si="0"/>
        <v>65</v>
      </c>
      <c r="T18" s="162"/>
      <c r="U18" s="162"/>
      <c r="V18" s="162"/>
      <c r="W18" s="162"/>
      <c r="X18" s="162">
        <f t="shared" si="1"/>
        <v>65</v>
      </c>
    </row>
    <row r="19" spans="1:24" ht="15.75">
      <c r="A19" s="159">
        <v>6</v>
      </c>
      <c r="B19" s="157">
        <v>22106</v>
      </c>
      <c r="C19" s="158" t="s">
        <v>112</v>
      </c>
      <c r="D19" s="164">
        <f>'CCE1'!D16+'CCE1'!E16</f>
        <v>49</v>
      </c>
      <c r="E19" s="164"/>
      <c r="F19" s="164"/>
      <c r="G19" s="164"/>
      <c r="H19" s="164"/>
      <c r="I19" s="164">
        <f>'CCE2'!D16+'CCE2'!E16</f>
        <v>20</v>
      </c>
      <c r="J19" s="164"/>
      <c r="K19" s="164"/>
      <c r="L19" s="164"/>
      <c r="M19" s="164"/>
      <c r="N19" s="164">
        <f>'CCE3'!D16+'CCE3'!E16</f>
        <v>0</v>
      </c>
      <c r="O19" s="164"/>
      <c r="P19" s="164"/>
      <c r="Q19" s="164"/>
      <c r="R19" s="164"/>
      <c r="S19" s="162">
        <f t="shared" si="0"/>
        <v>69</v>
      </c>
      <c r="T19" s="162"/>
      <c r="U19" s="162"/>
      <c r="V19" s="162"/>
      <c r="W19" s="162"/>
      <c r="X19" s="162">
        <f t="shared" si="1"/>
        <v>69</v>
      </c>
    </row>
    <row r="20" spans="1:24" ht="15.75">
      <c r="A20" s="159">
        <v>7</v>
      </c>
      <c r="B20" s="157">
        <v>22107</v>
      </c>
      <c r="C20" s="158" t="s">
        <v>113</v>
      </c>
      <c r="D20" s="164">
        <f>'CCE1'!D17+'CCE1'!E17</f>
        <v>50</v>
      </c>
      <c r="E20" s="164"/>
      <c r="F20" s="164"/>
      <c r="G20" s="164"/>
      <c r="H20" s="164"/>
      <c r="I20" s="164">
        <f>'CCE2'!D17+'CCE2'!E17</f>
        <v>23</v>
      </c>
      <c r="J20" s="164"/>
      <c r="K20" s="164"/>
      <c r="L20" s="164"/>
      <c r="M20" s="164"/>
      <c r="N20" s="164">
        <f>'CCE3'!D17+'CCE3'!E17</f>
        <v>0</v>
      </c>
      <c r="O20" s="164"/>
      <c r="P20" s="164"/>
      <c r="Q20" s="164"/>
      <c r="R20" s="164"/>
      <c r="S20" s="162">
        <f t="shared" si="0"/>
        <v>73</v>
      </c>
      <c r="T20" s="162"/>
      <c r="U20" s="162"/>
      <c r="V20" s="162"/>
      <c r="W20" s="162"/>
      <c r="X20" s="162">
        <f t="shared" si="1"/>
        <v>73</v>
      </c>
    </row>
    <row r="21" spans="1:24" ht="15.75">
      <c r="A21" s="159">
        <v>8</v>
      </c>
      <c r="B21" s="157">
        <v>22108</v>
      </c>
      <c r="C21" s="158" t="s">
        <v>114</v>
      </c>
      <c r="D21" s="164">
        <f>'CCE1'!D18+'CCE1'!E18</f>
        <v>48</v>
      </c>
      <c r="E21" s="164"/>
      <c r="F21" s="164"/>
      <c r="G21" s="164"/>
      <c r="H21" s="164"/>
      <c r="I21" s="164">
        <f>'CCE2'!D18+'CCE2'!E18</f>
        <v>19</v>
      </c>
      <c r="J21" s="164"/>
      <c r="K21" s="164"/>
      <c r="L21" s="164"/>
      <c r="M21" s="164"/>
      <c r="N21" s="164">
        <f>'CCE3'!D18+'CCE3'!E18</f>
        <v>0</v>
      </c>
      <c r="O21" s="164"/>
      <c r="P21" s="164"/>
      <c r="Q21" s="164"/>
      <c r="R21" s="164"/>
      <c r="S21" s="162">
        <f t="shared" si="0"/>
        <v>67</v>
      </c>
      <c r="T21" s="162"/>
      <c r="U21" s="162"/>
      <c r="V21" s="162"/>
      <c r="W21" s="162"/>
      <c r="X21" s="162">
        <f t="shared" si="1"/>
        <v>67</v>
      </c>
    </row>
    <row r="22" spans="1:24" ht="15.75">
      <c r="A22" s="159">
        <v>9</v>
      </c>
      <c r="B22" s="157">
        <v>22109</v>
      </c>
      <c r="C22" s="158" t="s">
        <v>115</v>
      </c>
      <c r="D22" s="164">
        <f>'CCE1'!D19+'CCE1'!E19</f>
        <v>49</v>
      </c>
      <c r="E22" s="164"/>
      <c r="F22" s="164"/>
      <c r="G22" s="164"/>
      <c r="H22" s="164"/>
      <c r="I22" s="164">
        <f>'CCE2'!D19+'CCE2'!E19</f>
        <v>21</v>
      </c>
      <c r="J22" s="164"/>
      <c r="K22" s="164"/>
      <c r="L22" s="164"/>
      <c r="M22" s="164"/>
      <c r="N22" s="164">
        <f>'CCE3'!D19+'CCE3'!E19</f>
        <v>0</v>
      </c>
      <c r="O22" s="164"/>
      <c r="P22" s="164"/>
      <c r="Q22" s="164"/>
      <c r="R22" s="164"/>
      <c r="S22" s="162">
        <f t="shared" si="0"/>
        <v>70</v>
      </c>
      <c r="T22" s="162"/>
      <c r="U22" s="162"/>
      <c r="V22" s="162"/>
      <c r="W22" s="162"/>
      <c r="X22" s="162">
        <f t="shared" si="1"/>
        <v>70</v>
      </c>
    </row>
    <row r="23" spans="1:24" ht="15.75">
      <c r="A23" s="159">
        <v>10</v>
      </c>
      <c r="B23" s="157">
        <v>22110</v>
      </c>
      <c r="C23" s="158" t="s">
        <v>116</v>
      </c>
      <c r="D23" s="164">
        <f>'CCE1'!D20+'CCE1'!E20</f>
        <v>47</v>
      </c>
      <c r="E23" s="164"/>
      <c r="F23" s="164"/>
      <c r="G23" s="164"/>
      <c r="H23" s="164"/>
      <c r="I23" s="164">
        <f>'CCE2'!D20+'CCE2'!E20</f>
        <v>22</v>
      </c>
      <c r="J23" s="164"/>
      <c r="K23" s="164"/>
      <c r="L23" s="164"/>
      <c r="M23" s="164"/>
      <c r="N23" s="164">
        <f>'CCE3'!D20+'CCE3'!E20</f>
        <v>0</v>
      </c>
      <c r="O23" s="164"/>
      <c r="P23" s="164"/>
      <c r="Q23" s="164"/>
      <c r="R23" s="164"/>
      <c r="S23" s="162">
        <f t="shared" si="0"/>
        <v>69</v>
      </c>
      <c r="T23" s="162"/>
      <c r="U23" s="162"/>
      <c r="V23" s="162"/>
      <c r="W23" s="162"/>
      <c r="X23" s="162">
        <f t="shared" si="1"/>
        <v>69</v>
      </c>
    </row>
    <row r="24" spans="1:24" ht="15.75">
      <c r="A24" s="159">
        <v>11</v>
      </c>
      <c r="B24" s="157">
        <v>22111</v>
      </c>
      <c r="C24" s="158" t="s">
        <v>117</v>
      </c>
      <c r="D24" s="164">
        <f>'CCE1'!D21+'CCE1'!E21</f>
        <v>47</v>
      </c>
      <c r="E24" s="164"/>
      <c r="F24" s="164"/>
      <c r="G24" s="164"/>
      <c r="H24" s="164"/>
      <c r="I24" s="164">
        <f>'CCE2'!D21+'CCE2'!E21</f>
        <v>17</v>
      </c>
      <c r="J24" s="164"/>
      <c r="K24" s="164"/>
      <c r="L24" s="164"/>
      <c r="M24" s="164"/>
      <c r="N24" s="164">
        <f>'CCE3'!D21+'CCE3'!E21</f>
        <v>0</v>
      </c>
      <c r="O24" s="164"/>
      <c r="P24" s="164"/>
      <c r="Q24" s="164"/>
      <c r="R24" s="164"/>
      <c r="S24" s="162">
        <f t="shared" si="0"/>
        <v>64</v>
      </c>
      <c r="T24" s="162"/>
      <c r="U24" s="162"/>
      <c r="V24" s="162"/>
      <c r="W24" s="162"/>
      <c r="X24" s="162">
        <f t="shared" si="1"/>
        <v>64</v>
      </c>
    </row>
    <row r="25" spans="1:24" ht="15.75">
      <c r="A25" s="159">
        <v>12</v>
      </c>
      <c r="B25" s="157">
        <v>22112</v>
      </c>
      <c r="C25" s="158" t="s">
        <v>118</v>
      </c>
      <c r="D25" s="164">
        <f>'CCE1'!D22+'CCE1'!E22</f>
        <v>47</v>
      </c>
      <c r="E25" s="164"/>
      <c r="F25" s="164"/>
      <c r="G25" s="164"/>
      <c r="H25" s="164"/>
      <c r="I25" s="164">
        <f>'CCE2'!D22+'CCE2'!E22</f>
        <v>18</v>
      </c>
      <c r="J25" s="164"/>
      <c r="K25" s="164"/>
      <c r="L25" s="164"/>
      <c r="M25" s="164"/>
      <c r="N25" s="164">
        <f>'CCE3'!D22+'CCE3'!E22</f>
        <v>0</v>
      </c>
      <c r="O25" s="164"/>
      <c r="P25" s="164"/>
      <c r="Q25" s="164"/>
      <c r="R25" s="164"/>
      <c r="S25" s="162">
        <f t="shared" si="0"/>
        <v>65</v>
      </c>
      <c r="T25" s="162"/>
      <c r="U25" s="162"/>
      <c r="V25" s="162"/>
      <c r="W25" s="162"/>
      <c r="X25" s="162">
        <f t="shared" si="1"/>
        <v>65</v>
      </c>
    </row>
    <row r="26" spans="1:24" ht="15.75">
      <c r="A26" s="159">
        <v>13</v>
      </c>
      <c r="B26" s="157">
        <v>22113</v>
      </c>
      <c r="C26" s="158" t="s">
        <v>119</v>
      </c>
      <c r="D26" s="164">
        <f>'CCE1'!D23+'CCE1'!E23</f>
        <v>47</v>
      </c>
      <c r="E26" s="164"/>
      <c r="F26" s="164"/>
      <c r="G26" s="164"/>
      <c r="H26" s="164"/>
      <c r="I26" s="164">
        <f>'CCE2'!D23+'CCE2'!E23</f>
        <v>22</v>
      </c>
      <c r="J26" s="164"/>
      <c r="K26" s="164"/>
      <c r="L26" s="164"/>
      <c r="M26" s="164"/>
      <c r="N26" s="164">
        <f>'CCE3'!D23+'CCE3'!E23</f>
        <v>0</v>
      </c>
      <c r="O26" s="164"/>
      <c r="P26" s="164"/>
      <c r="Q26" s="164"/>
      <c r="R26" s="164"/>
      <c r="S26" s="162">
        <f t="shared" si="0"/>
        <v>69</v>
      </c>
      <c r="T26" s="162"/>
      <c r="U26" s="162"/>
      <c r="V26" s="162"/>
      <c r="W26" s="162"/>
      <c r="X26" s="162">
        <f t="shared" si="1"/>
        <v>69</v>
      </c>
    </row>
    <row r="27" spans="1:24" ht="15.75">
      <c r="A27" s="159">
        <v>14</v>
      </c>
      <c r="B27" s="157">
        <v>22114</v>
      </c>
      <c r="C27" s="158" t="s">
        <v>120</v>
      </c>
      <c r="D27" s="164">
        <f>'CCE1'!D24+'CCE1'!E24</f>
        <v>49</v>
      </c>
      <c r="E27" s="164"/>
      <c r="F27" s="164"/>
      <c r="G27" s="164"/>
      <c r="H27" s="164"/>
      <c r="I27" s="164">
        <f>'CCE2'!D24+'CCE2'!E24</f>
        <v>19</v>
      </c>
      <c r="J27" s="164"/>
      <c r="K27" s="164"/>
      <c r="L27" s="164"/>
      <c r="M27" s="164"/>
      <c r="N27" s="164">
        <f>'CCE3'!D24+'CCE3'!E24</f>
        <v>0</v>
      </c>
      <c r="O27" s="164"/>
      <c r="P27" s="164"/>
      <c r="Q27" s="164"/>
      <c r="R27" s="164"/>
      <c r="S27" s="162">
        <f t="shared" si="0"/>
        <v>68</v>
      </c>
      <c r="T27" s="162"/>
      <c r="U27" s="162"/>
      <c r="V27" s="162"/>
      <c r="W27" s="162"/>
      <c r="X27" s="162">
        <f t="shared" si="1"/>
        <v>68</v>
      </c>
    </row>
    <row r="28" spans="1:24" ht="15.75">
      <c r="A28" s="159">
        <v>15</v>
      </c>
      <c r="B28" s="157">
        <v>22115</v>
      </c>
      <c r="C28" s="158" t="s">
        <v>121</v>
      </c>
      <c r="D28" s="164">
        <f>'CCE1'!D25+'CCE1'!E25</f>
        <v>50</v>
      </c>
      <c r="E28" s="164"/>
      <c r="F28" s="164"/>
      <c r="G28" s="164"/>
      <c r="H28" s="164"/>
      <c r="I28" s="164">
        <f>'CCE2'!D25+'CCE2'!E25</f>
        <v>20</v>
      </c>
      <c r="J28" s="164"/>
      <c r="K28" s="164"/>
      <c r="L28" s="164"/>
      <c r="M28" s="164"/>
      <c r="N28" s="164">
        <f>'CCE3'!D25+'CCE3'!E25</f>
        <v>0</v>
      </c>
      <c r="O28" s="164"/>
      <c r="P28" s="164"/>
      <c r="Q28" s="164"/>
      <c r="R28" s="164"/>
      <c r="S28" s="162">
        <f t="shared" si="0"/>
        <v>70</v>
      </c>
      <c r="T28" s="162"/>
      <c r="U28" s="162"/>
      <c r="V28" s="162"/>
      <c r="W28" s="162"/>
      <c r="X28" s="162">
        <f t="shared" si="1"/>
        <v>70</v>
      </c>
    </row>
    <row r="29" spans="1:24" s="160" customFormat="1" ht="15.75">
      <c r="A29" s="159">
        <v>16</v>
      </c>
      <c r="B29" s="157">
        <v>22116</v>
      </c>
      <c r="C29" s="158" t="s">
        <v>122</v>
      </c>
      <c r="D29" s="164">
        <f>'CCE1'!D26+'CCE1'!E26</f>
        <v>49</v>
      </c>
      <c r="E29" s="164"/>
      <c r="F29" s="164"/>
      <c r="G29" s="163"/>
      <c r="H29" s="163"/>
      <c r="I29" s="164">
        <f>'CCE2'!D26+'CCE2'!E26</f>
        <v>21</v>
      </c>
      <c r="J29" s="164"/>
      <c r="K29" s="163"/>
      <c r="L29" s="163"/>
      <c r="M29" s="163"/>
      <c r="N29" s="164">
        <f>'CCE3'!D26+'CCE3'!E26</f>
        <v>0</v>
      </c>
      <c r="O29" s="164"/>
      <c r="P29" s="164"/>
      <c r="Q29" s="164"/>
      <c r="R29" s="164"/>
      <c r="S29" s="162">
        <f t="shared" si="0"/>
        <v>70</v>
      </c>
      <c r="T29" s="162"/>
      <c r="U29" s="162"/>
      <c r="V29" s="162"/>
      <c r="W29" s="162"/>
      <c r="X29" s="162">
        <f t="shared" si="1"/>
        <v>70</v>
      </c>
    </row>
    <row r="30" spans="1:24" s="160" customFormat="1" ht="15.75">
      <c r="A30" s="159">
        <v>17</v>
      </c>
      <c r="B30" s="157">
        <v>22117</v>
      </c>
      <c r="C30" s="158" t="s">
        <v>123</v>
      </c>
      <c r="D30" s="164">
        <f>'CCE1'!D27+'CCE1'!E27</f>
        <v>45</v>
      </c>
      <c r="E30" s="164"/>
      <c r="F30" s="164"/>
      <c r="G30" s="163"/>
      <c r="H30" s="163"/>
      <c r="I30" s="164">
        <f>'CCE2'!D27+'CCE2'!E27</f>
        <v>19</v>
      </c>
      <c r="J30" s="164"/>
      <c r="K30" s="163"/>
      <c r="L30" s="163"/>
      <c r="M30" s="163"/>
      <c r="N30" s="164">
        <f>'CCE3'!D27+'CCE3'!E27</f>
        <v>0</v>
      </c>
      <c r="O30" s="164"/>
      <c r="P30" s="164"/>
      <c r="Q30" s="164"/>
      <c r="R30" s="164"/>
      <c r="S30" s="162">
        <f t="shared" si="0"/>
        <v>64</v>
      </c>
      <c r="T30" s="162"/>
      <c r="U30" s="162"/>
      <c r="V30" s="162"/>
      <c r="W30" s="162"/>
      <c r="X30" s="162">
        <f t="shared" si="1"/>
        <v>64</v>
      </c>
    </row>
    <row r="31" spans="1:24" s="160" customFormat="1" ht="15.75">
      <c r="A31" s="159">
        <v>18</v>
      </c>
      <c r="B31" s="157">
        <v>22118</v>
      </c>
      <c r="C31" s="158" t="s">
        <v>124</v>
      </c>
      <c r="D31" s="164">
        <f>'CCE1'!D28+'CCE1'!E28</f>
        <v>52</v>
      </c>
      <c r="E31" s="164"/>
      <c r="F31" s="164"/>
      <c r="G31" s="163"/>
      <c r="H31" s="163"/>
      <c r="I31" s="164">
        <f>'CCE2'!D28+'CCE2'!E28</f>
        <v>20</v>
      </c>
      <c r="J31" s="164"/>
      <c r="K31" s="163"/>
      <c r="L31" s="163"/>
      <c r="M31" s="163"/>
      <c r="N31" s="164">
        <f>'CCE3'!D28+'CCE3'!E28</f>
        <v>0</v>
      </c>
      <c r="O31" s="164"/>
      <c r="P31" s="164"/>
      <c r="Q31" s="164"/>
      <c r="R31" s="164"/>
      <c r="S31" s="162">
        <f t="shared" si="0"/>
        <v>72</v>
      </c>
      <c r="T31" s="162"/>
      <c r="U31" s="162"/>
      <c r="V31" s="162"/>
      <c r="W31" s="162"/>
      <c r="X31" s="162">
        <f t="shared" si="1"/>
        <v>72</v>
      </c>
    </row>
    <row r="32" spans="1:24" s="160" customFormat="1" ht="15.75">
      <c r="A32" s="159">
        <v>19</v>
      </c>
      <c r="B32" s="157">
        <v>22119</v>
      </c>
      <c r="C32" s="158" t="s">
        <v>125</v>
      </c>
      <c r="D32" s="164">
        <f>'CCE1'!D29+'CCE1'!E29</f>
        <v>48</v>
      </c>
      <c r="E32" s="164"/>
      <c r="F32" s="164"/>
      <c r="G32" s="163"/>
      <c r="H32" s="163"/>
      <c r="I32" s="164">
        <f>'CCE2'!D29+'CCE2'!E29</f>
        <v>14</v>
      </c>
      <c r="J32" s="164"/>
      <c r="K32" s="163"/>
      <c r="L32" s="163"/>
      <c r="M32" s="163"/>
      <c r="N32" s="164">
        <f>'CCE3'!D29+'CCE3'!E29</f>
        <v>0</v>
      </c>
      <c r="O32" s="164"/>
      <c r="P32" s="164"/>
      <c r="Q32" s="164"/>
      <c r="R32" s="164"/>
      <c r="S32" s="162">
        <f t="shared" si="0"/>
        <v>62</v>
      </c>
      <c r="T32" s="162"/>
      <c r="U32" s="162"/>
      <c r="V32" s="162"/>
      <c r="W32" s="162"/>
      <c r="X32" s="162">
        <f t="shared" si="1"/>
        <v>62</v>
      </c>
    </row>
    <row r="33" spans="1:24" s="160" customFormat="1" ht="15.75">
      <c r="A33" s="159">
        <v>20</v>
      </c>
      <c r="B33" s="157">
        <v>22120</v>
      </c>
      <c r="C33" s="158" t="s">
        <v>126</v>
      </c>
      <c r="D33" s="164">
        <f>'CCE1'!D30+'CCE1'!E30</f>
        <v>46</v>
      </c>
      <c r="E33" s="164"/>
      <c r="F33" s="164"/>
      <c r="G33" s="163"/>
      <c r="H33" s="163"/>
      <c r="I33" s="164">
        <f>'CCE2'!D30+'CCE2'!E30</f>
        <v>22</v>
      </c>
      <c r="J33" s="164"/>
      <c r="K33" s="163"/>
      <c r="L33" s="163"/>
      <c r="M33" s="163"/>
      <c r="N33" s="164">
        <f>'CCE3'!D30+'CCE3'!E30</f>
        <v>0</v>
      </c>
      <c r="O33" s="164"/>
      <c r="P33" s="164"/>
      <c r="Q33" s="164"/>
      <c r="R33" s="164"/>
      <c r="S33" s="162">
        <f t="shared" si="0"/>
        <v>68</v>
      </c>
      <c r="T33" s="162"/>
      <c r="U33" s="162"/>
      <c r="V33" s="162"/>
      <c r="W33" s="162"/>
      <c r="X33" s="162">
        <f t="shared" si="1"/>
        <v>68</v>
      </c>
    </row>
    <row r="34" spans="1:24" s="160" customFormat="1" ht="15.75">
      <c r="A34" s="159">
        <v>21</v>
      </c>
      <c r="B34" s="157">
        <v>22121</v>
      </c>
      <c r="C34" s="158" t="s">
        <v>127</v>
      </c>
      <c r="D34" s="164">
        <f>'CCE1'!D31+'CCE1'!E31</f>
        <v>48</v>
      </c>
      <c r="E34" s="164"/>
      <c r="F34" s="164"/>
      <c r="G34" s="163"/>
      <c r="H34" s="163"/>
      <c r="I34" s="164">
        <f>'CCE2'!D31+'CCE2'!E31</f>
        <v>23</v>
      </c>
      <c r="J34" s="164"/>
      <c r="K34" s="163"/>
      <c r="L34" s="163"/>
      <c r="M34" s="163"/>
      <c r="N34" s="164">
        <f>'CCE3'!D31+'CCE3'!E31</f>
        <v>0</v>
      </c>
      <c r="O34" s="164"/>
      <c r="P34" s="164"/>
      <c r="Q34" s="164"/>
      <c r="R34" s="164"/>
      <c r="S34" s="162">
        <f t="shared" si="0"/>
        <v>71</v>
      </c>
      <c r="T34" s="162"/>
      <c r="U34" s="162"/>
      <c r="V34" s="162"/>
      <c r="W34" s="162"/>
      <c r="X34" s="162">
        <f t="shared" si="1"/>
        <v>71</v>
      </c>
    </row>
    <row r="35" spans="1:24" s="160" customFormat="1" ht="15.75">
      <c r="A35" s="159">
        <v>22</v>
      </c>
      <c r="B35" s="157">
        <v>22122</v>
      </c>
      <c r="C35" s="158" t="s">
        <v>128</v>
      </c>
      <c r="D35" s="164">
        <f>'CCE1'!D32+'CCE1'!E32</f>
        <v>43</v>
      </c>
      <c r="E35" s="164"/>
      <c r="F35" s="164"/>
      <c r="G35" s="163"/>
      <c r="H35" s="163"/>
      <c r="I35" s="164">
        <f>'CCE2'!D32+'CCE2'!E32</f>
        <v>21</v>
      </c>
      <c r="J35" s="164"/>
      <c r="K35" s="163"/>
      <c r="L35" s="163"/>
      <c r="M35" s="163"/>
      <c r="N35" s="164">
        <f>'CCE3'!D32+'CCE3'!E32</f>
        <v>0</v>
      </c>
      <c r="O35" s="164"/>
      <c r="P35" s="164"/>
      <c r="Q35" s="164"/>
      <c r="R35" s="164"/>
      <c r="S35" s="162">
        <f t="shared" si="0"/>
        <v>64</v>
      </c>
      <c r="T35" s="162"/>
      <c r="U35" s="162"/>
      <c r="V35" s="162"/>
      <c r="W35" s="162"/>
      <c r="X35" s="162">
        <f t="shared" si="1"/>
        <v>64</v>
      </c>
    </row>
    <row r="36" spans="1:24" s="160" customFormat="1" ht="15.75">
      <c r="A36" s="159">
        <v>23</v>
      </c>
      <c r="B36" s="157">
        <v>22123</v>
      </c>
      <c r="C36" s="158" t="s">
        <v>129</v>
      </c>
      <c r="D36" s="164">
        <f>'CCE1'!D33+'CCE1'!E33</f>
        <v>49</v>
      </c>
      <c r="E36" s="164"/>
      <c r="F36" s="164"/>
      <c r="G36" s="163"/>
      <c r="H36" s="163"/>
      <c r="I36" s="164">
        <f>'CCE2'!D33+'CCE2'!E33</f>
        <v>15</v>
      </c>
      <c r="J36" s="164"/>
      <c r="K36" s="163"/>
      <c r="L36" s="163"/>
      <c r="M36" s="163"/>
      <c r="N36" s="164">
        <f>'CCE3'!D33+'CCE3'!E33</f>
        <v>0</v>
      </c>
      <c r="O36" s="164"/>
      <c r="P36" s="164"/>
      <c r="Q36" s="164"/>
      <c r="R36" s="164"/>
      <c r="S36" s="162">
        <f t="shared" si="0"/>
        <v>64</v>
      </c>
      <c r="T36" s="162"/>
      <c r="U36" s="162"/>
      <c r="V36" s="162"/>
      <c r="W36" s="162"/>
      <c r="X36" s="162">
        <f t="shared" si="1"/>
        <v>64</v>
      </c>
    </row>
    <row r="37" spans="1:24" s="160" customFormat="1" ht="15.75">
      <c r="A37" s="159">
        <v>24</v>
      </c>
      <c r="B37" s="157">
        <v>22124</v>
      </c>
      <c r="C37" s="158" t="s">
        <v>130</v>
      </c>
      <c r="D37" s="164">
        <f>'CCE1'!D34+'CCE1'!E34</f>
        <v>48</v>
      </c>
      <c r="E37" s="164"/>
      <c r="F37" s="164"/>
      <c r="G37" s="163"/>
      <c r="H37" s="163"/>
      <c r="I37" s="164">
        <f>'CCE2'!D34+'CCE2'!E34</f>
        <v>22</v>
      </c>
      <c r="J37" s="164"/>
      <c r="K37" s="163"/>
      <c r="L37" s="163"/>
      <c r="M37" s="163"/>
      <c r="N37" s="164">
        <f>'CCE3'!D34+'CCE3'!E34</f>
        <v>0</v>
      </c>
      <c r="O37" s="164"/>
      <c r="P37" s="164"/>
      <c r="Q37" s="164"/>
      <c r="R37" s="164"/>
      <c r="S37" s="162">
        <f t="shared" si="0"/>
        <v>70</v>
      </c>
      <c r="T37" s="162"/>
      <c r="U37" s="162"/>
      <c r="V37" s="162"/>
      <c r="W37" s="162"/>
      <c r="X37" s="162">
        <f t="shared" si="1"/>
        <v>70</v>
      </c>
    </row>
    <row r="38" spans="1:24" s="160" customFormat="1" ht="15.75">
      <c r="A38" s="159">
        <v>25</v>
      </c>
      <c r="B38" s="157">
        <v>22125</v>
      </c>
      <c r="C38" s="158" t="s">
        <v>131</v>
      </c>
      <c r="D38" s="164">
        <f>'CCE1'!D35+'CCE1'!E35</f>
        <v>48</v>
      </c>
      <c r="E38" s="164"/>
      <c r="F38" s="164"/>
      <c r="G38" s="163"/>
      <c r="H38" s="163"/>
      <c r="I38" s="164">
        <f>'CCE2'!D35+'CCE2'!E35</f>
        <v>21</v>
      </c>
      <c r="J38" s="164"/>
      <c r="K38" s="163"/>
      <c r="L38" s="163"/>
      <c r="M38" s="163"/>
      <c r="N38" s="164">
        <f>'CCE3'!D35+'CCE3'!E35</f>
        <v>0</v>
      </c>
      <c r="O38" s="164"/>
      <c r="P38" s="164"/>
      <c r="Q38" s="164"/>
      <c r="R38" s="164"/>
      <c r="S38" s="162">
        <f t="shared" si="0"/>
        <v>69</v>
      </c>
      <c r="T38" s="162"/>
      <c r="U38" s="162"/>
      <c r="V38" s="162"/>
      <c r="W38" s="162"/>
      <c r="X38" s="162">
        <f t="shared" si="1"/>
        <v>69</v>
      </c>
    </row>
    <row r="39" spans="1:24" s="160" customFormat="1" ht="15.75">
      <c r="A39" s="159">
        <v>26</v>
      </c>
      <c r="B39" s="157">
        <v>22126</v>
      </c>
      <c r="C39" s="158" t="s">
        <v>132</v>
      </c>
      <c r="D39" s="164">
        <f>'CCE1'!D36+'CCE1'!E36</f>
        <v>47</v>
      </c>
      <c r="E39" s="164"/>
      <c r="F39" s="164"/>
      <c r="G39" s="163"/>
      <c r="H39" s="163"/>
      <c r="I39" s="164">
        <f>'CCE2'!D36+'CCE2'!E36</f>
        <v>22</v>
      </c>
      <c r="J39" s="164"/>
      <c r="K39" s="163"/>
      <c r="L39" s="163"/>
      <c r="M39" s="163"/>
      <c r="N39" s="164">
        <f>'CCE3'!D36+'CCE3'!E36</f>
        <v>0</v>
      </c>
      <c r="O39" s="164"/>
      <c r="P39" s="164"/>
      <c r="Q39" s="164"/>
      <c r="R39" s="164"/>
      <c r="S39" s="162">
        <f t="shared" si="0"/>
        <v>69</v>
      </c>
      <c r="T39" s="162"/>
      <c r="U39" s="162"/>
      <c r="V39" s="162"/>
      <c r="W39" s="162"/>
      <c r="X39" s="162">
        <f t="shared" si="1"/>
        <v>69</v>
      </c>
    </row>
    <row r="40" spans="1:24" s="160" customFormat="1" ht="15.75">
      <c r="A40" s="159">
        <v>27</v>
      </c>
      <c r="B40" s="157">
        <v>22127</v>
      </c>
      <c r="C40" s="158" t="s">
        <v>133</v>
      </c>
      <c r="D40" s="164">
        <f>'CCE1'!D37+'CCE1'!E37</f>
        <v>47</v>
      </c>
      <c r="E40" s="164"/>
      <c r="F40" s="164"/>
      <c r="G40" s="163"/>
      <c r="H40" s="163"/>
      <c r="I40" s="164">
        <f>'CCE2'!D37+'CCE2'!E37</f>
        <v>23</v>
      </c>
      <c r="J40" s="164"/>
      <c r="K40" s="163"/>
      <c r="L40" s="163"/>
      <c r="M40" s="163"/>
      <c r="N40" s="164">
        <f>'CCE3'!D37+'CCE3'!E37</f>
        <v>0</v>
      </c>
      <c r="O40" s="164"/>
      <c r="P40" s="164"/>
      <c r="Q40" s="164"/>
      <c r="R40" s="164"/>
      <c r="S40" s="162">
        <f t="shared" si="0"/>
        <v>70</v>
      </c>
      <c r="T40" s="162"/>
      <c r="U40" s="162"/>
      <c r="V40" s="162"/>
      <c r="W40" s="162"/>
      <c r="X40" s="162">
        <f t="shared" si="1"/>
        <v>70</v>
      </c>
    </row>
    <row r="41" spans="1:24" s="160" customFormat="1" ht="15.75">
      <c r="A41" s="159">
        <v>28</v>
      </c>
      <c r="B41" s="157">
        <v>22128</v>
      </c>
      <c r="C41" s="158" t="s">
        <v>134</v>
      </c>
      <c r="D41" s="164">
        <f>'CCE1'!D38+'CCE1'!E38</f>
        <v>47</v>
      </c>
      <c r="E41" s="164"/>
      <c r="F41" s="164"/>
      <c r="G41" s="163"/>
      <c r="H41" s="163"/>
      <c r="I41" s="164">
        <f>'CCE2'!D38+'CCE2'!E38</f>
        <v>21</v>
      </c>
      <c r="J41" s="164"/>
      <c r="K41" s="163"/>
      <c r="L41" s="163"/>
      <c r="M41" s="163"/>
      <c r="N41" s="164">
        <f>'CCE3'!D38+'CCE3'!E38</f>
        <v>0</v>
      </c>
      <c r="O41" s="164"/>
      <c r="P41" s="164"/>
      <c r="Q41" s="164"/>
      <c r="R41" s="164"/>
      <c r="S41" s="162">
        <f t="shared" si="0"/>
        <v>68</v>
      </c>
      <c r="T41" s="162"/>
      <c r="U41" s="162"/>
      <c r="V41" s="162"/>
      <c r="W41" s="162"/>
      <c r="X41" s="162">
        <f t="shared" si="1"/>
        <v>68</v>
      </c>
    </row>
    <row r="42" spans="1:24" s="160" customFormat="1" ht="15.75">
      <c r="A42" s="159">
        <v>29</v>
      </c>
      <c r="B42" s="157">
        <v>22129</v>
      </c>
      <c r="C42" s="158" t="s">
        <v>135</v>
      </c>
      <c r="D42" s="164">
        <f>'CCE1'!D39+'CCE1'!E39</f>
        <v>49</v>
      </c>
      <c r="E42" s="164"/>
      <c r="F42" s="164"/>
      <c r="G42" s="163"/>
      <c r="H42" s="163"/>
      <c r="I42" s="164">
        <f>'CCE2'!D39+'CCE2'!E39</f>
        <v>20</v>
      </c>
      <c r="J42" s="164"/>
      <c r="K42" s="163"/>
      <c r="L42" s="163"/>
      <c r="M42" s="163"/>
      <c r="N42" s="164">
        <f>'CCE3'!D39+'CCE3'!E39</f>
        <v>0</v>
      </c>
      <c r="O42" s="164"/>
      <c r="P42" s="164"/>
      <c r="Q42" s="164"/>
      <c r="R42" s="164"/>
      <c r="S42" s="162">
        <f t="shared" si="0"/>
        <v>69</v>
      </c>
      <c r="T42" s="162"/>
      <c r="U42" s="162"/>
      <c r="V42" s="162"/>
      <c r="W42" s="162"/>
      <c r="X42" s="162">
        <f t="shared" si="1"/>
        <v>69</v>
      </c>
    </row>
    <row r="43" spans="1:24" s="160" customFormat="1" ht="15.75">
      <c r="A43" s="159">
        <v>30</v>
      </c>
      <c r="B43" s="157">
        <v>22130</v>
      </c>
      <c r="C43" s="158" t="s">
        <v>136</v>
      </c>
      <c r="D43" s="164">
        <f>'CCE1'!D40+'CCE1'!E40</f>
        <v>41</v>
      </c>
      <c r="E43" s="164"/>
      <c r="F43" s="164"/>
      <c r="G43" s="163"/>
      <c r="H43" s="163"/>
      <c r="I43" s="164">
        <f>'CCE2'!D40+'CCE2'!E40</f>
        <v>23</v>
      </c>
      <c r="J43" s="164"/>
      <c r="K43" s="163"/>
      <c r="L43" s="163"/>
      <c r="M43" s="163"/>
      <c r="N43" s="164">
        <f>'CCE3'!D40+'CCE3'!E40</f>
        <v>0</v>
      </c>
      <c r="O43" s="164"/>
      <c r="P43" s="164"/>
      <c r="Q43" s="164"/>
      <c r="R43" s="164"/>
      <c r="S43" s="162">
        <f t="shared" si="0"/>
        <v>64</v>
      </c>
      <c r="T43" s="162"/>
      <c r="U43" s="162"/>
      <c r="V43" s="162"/>
      <c r="W43" s="162"/>
      <c r="X43" s="162">
        <f t="shared" si="1"/>
        <v>64</v>
      </c>
    </row>
    <row r="44" spans="1:24" s="160" customFormat="1" ht="15.75">
      <c r="A44" s="159">
        <v>31</v>
      </c>
      <c r="B44" s="157">
        <v>22131</v>
      </c>
      <c r="C44" s="158" t="s">
        <v>137</v>
      </c>
      <c r="D44" s="164">
        <f>'CCE1'!D41+'CCE1'!E41</f>
        <v>46</v>
      </c>
      <c r="E44" s="164"/>
      <c r="F44" s="164"/>
      <c r="G44" s="163"/>
      <c r="H44" s="163"/>
      <c r="I44" s="164">
        <f>'CCE2'!D41+'CCE2'!E41</f>
        <v>22</v>
      </c>
      <c r="J44" s="164"/>
      <c r="K44" s="163"/>
      <c r="L44" s="163"/>
      <c r="M44" s="163"/>
      <c r="N44" s="164">
        <f>'CCE3'!D41+'CCE3'!E41</f>
        <v>0</v>
      </c>
      <c r="O44" s="164"/>
      <c r="P44" s="164"/>
      <c r="Q44" s="164"/>
      <c r="R44" s="164"/>
      <c r="S44" s="162">
        <f t="shared" si="0"/>
        <v>68</v>
      </c>
      <c r="T44" s="162"/>
      <c r="U44" s="162"/>
      <c r="V44" s="162"/>
      <c r="W44" s="162"/>
      <c r="X44" s="162">
        <f t="shared" si="1"/>
        <v>68</v>
      </c>
    </row>
    <row r="45" spans="1:24" s="160" customFormat="1" ht="15.75">
      <c r="A45" s="159">
        <v>32</v>
      </c>
      <c r="B45" s="157">
        <v>22132</v>
      </c>
      <c r="C45" s="158" t="s">
        <v>138</v>
      </c>
      <c r="D45" s="164">
        <f>'CCE1'!D42+'CCE1'!E42</f>
        <v>49</v>
      </c>
      <c r="E45" s="164"/>
      <c r="F45" s="164"/>
      <c r="G45" s="163"/>
      <c r="H45" s="163"/>
      <c r="I45" s="164">
        <f>'CCE2'!D42+'CCE2'!E42</f>
        <v>18</v>
      </c>
      <c r="J45" s="164"/>
      <c r="K45" s="163"/>
      <c r="L45" s="163"/>
      <c r="M45" s="163"/>
      <c r="N45" s="164">
        <f>'CCE3'!D42+'CCE3'!E42</f>
        <v>0</v>
      </c>
      <c r="O45" s="164"/>
      <c r="P45" s="164"/>
      <c r="Q45" s="164"/>
      <c r="R45" s="164"/>
      <c r="S45" s="162">
        <f t="shared" si="0"/>
        <v>67</v>
      </c>
      <c r="T45" s="162"/>
      <c r="U45" s="162"/>
      <c r="V45" s="162"/>
      <c r="W45" s="162"/>
      <c r="X45" s="162">
        <f t="shared" si="1"/>
        <v>67</v>
      </c>
    </row>
    <row r="46" spans="1:24" s="160" customFormat="1" ht="15.75">
      <c r="A46" s="159">
        <v>33</v>
      </c>
      <c r="B46" s="157">
        <v>22133</v>
      </c>
      <c r="C46" s="158" t="s">
        <v>139</v>
      </c>
      <c r="D46" s="164">
        <f>'CCE1'!D43+'CCE1'!E43</f>
        <v>49</v>
      </c>
      <c r="E46" s="164"/>
      <c r="F46" s="164"/>
      <c r="G46" s="163"/>
      <c r="H46" s="163"/>
      <c r="I46" s="164">
        <f>'CCE2'!D43+'CCE2'!E43</f>
        <v>22</v>
      </c>
      <c r="J46" s="164"/>
      <c r="K46" s="163"/>
      <c r="L46" s="163"/>
      <c r="M46" s="163"/>
      <c r="N46" s="164">
        <f>'CCE3'!D43+'CCE3'!E43</f>
        <v>0</v>
      </c>
      <c r="O46" s="164"/>
      <c r="P46" s="164"/>
      <c r="Q46" s="164"/>
      <c r="R46" s="164"/>
      <c r="S46" s="162">
        <f t="shared" si="0"/>
        <v>71</v>
      </c>
      <c r="T46" s="162"/>
      <c r="U46" s="162"/>
      <c r="V46" s="162"/>
      <c r="W46" s="162"/>
      <c r="X46" s="162">
        <f t="shared" si="1"/>
        <v>71</v>
      </c>
    </row>
    <row r="47" spans="1:24" s="160" customFormat="1" ht="15.75">
      <c r="A47" s="159">
        <v>34</v>
      </c>
      <c r="B47" s="157">
        <v>22134</v>
      </c>
      <c r="C47" s="158" t="s">
        <v>140</v>
      </c>
      <c r="D47" s="164">
        <f>'CCE1'!D44+'CCE1'!E44</f>
        <v>49</v>
      </c>
      <c r="E47" s="164"/>
      <c r="F47" s="164"/>
      <c r="G47" s="163"/>
      <c r="H47" s="163"/>
      <c r="I47" s="164">
        <f>'CCE2'!D44+'CCE2'!E44</f>
        <v>19</v>
      </c>
      <c r="J47" s="164"/>
      <c r="K47" s="163"/>
      <c r="L47" s="163"/>
      <c r="M47" s="163"/>
      <c r="N47" s="164">
        <f>'CCE3'!D44+'CCE3'!E44</f>
        <v>0</v>
      </c>
      <c r="O47" s="164"/>
      <c r="P47" s="164"/>
      <c r="Q47" s="164"/>
      <c r="R47" s="164"/>
      <c r="S47" s="162">
        <f t="shared" si="0"/>
        <v>68</v>
      </c>
      <c r="T47" s="162"/>
      <c r="U47" s="162"/>
      <c r="V47" s="162"/>
      <c r="W47" s="162"/>
      <c r="X47" s="162">
        <f t="shared" si="1"/>
        <v>68</v>
      </c>
    </row>
    <row r="48" spans="1:24" s="160" customFormat="1" ht="15.75">
      <c r="A48" s="159">
        <v>35</v>
      </c>
      <c r="B48" s="157">
        <v>22135</v>
      </c>
      <c r="C48" s="158" t="s">
        <v>141</v>
      </c>
      <c r="D48" s="164">
        <f>'CCE1'!D45+'CCE1'!E45</f>
        <v>47</v>
      </c>
      <c r="E48" s="164"/>
      <c r="F48" s="164"/>
      <c r="G48" s="163"/>
      <c r="H48" s="163"/>
      <c r="I48" s="164">
        <f>'CCE2'!D45+'CCE2'!E45</f>
        <v>22</v>
      </c>
      <c r="J48" s="164"/>
      <c r="K48" s="163"/>
      <c r="L48" s="163"/>
      <c r="M48" s="163"/>
      <c r="N48" s="164">
        <f>'CCE3'!D45+'CCE3'!E45</f>
        <v>0</v>
      </c>
      <c r="O48" s="164"/>
      <c r="P48" s="164"/>
      <c r="Q48" s="164"/>
      <c r="R48" s="164"/>
      <c r="S48" s="162">
        <f t="shared" si="0"/>
        <v>69</v>
      </c>
      <c r="T48" s="162"/>
      <c r="U48" s="162"/>
      <c r="V48" s="162"/>
      <c r="W48" s="162"/>
      <c r="X48" s="162">
        <f t="shared" si="1"/>
        <v>69</v>
      </c>
    </row>
    <row r="49" spans="1:24" s="160" customFormat="1" ht="15.75">
      <c r="A49" s="159">
        <v>36</v>
      </c>
      <c r="B49" s="157">
        <v>22136</v>
      </c>
      <c r="C49" s="158" t="s">
        <v>142</v>
      </c>
      <c r="D49" s="164">
        <f>'CCE1'!D46+'CCE1'!E46</f>
        <v>45</v>
      </c>
      <c r="E49" s="164"/>
      <c r="F49" s="164"/>
      <c r="G49" s="163"/>
      <c r="H49" s="163"/>
      <c r="I49" s="164">
        <f>'CCE2'!D46+'CCE2'!E46</f>
        <v>19</v>
      </c>
      <c r="J49" s="164"/>
      <c r="K49" s="163"/>
      <c r="L49" s="163"/>
      <c r="M49" s="163"/>
      <c r="N49" s="164">
        <f>'CCE3'!D46+'CCE3'!E46</f>
        <v>0</v>
      </c>
      <c r="O49" s="164"/>
      <c r="P49" s="164"/>
      <c r="Q49" s="164"/>
      <c r="R49" s="164"/>
      <c r="S49" s="162">
        <f t="shared" si="0"/>
        <v>64</v>
      </c>
      <c r="T49" s="162"/>
      <c r="U49" s="162"/>
      <c r="V49" s="162"/>
      <c r="W49" s="162"/>
      <c r="X49" s="162">
        <f t="shared" si="1"/>
        <v>64</v>
      </c>
    </row>
    <row r="50" spans="1:24" s="160" customFormat="1" ht="15.75">
      <c r="A50" s="159">
        <v>37</v>
      </c>
      <c r="B50" s="157">
        <v>22137</v>
      </c>
      <c r="C50" s="158" t="s">
        <v>143</v>
      </c>
      <c r="D50" s="164">
        <f>'CCE1'!D47+'CCE1'!E47</f>
        <v>40</v>
      </c>
      <c r="E50" s="164"/>
      <c r="F50" s="164"/>
      <c r="G50" s="163"/>
      <c r="H50" s="163"/>
      <c r="I50" s="164">
        <f>'CCE2'!D47+'CCE2'!E47</f>
        <v>23</v>
      </c>
      <c r="J50" s="164"/>
      <c r="K50" s="163"/>
      <c r="L50" s="163"/>
      <c r="M50" s="163"/>
      <c r="N50" s="164">
        <f>'CCE3'!D47+'CCE3'!E47</f>
        <v>0</v>
      </c>
      <c r="O50" s="164"/>
      <c r="P50" s="164"/>
      <c r="Q50" s="164"/>
      <c r="R50" s="164"/>
      <c r="S50" s="162">
        <f t="shared" si="0"/>
        <v>63</v>
      </c>
      <c r="T50" s="162"/>
      <c r="U50" s="162"/>
      <c r="V50" s="162"/>
      <c r="W50" s="162"/>
      <c r="X50" s="162">
        <f t="shared" si="1"/>
        <v>63</v>
      </c>
    </row>
    <row r="51" spans="1:24" s="160" customFormat="1" ht="15.75">
      <c r="A51" s="159">
        <v>38</v>
      </c>
      <c r="B51" s="157">
        <v>22138</v>
      </c>
      <c r="C51" s="158" t="s">
        <v>144</v>
      </c>
      <c r="D51" s="164">
        <f>'CCE1'!D48+'CCE1'!E48</f>
        <v>48</v>
      </c>
      <c r="E51" s="164"/>
      <c r="F51" s="164"/>
      <c r="G51" s="163"/>
      <c r="H51" s="163"/>
      <c r="I51" s="164">
        <f>'CCE2'!D48+'CCE2'!E48</f>
        <v>22</v>
      </c>
      <c r="J51" s="164"/>
      <c r="K51" s="163"/>
      <c r="L51" s="163"/>
      <c r="M51" s="163"/>
      <c r="N51" s="164">
        <f>'CCE3'!D48+'CCE3'!E48</f>
        <v>0</v>
      </c>
      <c r="O51" s="164"/>
      <c r="P51" s="164"/>
      <c r="Q51" s="164"/>
      <c r="R51" s="164"/>
      <c r="S51" s="162">
        <f t="shared" si="0"/>
        <v>70</v>
      </c>
      <c r="T51" s="162"/>
      <c r="U51" s="162"/>
      <c r="V51" s="162"/>
      <c r="W51" s="162"/>
      <c r="X51" s="162">
        <f t="shared" si="1"/>
        <v>70</v>
      </c>
    </row>
    <row r="52" spans="1:24" s="160" customFormat="1" ht="15.75">
      <c r="A52" s="159">
        <v>39</v>
      </c>
      <c r="B52" s="157">
        <v>22139</v>
      </c>
      <c r="C52" s="158" t="s">
        <v>145</v>
      </c>
      <c r="D52" s="164">
        <f>'CCE1'!D49+'CCE1'!E49</f>
        <v>44</v>
      </c>
      <c r="E52" s="164"/>
      <c r="F52" s="164"/>
      <c r="G52" s="163"/>
      <c r="H52" s="163"/>
      <c r="I52" s="164">
        <f>'CCE2'!D49+'CCE2'!E49</f>
        <v>21</v>
      </c>
      <c r="J52" s="164"/>
      <c r="K52" s="163"/>
      <c r="L52" s="163"/>
      <c r="M52" s="163"/>
      <c r="N52" s="164">
        <f>'CCE3'!D49+'CCE3'!E49</f>
        <v>0</v>
      </c>
      <c r="O52" s="164"/>
      <c r="P52" s="164"/>
      <c r="Q52" s="164"/>
      <c r="R52" s="164"/>
      <c r="S52" s="162">
        <f t="shared" si="0"/>
        <v>65</v>
      </c>
      <c r="T52" s="162"/>
      <c r="U52" s="162"/>
      <c r="V52" s="162"/>
      <c r="W52" s="162"/>
      <c r="X52" s="162">
        <f t="shared" si="1"/>
        <v>65</v>
      </c>
    </row>
    <row r="53" spans="1:24" s="160" customFormat="1" ht="15.75">
      <c r="A53" s="159">
        <v>40</v>
      </c>
      <c r="B53" s="157">
        <v>22140</v>
      </c>
      <c r="C53" s="158" t="s">
        <v>146</v>
      </c>
      <c r="D53" s="164">
        <f>'CCE1'!D50+'CCE1'!E50</f>
        <v>43</v>
      </c>
      <c r="E53" s="164"/>
      <c r="F53" s="164"/>
      <c r="G53" s="163"/>
      <c r="H53" s="163"/>
      <c r="I53" s="164">
        <f>'CCE2'!D50+'CCE2'!E50</f>
        <v>23</v>
      </c>
      <c r="J53" s="164"/>
      <c r="K53" s="163"/>
      <c r="L53" s="163"/>
      <c r="M53" s="163"/>
      <c r="N53" s="164">
        <f>'CCE3'!D50+'CCE3'!E50</f>
        <v>0</v>
      </c>
      <c r="O53" s="164"/>
      <c r="P53" s="164"/>
      <c r="Q53" s="164"/>
      <c r="R53" s="164"/>
      <c r="S53" s="162">
        <f t="shared" si="0"/>
        <v>66</v>
      </c>
      <c r="T53" s="162"/>
      <c r="U53" s="162"/>
      <c r="V53" s="162"/>
      <c r="W53" s="162"/>
      <c r="X53" s="162">
        <f t="shared" si="1"/>
        <v>66</v>
      </c>
    </row>
    <row r="54" spans="1:24" s="160" customFormat="1" ht="15.75">
      <c r="A54" s="159">
        <v>41</v>
      </c>
      <c r="B54" s="157">
        <v>22141</v>
      </c>
      <c r="C54" s="158" t="s">
        <v>147</v>
      </c>
      <c r="D54" s="164">
        <f>'CCE1'!D51+'CCE1'!E51</f>
        <v>43</v>
      </c>
      <c r="E54" s="164"/>
      <c r="F54" s="164"/>
      <c r="G54" s="163"/>
      <c r="H54" s="163"/>
      <c r="I54" s="164">
        <f>'CCE2'!D51+'CCE2'!E51</f>
        <v>21</v>
      </c>
      <c r="J54" s="164"/>
      <c r="K54" s="163"/>
      <c r="L54" s="163"/>
      <c r="M54" s="163"/>
      <c r="N54" s="164">
        <f>'CCE3'!D51+'CCE3'!E51</f>
        <v>0</v>
      </c>
      <c r="O54" s="164"/>
      <c r="P54" s="164"/>
      <c r="Q54" s="164"/>
      <c r="R54" s="164"/>
      <c r="S54" s="162">
        <f t="shared" si="0"/>
        <v>64</v>
      </c>
      <c r="T54" s="162"/>
      <c r="U54" s="162"/>
      <c r="V54" s="162"/>
      <c r="W54" s="162"/>
      <c r="X54" s="162">
        <f t="shared" si="1"/>
        <v>64</v>
      </c>
    </row>
    <row r="55" spans="1:24" s="160" customFormat="1" ht="15.75">
      <c r="A55" s="159">
        <v>42</v>
      </c>
      <c r="B55" s="157">
        <v>22142</v>
      </c>
      <c r="C55" s="158" t="s">
        <v>148</v>
      </c>
      <c r="D55" s="164">
        <f>'CCE1'!D52+'CCE1'!E52</f>
        <v>47</v>
      </c>
      <c r="E55" s="164"/>
      <c r="F55" s="164"/>
      <c r="G55" s="163"/>
      <c r="H55" s="163"/>
      <c r="I55" s="164">
        <f>'CCE2'!D52+'CCE2'!E52</f>
        <v>23</v>
      </c>
      <c r="J55" s="164"/>
      <c r="K55" s="163"/>
      <c r="L55" s="163"/>
      <c r="M55" s="163"/>
      <c r="N55" s="164">
        <f>'CCE3'!D52+'CCE3'!E52</f>
        <v>0</v>
      </c>
      <c r="O55" s="164"/>
      <c r="P55" s="164"/>
      <c r="Q55" s="164"/>
      <c r="R55" s="164"/>
      <c r="S55" s="162">
        <f t="shared" si="0"/>
        <v>70</v>
      </c>
      <c r="T55" s="162"/>
      <c r="U55" s="162"/>
      <c r="V55" s="162"/>
      <c r="W55" s="162"/>
      <c r="X55" s="162">
        <f t="shared" si="1"/>
        <v>70</v>
      </c>
    </row>
    <row r="56" spans="1:24" s="160" customFormat="1" ht="15.75">
      <c r="A56" s="159">
        <v>43</v>
      </c>
      <c r="B56" s="157">
        <v>22143</v>
      </c>
      <c r="C56" s="158" t="s">
        <v>149</v>
      </c>
      <c r="D56" s="164">
        <f>'CCE1'!D53+'CCE1'!E53</f>
        <v>49</v>
      </c>
      <c r="E56" s="164"/>
      <c r="F56" s="164"/>
      <c r="G56" s="163"/>
      <c r="H56" s="163"/>
      <c r="I56" s="164">
        <f>'CCE2'!D53+'CCE2'!E53</f>
        <v>21</v>
      </c>
      <c r="J56" s="164"/>
      <c r="K56" s="163"/>
      <c r="L56" s="163"/>
      <c r="M56" s="163"/>
      <c r="N56" s="164">
        <f>'CCE3'!D53+'CCE3'!E53</f>
        <v>0</v>
      </c>
      <c r="O56" s="164"/>
      <c r="P56" s="164"/>
      <c r="Q56" s="164"/>
      <c r="R56" s="164"/>
      <c r="S56" s="162">
        <f t="shared" si="0"/>
        <v>70</v>
      </c>
      <c r="T56" s="162"/>
      <c r="U56" s="162"/>
      <c r="V56" s="162"/>
      <c r="W56" s="162"/>
      <c r="X56" s="162">
        <f t="shared" si="1"/>
        <v>70</v>
      </c>
    </row>
    <row r="57" spans="1:24" s="160" customFormat="1" ht="15.75">
      <c r="A57" s="159">
        <v>44</v>
      </c>
      <c r="B57" s="157">
        <v>22144</v>
      </c>
      <c r="C57" s="158" t="s">
        <v>150</v>
      </c>
      <c r="D57" s="164">
        <f>'CCE1'!D54+'CCE1'!E54</f>
        <v>49</v>
      </c>
      <c r="E57" s="164"/>
      <c r="F57" s="164"/>
      <c r="G57" s="163"/>
      <c r="H57" s="163"/>
      <c r="I57" s="164">
        <f>'CCE2'!D54+'CCE2'!E54</f>
        <v>20</v>
      </c>
      <c r="J57" s="164"/>
      <c r="K57" s="163"/>
      <c r="L57" s="163"/>
      <c r="M57" s="163"/>
      <c r="N57" s="164">
        <f>'CCE3'!D54+'CCE3'!E54</f>
        <v>0</v>
      </c>
      <c r="O57" s="164"/>
      <c r="P57" s="164"/>
      <c r="Q57" s="164"/>
      <c r="R57" s="164"/>
      <c r="S57" s="162">
        <f t="shared" si="0"/>
        <v>69</v>
      </c>
      <c r="T57" s="162"/>
      <c r="U57" s="162"/>
      <c r="V57" s="162"/>
      <c r="W57" s="162"/>
      <c r="X57" s="162">
        <f t="shared" si="1"/>
        <v>69</v>
      </c>
    </row>
    <row r="58" spans="1:24" s="160" customFormat="1" ht="15.75">
      <c r="A58" s="159">
        <v>45</v>
      </c>
      <c r="B58" s="157">
        <v>22145</v>
      </c>
      <c r="C58" s="158" t="s">
        <v>151</v>
      </c>
      <c r="D58" s="164">
        <f>'CCE1'!D55+'CCE1'!E55</f>
        <v>44</v>
      </c>
      <c r="E58" s="164"/>
      <c r="F58" s="164"/>
      <c r="G58" s="163"/>
      <c r="H58" s="163"/>
      <c r="I58" s="164">
        <f>'CCE2'!D55+'CCE2'!E55</f>
        <v>20</v>
      </c>
      <c r="J58" s="164"/>
      <c r="K58" s="163"/>
      <c r="L58" s="163"/>
      <c r="M58" s="163"/>
      <c r="N58" s="164">
        <f>'CCE3'!D55+'CCE3'!E55</f>
        <v>0</v>
      </c>
      <c r="O58" s="164"/>
      <c r="P58" s="164"/>
      <c r="Q58" s="164"/>
      <c r="R58" s="164"/>
      <c r="S58" s="162">
        <f t="shared" si="0"/>
        <v>64</v>
      </c>
      <c r="T58" s="162"/>
      <c r="U58" s="162"/>
      <c r="V58" s="162"/>
      <c r="W58" s="162"/>
      <c r="X58" s="162">
        <f t="shared" si="1"/>
        <v>64</v>
      </c>
    </row>
    <row r="59" spans="1:24" s="160" customFormat="1" ht="15.75">
      <c r="A59" s="159">
        <v>46</v>
      </c>
      <c r="B59" s="157">
        <v>22146</v>
      </c>
      <c r="C59" s="158" t="s">
        <v>152</v>
      </c>
      <c r="D59" s="164">
        <f>'CCE1'!D56+'CCE1'!E56</f>
        <v>48</v>
      </c>
      <c r="E59" s="164"/>
      <c r="F59" s="164"/>
      <c r="G59" s="163"/>
      <c r="H59" s="163"/>
      <c r="I59" s="164">
        <f>'CCE2'!D56+'CCE2'!E56</f>
        <v>21</v>
      </c>
      <c r="J59" s="164"/>
      <c r="K59" s="163"/>
      <c r="L59" s="163"/>
      <c r="M59" s="163"/>
      <c r="N59" s="164">
        <f>'CCE3'!D56+'CCE3'!E56</f>
        <v>0</v>
      </c>
      <c r="O59" s="164"/>
      <c r="P59" s="164"/>
      <c r="Q59" s="164"/>
      <c r="R59" s="164"/>
      <c r="S59" s="162">
        <f t="shared" si="0"/>
        <v>69</v>
      </c>
      <c r="T59" s="162"/>
      <c r="U59" s="162"/>
      <c r="V59" s="162"/>
      <c r="W59" s="162"/>
      <c r="X59" s="162">
        <f t="shared" si="1"/>
        <v>69</v>
      </c>
    </row>
    <row r="60" spans="1:24" s="160" customFormat="1" ht="15.75">
      <c r="A60" s="159">
        <v>47</v>
      </c>
      <c r="B60" s="157">
        <v>22147</v>
      </c>
      <c r="C60" s="158" t="s">
        <v>153</v>
      </c>
      <c r="D60" s="164">
        <f>'CCE1'!D57+'CCE1'!E57</f>
        <v>45</v>
      </c>
      <c r="E60" s="164"/>
      <c r="F60" s="164"/>
      <c r="G60" s="163"/>
      <c r="H60" s="163"/>
      <c r="I60" s="164">
        <f>'CCE2'!D57+'CCE2'!E57</f>
        <v>22</v>
      </c>
      <c r="J60" s="164"/>
      <c r="K60" s="163"/>
      <c r="L60" s="163"/>
      <c r="M60" s="163"/>
      <c r="N60" s="164">
        <f>'CCE3'!D57+'CCE3'!E57</f>
        <v>0</v>
      </c>
      <c r="O60" s="164"/>
      <c r="P60" s="164"/>
      <c r="Q60" s="164"/>
      <c r="R60" s="164"/>
      <c r="S60" s="162">
        <f t="shared" si="0"/>
        <v>67</v>
      </c>
      <c r="T60" s="162"/>
      <c r="U60" s="162"/>
      <c r="V60" s="162"/>
      <c r="W60" s="162"/>
      <c r="X60" s="162">
        <f t="shared" si="1"/>
        <v>67</v>
      </c>
    </row>
    <row r="61" spans="1:24" s="160" customFormat="1" ht="15.75">
      <c r="A61" s="159">
        <v>48</v>
      </c>
      <c r="B61" s="157">
        <v>22148</v>
      </c>
      <c r="C61" s="158" t="s">
        <v>154</v>
      </c>
      <c r="D61" s="164">
        <f>'CCE1'!D58+'CCE1'!E58</f>
        <v>48</v>
      </c>
      <c r="E61" s="164"/>
      <c r="F61" s="164"/>
      <c r="G61" s="163"/>
      <c r="H61" s="163"/>
      <c r="I61" s="164">
        <f>'CCE2'!D58+'CCE2'!E58</f>
        <v>22</v>
      </c>
      <c r="J61" s="164"/>
      <c r="K61" s="163"/>
      <c r="L61" s="163"/>
      <c r="M61" s="163"/>
      <c r="N61" s="164">
        <f>'CCE3'!D58+'CCE3'!E58</f>
        <v>0</v>
      </c>
      <c r="O61" s="164"/>
      <c r="P61" s="164"/>
      <c r="Q61" s="164"/>
      <c r="R61" s="164"/>
      <c r="S61" s="162">
        <f t="shared" si="0"/>
        <v>70</v>
      </c>
      <c r="T61" s="162"/>
      <c r="U61" s="162"/>
      <c r="V61" s="162"/>
      <c r="W61" s="162"/>
      <c r="X61" s="162">
        <f t="shared" si="1"/>
        <v>70</v>
      </c>
    </row>
    <row r="62" spans="1:24" s="160" customFormat="1" ht="15.75">
      <c r="A62" s="159">
        <v>49</v>
      </c>
      <c r="B62" s="157">
        <v>22149</v>
      </c>
      <c r="C62" s="158" t="s">
        <v>155</v>
      </c>
      <c r="D62" s="164">
        <f>'CCE1'!D59+'CCE1'!E59</f>
        <v>43</v>
      </c>
      <c r="E62" s="164"/>
      <c r="F62" s="164"/>
      <c r="G62" s="163"/>
      <c r="H62" s="163"/>
      <c r="I62" s="164">
        <f>'CCE2'!D59+'CCE2'!E59</f>
        <v>22</v>
      </c>
      <c r="J62" s="164"/>
      <c r="K62" s="163"/>
      <c r="L62" s="163"/>
      <c r="M62" s="163"/>
      <c r="N62" s="164">
        <f>'CCE3'!D59+'CCE3'!E59</f>
        <v>0</v>
      </c>
      <c r="O62" s="164"/>
      <c r="P62" s="164"/>
      <c r="Q62" s="164"/>
      <c r="R62" s="164"/>
      <c r="S62" s="162">
        <f t="shared" si="0"/>
        <v>65</v>
      </c>
      <c r="T62" s="162"/>
      <c r="U62" s="162"/>
      <c r="V62" s="162"/>
      <c r="W62" s="162"/>
      <c r="X62" s="162">
        <f t="shared" si="1"/>
        <v>65</v>
      </c>
    </row>
    <row r="63" spans="1:24" s="160" customFormat="1" ht="15.75">
      <c r="A63" s="159">
        <v>50</v>
      </c>
      <c r="B63" s="157">
        <v>22150</v>
      </c>
      <c r="C63" s="158" t="s">
        <v>156</v>
      </c>
      <c r="D63" s="164">
        <f>'CCE1'!D60+'CCE1'!E60</f>
        <v>49</v>
      </c>
      <c r="E63" s="164"/>
      <c r="F63" s="164"/>
      <c r="G63" s="163"/>
      <c r="H63" s="163"/>
      <c r="I63" s="164">
        <f>'CCE2'!D60+'CCE2'!E60</f>
        <v>21</v>
      </c>
      <c r="J63" s="164"/>
      <c r="K63" s="163"/>
      <c r="L63" s="163"/>
      <c r="M63" s="163"/>
      <c r="N63" s="164">
        <f>'CCE3'!D60+'CCE3'!E60</f>
        <v>0</v>
      </c>
      <c r="O63" s="164"/>
      <c r="P63" s="164"/>
      <c r="Q63" s="164"/>
      <c r="R63" s="164"/>
      <c r="S63" s="162">
        <f t="shared" si="0"/>
        <v>70</v>
      </c>
      <c r="T63" s="162"/>
      <c r="U63" s="162"/>
      <c r="V63" s="162"/>
      <c r="W63" s="162"/>
      <c r="X63" s="162">
        <f t="shared" si="1"/>
        <v>70</v>
      </c>
    </row>
    <row r="64" spans="1:24" s="160" customFormat="1" ht="15.75">
      <c r="A64" s="159">
        <v>51</v>
      </c>
      <c r="B64" s="157">
        <v>22151</v>
      </c>
      <c r="C64" s="158" t="s">
        <v>157</v>
      </c>
      <c r="D64" s="164">
        <f>'CCE1'!D61+'CCE1'!E61</f>
        <v>49</v>
      </c>
      <c r="E64" s="164"/>
      <c r="F64" s="164"/>
      <c r="G64" s="163"/>
      <c r="H64" s="163"/>
      <c r="I64" s="164">
        <f>'CCE2'!D61+'CCE2'!E61</f>
        <v>20</v>
      </c>
      <c r="J64" s="164"/>
      <c r="K64" s="163"/>
      <c r="L64" s="163"/>
      <c r="M64" s="163"/>
      <c r="N64" s="164">
        <f>'CCE3'!D61+'CCE3'!E61</f>
        <v>0</v>
      </c>
      <c r="O64" s="164"/>
      <c r="P64" s="164"/>
      <c r="Q64" s="164"/>
      <c r="R64" s="164"/>
      <c r="S64" s="162">
        <f t="shared" si="0"/>
        <v>69</v>
      </c>
      <c r="T64" s="162"/>
      <c r="U64" s="162"/>
      <c r="V64" s="162"/>
      <c r="W64" s="162"/>
      <c r="X64" s="162">
        <f t="shared" si="1"/>
        <v>69</v>
      </c>
    </row>
    <row r="65" spans="1:24" s="160" customFormat="1" ht="15.75">
      <c r="A65" s="159">
        <v>52</v>
      </c>
      <c r="B65" s="157">
        <v>22152</v>
      </c>
      <c r="C65" s="158" t="s">
        <v>158</v>
      </c>
      <c r="D65" s="164">
        <f>'CCE1'!D62+'CCE1'!E62</f>
        <v>46</v>
      </c>
      <c r="E65" s="164"/>
      <c r="F65" s="164"/>
      <c r="G65" s="163"/>
      <c r="H65" s="163"/>
      <c r="I65" s="164">
        <f>'CCE2'!D62+'CCE2'!E62</f>
        <v>23</v>
      </c>
      <c r="J65" s="164"/>
      <c r="K65" s="163"/>
      <c r="L65" s="163"/>
      <c r="M65" s="163"/>
      <c r="N65" s="164">
        <f>'CCE3'!D62+'CCE3'!E62</f>
        <v>0</v>
      </c>
      <c r="O65" s="164"/>
      <c r="P65" s="164"/>
      <c r="Q65" s="164"/>
      <c r="R65" s="164"/>
      <c r="S65" s="162">
        <f t="shared" si="0"/>
        <v>69</v>
      </c>
      <c r="T65" s="162"/>
      <c r="U65" s="162"/>
      <c r="V65" s="162"/>
      <c r="W65" s="162"/>
      <c r="X65" s="162">
        <f t="shared" si="1"/>
        <v>69</v>
      </c>
    </row>
    <row r="66" spans="1:24" s="160" customFormat="1" ht="15.75">
      <c r="A66" s="159">
        <v>53</v>
      </c>
      <c r="B66" s="157">
        <v>22153</v>
      </c>
      <c r="C66" s="158" t="s">
        <v>159</v>
      </c>
      <c r="D66" s="164">
        <f>'CCE1'!D63+'CCE1'!E63</f>
        <v>43</v>
      </c>
      <c r="E66" s="164"/>
      <c r="F66" s="164"/>
      <c r="G66" s="163"/>
      <c r="H66" s="163"/>
      <c r="I66" s="164">
        <f>'CCE2'!D63+'CCE2'!E63</f>
        <v>20</v>
      </c>
      <c r="J66" s="164"/>
      <c r="K66" s="163"/>
      <c r="L66" s="163"/>
      <c r="M66" s="163"/>
      <c r="N66" s="164">
        <f>'CCE3'!D63+'CCE3'!E63</f>
        <v>0</v>
      </c>
      <c r="O66" s="164"/>
      <c r="P66" s="164"/>
      <c r="Q66" s="164"/>
      <c r="R66" s="164"/>
      <c r="S66" s="162">
        <f t="shared" si="0"/>
        <v>63</v>
      </c>
      <c r="T66" s="162"/>
      <c r="U66" s="162"/>
      <c r="V66" s="162"/>
      <c r="W66" s="162"/>
      <c r="X66" s="162">
        <f t="shared" si="1"/>
        <v>63</v>
      </c>
    </row>
    <row r="67" spans="1:24" s="160" customFormat="1" ht="15.75">
      <c r="A67" s="159">
        <v>54</v>
      </c>
      <c r="B67" s="157">
        <v>22154</v>
      </c>
      <c r="C67" s="158" t="s">
        <v>160</v>
      </c>
      <c r="D67" s="164">
        <f>'CCE1'!D64+'CCE1'!E64</f>
        <v>49</v>
      </c>
      <c r="E67" s="164"/>
      <c r="F67" s="164"/>
      <c r="G67" s="163"/>
      <c r="H67" s="163"/>
      <c r="I67" s="164">
        <f>'CCE2'!D64+'CCE2'!E64</f>
        <v>18</v>
      </c>
      <c r="J67" s="164"/>
      <c r="K67" s="163"/>
      <c r="L67" s="163"/>
      <c r="M67" s="163"/>
      <c r="N67" s="164">
        <f>'CCE3'!D64+'CCE3'!E64</f>
        <v>0</v>
      </c>
      <c r="O67" s="164"/>
      <c r="P67" s="164"/>
      <c r="Q67" s="164"/>
      <c r="R67" s="164"/>
      <c r="S67" s="162">
        <f t="shared" si="0"/>
        <v>67</v>
      </c>
      <c r="T67" s="162"/>
      <c r="U67" s="162"/>
      <c r="V67" s="162"/>
      <c r="W67" s="162"/>
      <c r="X67" s="162">
        <f t="shared" si="1"/>
        <v>67</v>
      </c>
    </row>
    <row r="68" spans="1:24" s="160" customFormat="1" ht="15.75">
      <c r="A68" s="159">
        <v>55</v>
      </c>
      <c r="B68" s="157">
        <v>22155</v>
      </c>
      <c r="C68" s="158" t="s">
        <v>161</v>
      </c>
      <c r="D68" s="164">
        <f>'CCE1'!D65+'CCE1'!E65</f>
        <v>48</v>
      </c>
      <c r="E68" s="164"/>
      <c r="F68" s="164"/>
      <c r="G68" s="163"/>
      <c r="H68" s="163"/>
      <c r="I68" s="164">
        <f>'CCE2'!D65+'CCE2'!E65</f>
        <v>19</v>
      </c>
      <c r="J68" s="164"/>
      <c r="K68" s="163"/>
      <c r="L68" s="163"/>
      <c r="M68" s="163"/>
      <c r="N68" s="164">
        <f>'CCE3'!D65+'CCE3'!E65</f>
        <v>0</v>
      </c>
      <c r="O68" s="164"/>
      <c r="P68" s="164"/>
      <c r="Q68" s="164"/>
      <c r="R68" s="164"/>
      <c r="S68" s="162">
        <f t="shared" si="0"/>
        <v>67</v>
      </c>
      <c r="T68" s="162"/>
      <c r="U68" s="162"/>
      <c r="V68" s="162"/>
      <c r="W68" s="162"/>
      <c r="X68" s="162">
        <f t="shared" si="1"/>
        <v>67</v>
      </c>
    </row>
    <row r="69" spans="1:24" s="160" customFormat="1" ht="15.75">
      <c r="A69" s="159">
        <v>56</v>
      </c>
      <c r="B69" s="157">
        <v>22156</v>
      </c>
      <c r="C69" s="158" t="s">
        <v>162</v>
      </c>
      <c r="D69" s="164">
        <f>'CCE1'!D66+'CCE1'!E66</f>
        <v>45</v>
      </c>
      <c r="E69" s="164"/>
      <c r="F69" s="164"/>
      <c r="G69" s="163"/>
      <c r="H69" s="163"/>
      <c r="I69" s="164">
        <f>'CCE2'!D66+'CCE2'!E66</f>
        <v>20</v>
      </c>
      <c r="J69" s="164"/>
      <c r="K69" s="163"/>
      <c r="L69" s="163"/>
      <c r="M69" s="163"/>
      <c r="N69" s="164">
        <f>'CCE3'!D66+'CCE3'!E66</f>
        <v>0</v>
      </c>
      <c r="O69" s="164"/>
      <c r="P69" s="164"/>
      <c r="Q69" s="164"/>
      <c r="R69" s="164"/>
      <c r="S69" s="162">
        <f t="shared" si="0"/>
        <v>65</v>
      </c>
      <c r="T69" s="162"/>
      <c r="U69" s="162"/>
      <c r="V69" s="162"/>
      <c r="W69" s="162"/>
      <c r="X69" s="162">
        <f t="shared" si="1"/>
        <v>65</v>
      </c>
    </row>
    <row r="70" spans="1:24" s="160" customFormat="1" ht="15.75">
      <c r="A70" s="159">
        <v>57</v>
      </c>
      <c r="B70" s="157">
        <v>22157</v>
      </c>
      <c r="C70" s="158" t="s">
        <v>163</v>
      </c>
      <c r="D70" s="164">
        <f>'CCE1'!D67+'CCE1'!E67</f>
        <v>43</v>
      </c>
      <c r="E70" s="164"/>
      <c r="F70" s="164"/>
      <c r="G70" s="163"/>
      <c r="H70" s="163"/>
      <c r="I70" s="164">
        <f>'CCE2'!D67+'CCE2'!E67</f>
        <v>23</v>
      </c>
      <c r="J70" s="164"/>
      <c r="K70" s="163"/>
      <c r="L70" s="163"/>
      <c r="M70" s="163"/>
      <c r="N70" s="164">
        <f>'CCE3'!D67+'CCE3'!E67</f>
        <v>0</v>
      </c>
      <c r="O70" s="164"/>
      <c r="P70" s="164"/>
      <c r="Q70" s="164"/>
      <c r="R70" s="164"/>
      <c r="S70" s="162">
        <f t="shared" si="0"/>
        <v>66</v>
      </c>
      <c r="T70" s="162"/>
      <c r="U70" s="162"/>
      <c r="V70" s="162"/>
      <c r="W70" s="162"/>
      <c r="X70" s="162">
        <f t="shared" si="1"/>
        <v>66</v>
      </c>
    </row>
    <row r="71" spans="1:24" s="160" customFormat="1" ht="15.75">
      <c r="A71" s="159">
        <v>58</v>
      </c>
      <c r="B71" s="157">
        <v>22158</v>
      </c>
      <c r="C71" s="158" t="s">
        <v>164</v>
      </c>
      <c r="D71" s="164">
        <f>'CCE1'!D68+'CCE1'!E68</f>
        <v>48</v>
      </c>
      <c r="E71" s="164"/>
      <c r="F71" s="164"/>
      <c r="G71" s="163"/>
      <c r="H71" s="163"/>
      <c r="I71" s="164">
        <f>'CCE2'!D68+'CCE2'!E68</f>
        <v>20</v>
      </c>
      <c r="J71" s="164"/>
      <c r="K71" s="163"/>
      <c r="L71" s="163"/>
      <c r="M71" s="163"/>
      <c r="N71" s="164">
        <f>'CCE3'!D68+'CCE3'!E68</f>
        <v>0</v>
      </c>
      <c r="O71" s="164"/>
      <c r="P71" s="164"/>
      <c r="Q71" s="164"/>
      <c r="R71" s="164"/>
      <c r="S71" s="162">
        <f t="shared" si="0"/>
        <v>68</v>
      </c>
      <c r="T71" s="162"/>
      <c r="U71" s="162"/>
      <c r="V71" s="162"/>
      <c r="W71" s="162"/>
      <c r="X71" s="162">
        <f t="shared" si="1"/>
        <v>68</v>
      </c>
    </row>
    <row r="72" spans="1:24" s="160" customFormat="1" ht="15.75">
      <c r="A72" s="159">
        <v>59</v>
      </c>
      <c r="B72" s="157">
        <v>22159</v>
      </c>
      <c r="C72" s="158" t="s">
        <v>165</v>
      </c>
      <c r="D72" s="164">
        <f>'CCE1'!D69+'CCE1'!E69</f>
        <v>48</v>
      </c>
      <c r="E72" s="164"/>
      <c r="F72" s="164"/>
      <c r="G72" s="163"/>
      <c r="H72" s="163"/>
      <c r="I72" s="164">
        <f>'CCE2'!D69+'CCE2'!E69</f>
        <v>21</v>
      </c>
      <c r="J72" s="164"/>
      <c r="K72" s="163"/>
      <c r="L72" s="163"/>
      <c r="M72" s="163"/>
      <c r="N72" s="164">
        <f>'CCE3'!D69+'CCE3'!E69</f>
        <v>0</v>
      </c>
      <c r="O72" s="164"/>
      <c r="P72" s="164"/>
      <c r="Q72" s="164"/>
      <c r="R72" s="164"/>
      <c r="S72" s="162">
        <f t="shared" si="0"/>
        <v>69</v>
      </c>
      <c r="T72" s="162"/>
      <c r="U72" s="162"/>
      <c r="V72" s="162"/>
      <c r="W72" s="162"/>
      <c r="X72" s="162">
        <f t="shared" si="1"/>
        <v>69</v>
      </c>
    </row>
    <row r="73" spans="1:24" s="160" customFormat="1" ht="15.75">
      <c r="A73" s="159">
        <v>60</v>
      </c>
      <c r="B73" s="157">
        <v>22160</v>
      </c>
      <c r="C73" s="158" t="s">
        <v>166</v>
      </c>
      <c r="D73" s="164">
        <f>'CCE1'!D70+'CCE1'!E70</f>
        <v>43</v>
      </c>
      <c r="E73" s="164"/>
      <c r="F73" s="164"/>
      <c r="G73" s="163"/>
      <c r="H73" s="163"/>
      <c r="I73" s="164">
        <f>'CCE2'!D70+'CCE2'!E70</f>
        <v>17</v>
      </c>
      <c r="J73" s="164"/>
      <c r="K73" s="163"/>
      <c r="L73" s="163"/>
      <c r="M73" s="163"/>
      <c r="N73" s="164">
        <f>'CCE3'!D70+'CCE3'!E70</f>
        <v>0</v>
      </c>
      <c r="O73" s="164"/>
      <c r="P73" s="164"/>
      <c r="Q73" s="164"/>
      <c r="R73" s="164"/>
      <c r="S73" s="162">
        <f t="shared" si="0"/>
        <v>60</v>
      </c>
      <c r="T73" s="162"/>
      <c r="U73" s="162"/>
      <c r="V73" s="162"/>
      <c r="W73" s="162"/>
      <c r="X73" s="162">
        <f t="shared" si="1"/>
        <v>60</v>
      </c>
    </row>
    <row r="74" spans="1:24" s="160" customFormat="1" ht="15.75">
      <c r="A74" s="159">
        <v>61</v>
      </c>
      <c r="B74" s="157">
        <v>22161</v>
      </c>
      <c r="C74" s="158" t="s">
        <v>167</v>
      </c>
      <c r="D74" s="164">
        <f>'CCE1'!D71+'CCE1'!E71</f>
        <v>44</v>
      </c>
      <c r="E74" s="164"/>
      <c r="F74" s="164"/>
      <c r="G74" s="163"/>
      <c r="H74" s="163"/>
      <c r="I74" s="164">
        <f>'CCE2'!D71+'CCE2'!E71</f>
        <v>23</v>
      </c>
      <c r="J74" s="164"/>
      <c r="K74" s="163"/>
      <c r="L74" s="163"/>
      <c r="M74" s="163"/>
      <c r="N74" s="164">
        <f>'CCE3'!D71+'CCE3'!E71</f>
        <v>0</v>
      </c>
      <c r="O74" s="164"/>
      <c r="P74" s="164"/>
      <c r="Q74" s="164"/>
      <c r="R74" s="164"/>
      <c r="S74" s="162">
        <f t="shared" si="0"/>
        <v>67</v>
      </c>
      <c r="T74" s="162"/>
      <c r="U74" s="162"/>
      <c r="V74" s="162"/>
      <c r="W74" s="162"/>
      <c r="X74" s="162">
        <f t="shared" si="1"/>
        <v>67</v>
      </c>
    </row>
    <row r="75" spans="1:24" s="160" customFormat="1" ht="15.75">
      <c r="A75" s="159">
        <v>62</v>
      </c>
      <c r="B75" s="157">
        <v>22162</v>
      </c>
      <c r="C75" s="158" t="s">
        <v>168</v>
      </c>
      <c r="D75" s="164">
        <f>'CCE1'!D72+'CCE1'!E72</f>
        <v>42</v>
      </c>
      <c r="E75" s="164"/>
      <c r="F75" s="164"/>
      <c r="G75" s="163"/>
      <c r="H75" s="163"/>
      <c r="I75" s="164">
        <f>'CCE2'!D72+'CCE2'!E72</f>
        <v>19</v>
      </c>
      <c r="J75" s="164"/>
      <c r="K75" s="163"/>
      <c r="L75" s="163"/>
      <c r="M75" s="163"/>
      <c r="N75" s="164">
        <f>'CCE3'!D72+'CCE3'!E72</f>
        <v>0</v>
      </c>
      <c r="O75" s="164"/>
      <c r="P75" s="164"/>
      <c r="Q75" s="164"/>
      <c r="R75" s="164"/>
      <c r="S75" s="162">
        <f t="shared" si="0"/>
        <v>61</v>
      </c>
      <c r="T75" s="162"/>
      <c r="U75" s="162"/>
      <c r="V75" s="162"/>
      <c r="W75" s="162"/>
      <c r="X75" s="162">
        <f t="shared" si="1"/>
        <v>61</v>
      </c>
    </row>
    <row r="76" spans="1:24" s="160" customFormat="1" ht="15.75">
      <c r="A76" s="159">
        <v>63</v>
      </c>
      <c r="B76" s="157">
        <v>22163</v>
      </c>
      <c r="C76" s="158" t="s">
        <v>169</v>
      </c>
      <c r="D76" s="164">
        <f>'CCE1'!D73+'CCE1'!E73</f>
        <v>49</v>
      </c>
      <c r="E76" s="164"/>
      <c r="F76" s="164"/>
      <c r="G76" s="163"/>
      <c r="H76" s="163"/>
      <c r="I76" s="164">
        <f>'CCE2'!D73+'CCE2'!E73</f>
        <v>20</v>
      </c>
      <c r="J76" s="164"/>
      <c r="K76" s="163"/>
      <c r="L76" s="163"/>
      <c r="M76" s="163"/>
      <c r="N76" s="164">
        <f>'CCE3'!D73+'CCE3'!E73</f>
        <v>0</v>
      </c>
      <c r="O76" s="164"/>
      <c r="P76" s="164"/>
      <c r="Q76" s="164"/>
      <c r="R76" s="164"/>
      <c r="S76" s="162">
        <f t="shared" si="0"/>
        <v>69</v>
      </c>
      <c r="T76" s="162"/>
      <c r="U76" s="162"/>
      <c r="V76" s="162"/>
      <c r="W76" s="162"/>
      <c r="X76" s="162">
        <f t="shared" si="1"/>
        <v>69</v>
      </c>
    </row>
    <row r="77" spans="1:24" s="160" customFormat="1" ht="15.75">
      <c r="A77" s="159">
        <v>64</v>
      </c>
      <c r="B77" s="157">
        <v>22164</v>
      </c>
      <c r="C77" s="158" t="s">
        <v>170</v>
      </c>
      <c r="D77" s="164">
        <f>'CCE1'!D74+'CCE1'!E74</f>
        <v>47</v>
      </c>
      <c r="E77" s="164"/>
      <c r="F77" s="164"/>
      <c r="G77" s="163"/>
      <c r="H77" s="163"/>
      <c r="I77" s="164">
        <f>'CCE2'!D74+'CCE2'!E74</f>
        <v>22</v>
      </c>
      <c r="J77" s="164"/>
      <c r="K77" s="163"/>
      <c r="L77" s="163"/>
      <c r="M77" s="163"/>
      <c r="N77" s="164">
        <f>'CCE3'!D74+'CCE3'!E74</f>
        <v>0</v>
      </c>
      <c r="O77" s="164"/>
      <c r="P77" s="164"/>
      <c r="Q77" s="164"/>
      <c r="R77" s="164"/>
      <c r="S77" s="162">
        <f t="shared" si="0"/>
        <v>69</v>
      </c>
      <c r="T77" s="162"/>
      <c r="U77" s="162"/>
      <c r="V77" s="162"/>
      <c r="W77" s="162"/>
      <c r="X77" s="162">
        <f t="shared" si="1"/>
        <v>69</v>
      </c>
    </row>
    <row r="78" spans="1:24" s="160" customFormat="1" ht="15.75">
      <c r="A78" s="159">
        <v>65</v>
      </c>
      <c r="B78" s="157">
        <v>22165</v>
      </c>
      <c r="C78" s="158" t="s">
        <v>171</v>
      </c>
      <c r="D78" s="164">
        <f>'CCE1'!D75+'CCE1'!E75</f>
        <v>45</v>
      </c>
      <c r="E78" s="164"/>
      <c r="F78" s="164"/>
      <c r="G78" s="163"/>
      <c r="H78" s="163"/>
      <c r="I78" s="164">
        <f>'CCE2'!D75+'CCE2'!E75</f>
        <v>17</v>
      </c>
      <c r="J78" s="164"/>
      <c r="K78" s="163"/>
      <c r="L78" s="163"/>
      <c r="M78" s="163"/>
      <c r="N78" s="164">
        <f>'CCE3'!D75+'CCE3'!E75</f>
        <v>0</v>
      </c>
      <c r="O78" s="164"/>
      <c r="P78" s="164"/>
      <c r="Q78" s="164"/>
      <c r="R78" s="164"/>
      <c r="S78" s="162">
        <f t="shared" ref="S78:S121" si="2">IFERROR(SUM(D78,I78,N78),"AB")</f>
        <v>62</v>
      </c>
      <c r="T78" s="162"/>
      <c r="U78" s="162"/>
      <c r="V78" s="162"/>
      <c r="W78" s="162"/>
      <c r="X78" s="162">
        <f t="shared" ref="X78:X121" si="3">IFERROR(SUM(S78:W78),"AB")</f>
        <v>62</v>
      </c>
    </row>
    <row r="79" spans="1:24" s="160" customFormat="1" ht="15.75">
      <c r="A79" s="159">
        <v>66</v>
      </c>
      <c r="B79" s="157">
        <v>22166</v>
      </c>
      <c r="C79" s="158" t="s">
        <v>172</v>
      </c>
      <c r="D79" s="164">
        <f>'CCE1'!D76+'CCE1'!E76</f>
        <v>47</v>
      </c>
      <c r="E79" s="164"/>
      <c r="F79" s="164"/>
      <c r="G79" s="163"/>
      <c r="H79" s="163"/>
      <c r="I79" s="164">
        <f>'CCE2'!D76+'CCE2'!E76</f>
        <v>22</v>
      </c>
      <c r="J79" s="164"/>
      <c r="K79" s="163"/>
      <c r="L79" s="163"/>
      <c r="M79" s="163"/>
      <c r="N79" s="164">
        <f>'CCE3'!D76+'CCE3'!E76</f>
        <v>0</v>
      </c>
      <c r="O79" s="164"/>
      <c r="P79" s="164"/>
      <c r="Q79" s="164"/>
      <c r="R79" s="164"/>
      <c r="S79" s="162">
        <f t="shared" si="2"/>
        <v>69</v>
      </c>
      <c r="T79" s="162"/>
      <c r="U79" s="162"/>
      <c r="V79" s="162"/>
      <c r="W79" s="162"/>
      <c r="X79" s="162">
        <f t="shared" si="3"/>
        <v>69</v>
      </c>
    </row>
    <row r="80" spans="1:24" s="160" customFormat="1" ht="15.75">
      <c r="A80" s="159">
        <v>67</v>
      </c>
      <c r="B80" s="157">
        <v>22167</v>
      </c>
      <c r="C80" s="158" t="s">
        <v>173</v>
      </c>
      <c r="D80" s="164">
        <f>'CCE1'!D77+'CCE1'!E77</f>
        <v>44</v>
      </c>
      <c r="E80" s="164"/>
      <c r="F80" s="164"/>
      <c r="G80" s="163"/>
      <c r="H80" s="163"/>
      <c r="I80" s="164">
        <f>'CCE2'!D77+'CCE2'!E77</f>
        <v>22</v>
      </c>
      <c r="J80" s="164"/>
      <c r="K80" s="163"/>
      <c r="L80" s="163"/>
      <c r="M80" s="163"/>
      <c r="N80" s="164">
        <f>'CCE3'!D77+'CCE3'!E77</f>
        <v>0</v>
      </c>
      <c r="O80" s="164"/>
      <c r="P80" s="164"/>
      <c r="Q80" s="164"/>
      <c r="R80" s="164"/>
      <c r="S80" s="162">
        <f t="shared" si="2"/>
        <v>66</v>
      </c>
      <c r="T80" s="162"/>
      <c r="U80" s="162"/>
      <c r="V80" s="162"/>
      <c r="W80" s="162"/>
      <c r="X80" s="162">
        <f t="shared" si="3"/>
        <v>66</v>
      </c>
    </row>
    <row r="81" spans="1:24" s="160" customFormat="1" ht="15.75">
      <c r="A81" s="159">
        <v>68</v>
      </c>
      <c r="B81" s="157">
        <v>22168</v>
      </c>
      <c r="C81" s="158" t="s">
        <v>174</v>
      </c>
      <c r="D81" s="164">
        <f>'CCE1'!D78+'CCE1'!E78</f>
        <v>48</v>
      </c>
      <c r="E81" s="164"/>
      <c r="F81" s="164"/>
      <c r="G81" s="163"/>
      <c r="H81" s="163"/>
      <c r="I81" s="164">
        <f>'CCE2'!D78+'CCE2'!E78</f>
        <v>21</v>
      </c>
      <c r="J81" s="164"/>
      <c r="K81" s="163"/>
      <c r="L81" s="163"/>
      <c r="M81" s="163"/>
      <c r="N81" s="164">
        <f>'CCE3'!D78+'CCE3'!E78</f>
        <v>0</v>
      </c>
      <c r="O81" s="164"/>
      <c r="P81" s="164"/>
      <c r="Q81" s="164"/>
      <c r="R81" s="164"/>
      <c r="S81" s="162">
        <f t="shared" si="2"/>
        <v>69</v>
      </c>
      <c r="T81" s="162"/>
      <c r="U81" s="162"/>
      <c r="V81" s="162"/>
      <c r="W81" s="162"/>
      <c r="X81" s="162">
        <f t="shared" si="3"/>
        <v>69</v>
      </c>
    </row>
    <row r="82" spans="1:24" s="160" customFormat="1" ht="15.75">
      <c r="A82" s="159">
        <v>69</v>
      </c>
      <c r="B82" s="157">
        <v>22201</v>
      </c>
      <c r="C82" s="158" t="s">
        <v>175</v>
      </c>
      <c r="D82" s="164">
        <f>'CCE1'!D79+'CCE1'!E79</f>
        <v>47</v>
      </c>
      <c r="E82" s="164"/>
      <c r="F82" s="164"/>
      <c r="G82" s="163"/>
      <c r="H82" s="163"/>
      <c r="I82" s="164">
        <f>'CCE2'!D79+'CCE2'!E79</f>
        <v>23</v>
      </c>
      <c r="J82" s="164"/>
      <c r="K82" s="163"/>
      <c r="L82" s="163"/>
      <c r="M82" s="163"/>
      <c r="N82" s="164">
        <f>'CCE3'!D79+'CCE3'!E79</f>
        <v>0</v>
      </c>
      <c r="O82" s="164"/>
      <c r="P82" s="164"/>
      <c r="Q82" s="164"/>
      <c r="R82" s="164"/>
      <c r="S82" s="162">
        <f t="shared" si="2"/>
        <v>70</v>
      </c>
      <c r="T82" s="162"/>
      <c r="U82" s="162"/>
      <c r="V82" s="162"/>
      <c r="W82" s="162"/>
      <c r="X82" s="162">
        <f t="shared" si="3"/>
        <v>70</v>
      </c>
    </row>
    <row r="83" spans="1:24" s="160" customFormat="1" ht="15.75">
      <c r="A83" s="159">
        <v>70</v>
      </c>
      <c r="B83" s="157">
        <v>22202</v>
      </c>
      <c r="C83" s="158" t="s">
        <v>176</v>
      </c>
      <c r="D83" s="164">
        <f>'CCE1'!D80+'CCE1'!E80</f>
        <v>45</v>
      </c>
      <c r="E83" s="164"/>
      <c r="F83" s="164"/>
      <c r="G83" s="163"/>
      <c r="H83" s="163"/>
      <c r="I83" s="164">
        <f>'CCE2'!D80+'CCE2'!E80</f>
        <v>22</v>
      </c>
      <c r="J83" s="164"/>
      <c r="K83" s="163"/>
      <c r="L83" s="163"/>
      <c r="M83" s="163"/>
      <c r="N83" s="164">
        <f>'CCE3'!D80+'CCE3'!E80</f>
        <v>0</v>
      </c>
      <c r="O83" s="164"/>
      <c r="P83" s="164"/>
      <c r="Q83" s="164"/>
      <c r="R83" s="164"/>
      <c r="S83" s="162">
        <f t="shared" si="2"/>
        <v>67</v>
      </c>
      <c r="T83" s="162"/>
      <c r="U83" s="162"/>
      <c r="V83" s="162"/>
      <c r="W83" s="162"/>
      <c r="X83" s="162">
        <f t="shared" si="3"/>
        <v>67</v>
      </c>
    </row>
    <row r="84" spans="1:24" s="160" customFormat="1" ht="15.75">
      <c r="A84" s="159">
        <v>71</v>
      </c>
      <c r="B84" s="157">
        <v>22203</v>
      </c>
      <c r="C84" s="158" t="s">
        <v>177</v>
      </c>
      <c r="D84" s="164">
        <f>'CCE1'!D81+'CCE1'!E81</f>
        <v>49</v>
      </c>
      <c r="E84" s="164"/>
      <c r="F84" s="164"/>
      <c r="G84" s="163"/>
      <c r="H84" s="163"/>
      <c r="I84" s="164">
        <f>'CCE2'!D81+'CCE2'!E81</f>
        <v>21</v>
      </c>
      <c r="J84" s="164"/>
      <c r="K84" s="163"/>
      <c r="L84" s="163"/>
      <c r="M84" s="163"/>
      <c r="N84" s="164">
        <f>'CCE3'!D81+'CCE3'!E81</f>
        <v>0</v>
      </c>
      <c r="O84" s="164"/>
      <c r="P84" s="164"/>
      <c r="Q84" s="164"/>
      <c r="R84" s="164"/>
      <c r="S84" s="162">
        <f t="shared" si="2"/>
        <v>70</v>
      </c>
      <c r="T84" s="162"/>
      <c r="U84" s="162"/>
      <c r="V84" s="162"/>
      <c r="W84" s="162"/>
      <c r="X84" s="162">
        <f t="shared" si="3"/>
        <v>70</v>
      </c>
    </row>
    <row r="85" spans="1:24" s="160" customFormat="1" ht="15.75">
      <c r="A85" s="159">
        <v>72</v>
      </c>
      <c r="B85" s="157">
        <v>22204</v>
      </c>
      <c r="C85" s="158" t="s">
        <v>178</v>
      </c>
      <c r="D85" s="164">
        <f>'CCE1'!D82+'CCE1'!E82</f>
        <v>49</v>
      </c>
      <c r="E85" s="164"/>
      <c r="F85" s="164"/>
      <c r="G85" s="163"/>
      <c r="H85" s="163"/>
      <c r="I85" s="164">
        <f>'CCE2'!D82+'CCE2'!E82</f>
        <v>14</v>
      </c>
      <c r="J85" s="164"/>
      <c r="K85" s="163"/>
      <c r="L85" s="163"/>
      <c r="M85" s="163"/>
      <c r="N85" s="164">
        <f>'CCE3'!D82+'CCE3'!E82</f>
        <v>0</v>
      </c>
      <c r="O85" s="164"/>
      <c r="P85" s="164"/>
      <c r="Q85" s="164"/>
      <c r="R85" s="164"/>
      <c r="S85" s="162">
        <f t="shared" si="2"/>
        <v>63</v>
      </c>
      <c r="T85" s="162"/>
      <c r="U85" s="162"/>
      <c r="V85" s="162"/>
      <c r="W85" s="162"/>
      <c r="X85" s="162">
        <f t="shared" si="3"/>
        <v>63</v>
      </c>
    </row>
    <row r="86" spans="1:24" s="160" customFormat="1" ht="15.75">
      <c r="A86" s="159">
        <v>73</v>
      </c>
      <c r="B86" s="157">
        <v>22205</v>
      </c>
      <c r="C86" s="158" t="s">
        <v>179</v>
      </c>
      <c r="D86" s="164">
        <f>'CCE1'!D83+'CCE1'!E83</f>
        <v>49</v>
      </c>
      <c r="E86" s="164"/>
      <c r="F86" s="164"/>
      <c r="G86" s="163"/>
      <c r="H86" s="163"/>
      <c r="I86" s="164">
        <f>'CCE2'!D83+'CCE2'!E83</f>
        <v>23</v>
      </c>
      <c r="J86" s="164"/>
      <c r="K86" s="163"/>
      <c r="L86" s="163"/>
      <c r="M86" s="163"/>
      <c r="N86" s="164">
        <f>'CCE3'!D83+'CCE3'!E83</f>
        <v>0</v>
      </c>
      <c r="O86" s="164"/>
      <c r="P86" s="164"/>
      <c r="Q86" s="164"/>
      <c r="R86" s="164"/>
      <c r="S86" s="162">
        <f t="shared" si="2"/>
        <v>72</v>
      </c>
      <c r="T86" s="162"/>
      <c r="U86" s="162"/>
      <c r="V86" s="162"/>
      <c r="W86" s="162"/>
      <c r="X86" s="162">
        <f t="shared" si="3"/>
        <v>72</v>
      </c>
    </row>
    <row r="87" spans="1:24" s="160" customFormat="1" ht="15.75">
      <c r="A87" s="159">
        <v>74</v>
      </c>
      <c r="B87" s="157">
        <v>22206</v>
      </c>
      <c r="C87" s="158" t="s">
        <v>180</v>
      </c>
      <c r="D87" s="164">
        <f>'CCE1'!D84+'CCE1'!E84</f>
        <v>44</v>
      </c>
      <c r="E87" s="164"/>
      <c r="F87" s="164"/>
      <c r="G87" s="163"/>
      <c r="H87" s="163"/>
      <c r="I87" s="164">
        <f>'CCE2'!D84+'CCE2'!E84</f>
        <v>22</v>
      </c>
      <c r="J87" s="164"/>
      <c r="K87" s="163"/>
      <c r="L87" s="163"/>
      <c r="M87" s="163"/>
      <c r="N87" s="164">
        <f>'CCE3'!D84+'CCE3'!E84</f>
        <v>0</v>
      </c>
      <c r="O87" s="164"/>
      <c r="P87" s="164"/>
      <c r="Q87" s="164"/>
      <c r="R87" s="164"/>
      <c r="S87" s="162">
        <f t="shared" si="2"/>
        <v>66</v>
      </c>
      <c r="T87" s="162"/>
      <c r="U87" s="162"/>
      <c r="V87" s="162"/>
      <c r="W87" s="162"/>
      <c r="X87" s="162">
        <f t="shared" si="3"/>
        <v>66</v>
      </c>
    </row>
    <row r="88" spans="1:24" s="160" customFormat="1" ht="15.75">
      <c r="A88" s="159">
        <v>75</v>
      </c>
      <c r="B88" s="157">
        <v>22207</v>
      </c>
      <c r="C88" s="158" t="s">
        <v>181</v>
      </c>
      <c r="D88" s="164">
        <f>'CCE1'!D85+'CCE1'!E85</f>
        <v>43</v>
      </c>
      <c r="E88" s="164"/>
      <c r="F88" s="164"/>
      <c r="G88" s="163"/>
      <c r="H88" s="163"/>
      <c r="I88" s="164">
        <f>'CCE2'!D85+'CCE2'!E85</f>
        <v>21</v>
      </c>
      <c r="J88" s="164"/>
      <c r="K88" s="163"/>
      <c r="L88" s="163"/>
      <c r="M88" s="163"/>
      <c r="N88" s="164">
        <f>'CCE3'!D85+'CCE3'!E85</f>
        <v>0</v>
      </c>
      <c r="O88" s="164"/>
      <c r="P88" s="164"/>
      <c r="Q88" s="164"/>
      <c r="R88" s="164"/>
      <c r="S88" s="162">
        <f t="shared" si="2"/>
        <v>64</v>
      </c>
      <c r="T88" s="162"/>
      <c r="U88" s="162"/>
      <c r="V88" s="162"/>
      <c r="W88" s="162"/>
      <c r="X88" s="162">
        <f t="shared" si="3"/>
        <v>64</v>
      </c>
    </row>
    <row r="89" spans="1:24" s="160" customFormat="1" ht="15.75">
      <c r="A89" s="159">
        <v>76</v>
      </c>
      <c r="B89" s="157">
        <v>22208</v>
      </c>
      <c r="C89" s="158" t="s">
        <v>182</v>
      </c>
      <c r="D89" s="164">
        <f>'CCE1'!D86+'CCE1'!E86</f>
        <v>48</v>
      </c>
      <c r="E89" s="164"/>
      <c r="F89" s="164"/>
      <c r="G89" s="163"/>
      <c r="H89" s="163"/>
      <c r="I89" s="164">
        <f>'CCE2'!D86+'CCE2'!E86</f>
        <v>21</v>
      </c>
      <c r="J89" s="164"/>
      <c r="K89" s="163"/>
      <c r="L89" s="163"/>
      <c r="M89" s="163"/>
      <c r="N89" s="164">
        <f>'CCE3'!D86+'CCE3'!E86</f>
        <v>0</v>
      </c>
      <c r="O89" s="164"/>
      <c r="P89" s="164"/>
      <c r="Q89" s="164"/>
      <c r="R89" s="164"/>
      <c r="S89" s="162">
        <f t="shared" si="2"/>
        <v>69</v>
      </c>
      <c r="T89" s="162"/>
      <c r="U89" s="162"/>
      <c r="V89" s="162"/>
      <c r="W89" s="162"/>
      <c r="X89" s="162">
        <f t="shared" si="3"/>
        <v>69</v>
      </c>
    </row>
    <row r="90" spans="1:24" ht="15.75">
      <c r="A90" s="159">
        <v>77</v>
      </c>
      <c r="B90" s="157">
        <v>22209</v>
      </c>
      <c r="C90" s="158" t="s">
        <v>183</v>
      </c>
      <c r="D90" s="164">
        <f>'CCE1'!D87+'CCE1'!E87</f>
        <v>48</v>
      </c>
      <c r="E90" s="164"/>
      <c r="F90" s="164"/>
      <c r="G90" s="161"/>
      <c r="H90" s="161"/>
      <c r="I90" s="164">
        <f>'CCE2'!D87+'CCE2'!E87</f>
        <v>21</v>
      </c>
      <c r="J90" s="164"/>
      <c r="K90" s="161"/>
      <c r="L90" s="161"/>
      <c r="M90" s="161"/>
      <c r="N90" s="164">
        <f>'CCE3'!D87+'CCE3'!E87</f>
        <v>0</v>
      </c>
      <c r="O90" s="164"/>
      <c r="P90" s="164"/>
      <c r="Q90" s="164"/>
      <c r="R90" s="164"/>
      <c r="S90" s="162">
        <f t="shared" si="2"/>
        <v>69</v>
      </c>
      <c r="T90" s="162"/>
      <c r="U90" s="162"/>
      <c r="V90" s="162"/>
      <c r="W90" s="162"/>
      <c r="X90" s="162">
        <f t="shared" si="3"/>
        <v>69</v>
      </c>
    </row>
    <row r="91" spans="1:24" ht="15.75">
      <c r="A91" s="159">
        <v>78</v>
      </c>
      <c r="B91" s="157">
        <v>22210</v>
      </c>
      <c r="C91" s="158" t="s">
        <v>184</v>
      </c>
      <c r="D91" s="164">
        <f>'CCE1'!D88+'CCE1'!E88</f>
        <v>46</v>
      </c>
      <c r="E91" s="164"/>
      <c r="F91" s="164"/>
      <c r="G91" s="163"/>
      <c r="H91" s="163"/>
      <c r="I91" s="164">
        <f>'CCE2'!D88+'CCE2'!E88</f>
        <v>22</v>
      </c>
      <c r="J91" s="164"/>
      <c r="K91" s="163"/>
      <c r="L91" s="163"/>
      <c r="M91" s="163"/>
      <c r="N91" s="164">
        <f>'CCE3'!D88+'CCE3'!E88</f>
        <v>0</v>
      </c>
      <c r="O91" s="164"/>
      <c r="P91" s="164"/>
      <c r="Q91" s="164"/>
      <c r="R91" s="164"/>
      <c r="S91" s="162">
        <f t="shared" si="2"/>
        <v>68</v>
      </c>
      <c r="T91" s="162"/>
      <c r="U91" s="162"/>
      <c r="V91" s="162"/>
      <c r="W91" s="162"/>
      <c r="X91" s="162">
        <f t="shared" si="3"/>
        <v>68</v>
      </c>
    </row>
    <row r="92" spans="1:24" ht="15.75">
      <c r="A92" s="159">
        <v>79</v>
      </c>
      <c r="B92" s="157">
        <v>22211</v>
      </c>
      <c r="C92" s="158" t="s">
        <v>185</v>
      </c>
      <c r="D92" s="164">
        <f>'CCE1'!D89+'CCE1'!E89</f>
        <v>49</v>
      </c>
      <c r="E92" s="164"/>
      <c r="F92" s="164"/>
      <c r="G92" s="163"/>
      <c r="H92" s="163"/>
      <c r="I92" s="164">
        <f>'CCE2'!D89+'CCE2'!E89</f>
        <v>21</v>
      </c>
      <c r="J92" s="164"/>
      <c r="K92" s="163"/>
      <c r="L92" s="163"/>
      <c r="M92" s="163"/>
      <c r="N92" s="164">
        <f>'CCE3'!D89+'CCE3'!E89</f>
        <v>0</v>
      </c>
      <c r="O92" s="164"/>
      <c r="P92" s="164"/>
      <c r="Q92" s="164"/>
      <c r="R92" s="164"/>
      <c r="S92" s="162">
        <f t="shared" si="2"/>
        <v>70</v>
      </c>
      <c r="T92" s="162"/>
      <c r="U92" s="162"/>
      <c r="V92" s="162"/>
      <c r="W92" s="162"/>
      <c r="X92" s="162">
        <f t="shared" si="3"/>
        <v>70</v>
      </c>
    </row>
    <row r="93" spans="1:24" ht="15.75">
      <c r="A93" s="159">
        <v>80</v>
      </c>
      <c r="B93" s="157">
        <v>22212</v>
      </c>
      <c r="C93" s="158" t="s">
        <v>186</v>
      </c>
      <c r="D93" s="164">
        <f>'CCE1'!D90+'CCE1'!E90</f>
        <v>42</v>
      </c>
      <c r="E93" s="164"/>
      <c r="F93" s="164"/>
      <c r="G93" s="163"/>
      <c r="H93" s="163"/>
      <c r="I93" s="164">
        <f>'CCE2'!D90+'CCE2'!E90</f>
        <v>22</v>
      </c>
      <c r="J93" s="164"/>
      <c r="K93" s="163"/>
      <c r="L93" s="163"/>
      <c r="M93" s="163"/>
      <c r="N93" s="164">
        <f>'CCE3'!D90+'CCE3'!E90</f>
        <v>0</v>
      </c>
      <c r="O93" s="164"/>
      <c r="P93" s="164"/>
      <c r="Q93" s="164"/>
      <c r="R93" s="164"/>
      <c r="S93" s="162">
        <f t="shared" si="2"/>
        <v>64</v>
      </c>
      <c r="T93" s="162"/>
      <c r="U93" s="162"/>
      <c r="V93" s="162"/>
      <c r="W93" s="162"/>
      <c r="X93" s="162">
        <f t="shared" si="3"/>
        <v>64</v>
      </c>
    </row>
    <row r="94" spans="1:24" ht="15.75">
      <c r="A94" s="159">
        <v>81</v>
      </c>
      <c r="B94" s="157">
        <v>22213</v>
      </c>
      <c r="C94" s="158" t="s">
        <v>187</v>
      </c>
      <c r="D94" s="164">
        <f>'CCE1'!D91+'CCE1'!E91</f>
        <v>40</v>
      </c>
      <c r="E94" s="164"/>
      <c r="F94" s="164"/>
      <c r="G94" s="163"/>
      <c r="H94" s="163"/>
      <c r="I94" s="164">
        <f>'CCE2'!D91+'CCE2'!E91</f>
        <v>23</v>
      </c>
      <c r="J94" s="164"/>
      <c r="K94" s="163"/>
      <c r="L94" s="163"/>
      <c r="M94" s="163"/>
      <c r="N94" s="164">
        <f>'CCE3'!D91+'CCE3'!E91</f>
        <v>0</v>
      </c>
      <c r="O94" s="164"/>
      <c r="P94" s="164"/>
      <c r="Q94" s="164"/>
      <c r="R94" s="164"/>
      <c r="S94" s="162">
        <f t="shared" si="2"/>
        <v>63</v>
      </c>
      <c r="T94" s="162"/>
      <c r="U94" s="162"/>
      <c r="V94" s="162"/>
      <c r="W94" s="162"/>
      <c r="X94" s="162">
        <f t="shared" si="3"/>
        <v>63</v>
      </c>
    </row>
    <row r="95" spans="1:24" ht="15.75">
      <c r="A95" s="159">
        <v>82</v>
      </c>
      <c r="B95" s="157">
        <v>22214</v>
      </c>
      <c r="C95" s="158" t="s">
        <v>188</v>
      </c>
      <c r="D95" s="164">
        <f>'CCE1'!D92+'CCE1'!E92</f>
        <v>46</v>
      </c>
      <c r="E95" s="164"/>
      <c r="F95" s="164"/>
      <c r="G95" s="163"/>
      <c r="H95" s="163"/>
      <c r="I95" s="164">
        <f>'CCE2'!D92+'CCE2'!E92</f>
        <v>22</v>
      </c>
      <c r="J95" s="164"/>
      <c r="K95" s="163"/>
      <c r="L95" s="163"/>
      <c r="M95" s="163"/>
      <c r="N95" s="164">
        <f>'CCE3'!D92+'CCE3'!E92</f>
        <v>0</v>
      </c>
      <c r="O95" s="164"/>
      <c r="P95" s="164"/>
      <c r="Q95" s="164"/>
      <c r="R95" s="164"/>
      <c r="S95" s="162">
        <f t="shared" si="2"/>
        <v>68</v>
      </c>
      <c r="T95" s="162"/>
      <c r="U95" s="162"/>
      <c r="V95" s="162"/>
      <c r="W95" s="162"/>
      <c r="X95" s="162">
        <f t="shared" si="3"/>
        <v>68</v>
      </c>
    </row>
    <row r="96" spans="1:24" ht="15.75">
      <c r="A96" s="159">
        <v>83</v>
      </c>
      <c r="B96" s="157">
        <v>22215</v>
      </c>
      <c r="C96" s="158" t="s">
        <v>189</v>
      </c>
      <c r="D96" s="164">
        <f>'CCE1'!D93+'CCE1'!E93</f>
        <v>47</v>
      </c>
      <c r="E96" s="164"/>
      <c r="F96" s="164"/>
      <c r="G96" s="163"/>
      <c r="H96" s="163"/>
      <c r="I96" s="164">
        <f>'CCE2'!D93+'CCE2'!E93</f>
        <v>18</v>
      </c>
      <c r="J96" s="164"/>
      <c r="K96" s="163"/>
      <c r="L96" s="163"/>
      <c r="M96" s="163"/>
      <c r="N96" s="164">
        <f>'CCE3'!D93+'CCE3'!E93</f>
        <v>0</v>
      </c>
      <c r="O96" s="164"/>
      <c r="P96" s="164"/>
      <c r="Q96" s="164"/>
      <c r="R96" s="164"/>
      <c r="S96" s="162">
        <f t="shared" si="2"/>
        <v>65</v>
      </c>
      <c r="T96" s="162"/>
      <c r="U96" s="162"/>
      <c r="V96" s="162"/>
      <c r="W96" s="162"/>
      <c r="X96" s="162">
        <f t="shared" si="3"/>
        <v>65</v>
      </c>
    </row>
    <row r="97" spans="1:24" ht="15.75">
      <c r="A97" s="159">
        <v>84</v>
      </c>
      <c r="B97" s="157">
        <v>22216</v>
      </c>
      <c r="C97" s="158" t="s">
        <v>190</v>
      </c>
      <c r="D97" s="164">
        <f>'CCE1'!D94+'CCE1'!E94</f>
        <v>41</v>
      </c>
      <c r="E97" s="164"/>
      <c r="F97" s="164"/>
      <c r="G97" s="163"/>
      <c r="H97" s="163"/>
      <c r="I97" s="164">
        <f>'CCE2'!D94+'CCE2'!E94</f>
        <v>23</v>
      </c>
      <c r="J97" s="164"/>
      <c r="K97" s="163"/>
      <c r="L97" s="163"/>
      <c r="M97" s="163"/>
      <c r="N97" s="164">
        <f>'CCE3'!D94+'CCE3'!E94</f>
        <v>0</v>
      </c>
      <c r="O97" s="164"/>
      <c r="P97" s="164"/>
      <c r="Q97" s="164"/>
      <c r="R97" s="164"/>
      <c r="S97" s="162">
        <f t="shared" si="2"/>
        <v>64</v>
      </c>
      <c r="T97" s="162"/>
      <c r="U97" s="162"/>
      <c r="V97" s="162"/>
      <c r="W97" s="162"/>
      <c r="X97" s="162">
        <f t="shared" si="3"/>
        <v>64</v>
      </c>
    </row>
    <row r="98" spans="1:24" ht="15.75">
      <c r="A98" s="159">
        <v>85</v>
      </c>
      <c r="B98" s="157">
        <v>22217</v>
      </c>
      <c r="C98" s="158" t="s">
        <v>191</v>
      </c>
      <c r="D98" s="164">
        <f>'CCE1'!D95+'CCE1'!E95</f>
        <v>42</v>
      </c>
      <c r="E98" s="164"/>
      <c r="F98" s="164"/>
      <c r="G98" s="163"/>
      <c r="H98" s="163"/>
      <c r="I98" s="164">
        <f>'CCE2'!D95+'CCE2'!E95</f>
        <v>22</v>
      </c>
      <c r="J98" s="164"/>
      <c r="K98" s="163"/>
      <c r="L98" s="163"/>
      <c r="M98" s="163"/>
      <c r="N98" s="164">
        <f>'CCE3'!D95+'CCE3'!E95</f>
        <v>0</v>
      </c>
      <c r="O98" s="164"/>
      <c r="P98" s="164"/>
      <c r="Q98" s="164"/>
      <c r="R98" s="164"/>
      <c r="S98" s="162">
        <f t="shared" si="2"/>
        <v>64</v>
      </c>
      <c r="T98" s="162"/>
      <c r="U98" s="162"/>
      <c r="V98" s="162"/>
      <c r="W98" s="162"/>
      <c r="X98" s="162">
        <f t="shared" si="3"/>
        <v>64</v>
      </c>
    </row>
    <row r="99" spans="1:24" ht="15.75">
      <c r="A99" s="159">
        <v>86</v>
      </c>
      <c r="B99" s="157">
        <v>22218</v>
      </c>
      <c r="C99" s="158" t="s">
        <v>192</v>
      </c>
      <c r="D99" s="164">
        <f>'CCE1'!D96+'CCE1'!E96</f>
        <v>46</v>
      </c>
      <c r="E99" s="164"/>
      <c r="F99" s="164"/>
      <c r="G99" s="163"/>
      <c r="H99" s="163"/>
      <c r="I99" s="164">
        <f>'CCE2'!D96+'CCE2'!E96</f>
        <v>18</v>
      </c>
      <c r="J99" s="164"/>
      <c r="K99" s="163"/>
      <c r="L99" s="163"/>
      <c r="M99" s="163"/>
      <c r="N99" s="164">
        <f>'CCE3'!D96+'CCE3'!E96</f>
        <v>0</v>
      </c>
      <c r="O99" s="164"/>
      <c r="P99" s="164"/>
      <c r="Q99" s="164"/>
      <c r="R99" s="164"/>
      <c r="S99" s="162">
        <f t="shared" si="2"/>
        <v>64</v>
      </c>
      <c r="T99" s="162"/>
      <c r="U99" s="162"/>
      <c r="V99" s="162"/>
      <c r="W99" s="162"/>
      <c r="X99" s="162">
        <f t="shared" si="3"/>
        <v>64</v>
      </c>
    </row>
    <row r="100" spans="1:24" ht="15.75">
      <c r="A100" s="159">
        <v>87</v>
      </c>
      <c r="B100" s="157">
        <v>22219</v>
      </c>
      <c r="C100" s="158" t="s">
        <v>193</v>
      </c>
      <c r="D100" s="164">
        <f>'CCE1'!D97+'CCE1'!E97</f>
        <v>50</v>
      </c>
      <c r="E100" s="164"/>
      <c r="F100" s="164"/>
      <c r="G100" s="163"/>
      <c r="H100" s="163"/>
      <c r="I100" s="164">
        <f>'CCE2'!D97+'CCE2'!E97</f>
        <v>18</v>
      </c>
      <c r="J100" s="164"/>
      <c r="K100" s="163"/>
      <c r="L100" s="163"/>
      <c r="M100" s="163"/>
      <c r="N100" s="164">
        <f>'CCE3'!D97+'CCE3'!E97</f>
        <v>0</v>
      </c>
      <c r="O100" s="164"/>
      <c r="P100" s="164"/>
      <c r="Q100" s="164"/>
      <c r="R100" s="164"/>
      <c r="S100" s="162">
        <f t="shared" si="2"/>
        <v>68</v>
      </c>
      <c r="T100" s="162"/>
      <c r="U100" s="162"/>
      <c r="V100" s="162"/>
      <c r="W100" s="162"/>
      <c r="X100" s="162">
        <f t="shared" si="3"/>
        <v>68</v>
      </c>
    </row>
    <row r="101" spans="1:24" ht="15.75">
      <c r="A101" s="159">
        <v>88</v>
      </c>
      <c r="B101" s="157">
        <v>22220</v>
      </c>
      <c r="C101" s="158" t="s">
        <v>194</v>
      </c>
      <c r="D101" s="164">
        <f>'CCE1'!D98+'CCE1'!E98</f>
        <v>0</v>
      </c>
      <c r="E101" s="164"/>
      <c r="F101" s="164"/>
      <c r="G101" s="163"/>
      <c r="H101" s="163"/>
      <c r="I101" s="164">
        <f>'CCE2'!D98+'CCE2'!E98</f>
        <v>0</v>
      </c>
      <c r="J101" s="164"/>
      <c r="K101" s="163"/>
      <c r="L101" s="163"/>
      <c r="M101" s="163"/>
      <c r="N101" s="164">
        <f>'CCE3'!D98+'CCE3'!E98</f>
        <v>0</v>
      </c>
      <c r="O101" s="164"/>
      <c r="P101" s="164"/>
      <c r="Q101" s="164"/>
      <c r="R101" s="164"/>
      <c r="S101" s="162">
        <f t="shared" si="2"/>
        <v>0</v>
      </c>
      <c r="T101" s="162"/>
      <c r="U101" s="162"/>
      <c r="V101" s="162"/>
      <c r="W101" s="162"/>
      <c r="X101" s="162">
        <f t="shared" si="3"/>
        <v>0</v>
      </c>
    </row>
    <row r="102" spans="1:24" ht="15.75">
      <c r="A102" s="159">
        <v>89</v>
      </c>
      <c r="B102" s="157">
        <v>22221</v>
      </c>
      <c r="C102" s="158" t="s">
        <v>195</v>
      </c>
      <c r="D102" s="164">
        <f>'CCE1'!D99+'CCE1'!E99</f>
        <v>46</v>
      </c>
      <c r="E102" s="164"/>
      <c r="F102" s="164"/>
      <c r="G102" s="163"/>
      <c r="H102" s="163"/>
      <c r="I102" s="164">
        <f>'CCE2'!D99+'CCE2'!E99</f>
        <v>18</v>
      </c>
      <c r="J102" s="164"/>
      <c r="K102" s="163"/>
      <c r="L102" s="163"/>
      <c r="M102" s="163"/>
      <c r="N102" s="164">
        <f>'CCE3'!D99+'CCE3'!E99</f>
        <v>0</v>
      </c>
      <c r="O102" s="164"/>
      <c r="P102" s="164"/>
      <c r="Q102" s="164"/>
      <c r="R102" s="164"/>
      <c r="S102" s="162">
        <f t="shared" si="2"/>
        <v>64</v>
      </c>
      <c r="T102" s="162"/>
      <c r="U102" s="162"/>
      <c r="V102" s="162"/>
      <c r="W102" s="162"/>
      <c r="X102" s="162">
        <f t="shared" si="3"/>
        <v>64</v>
      </c>
    </row>
    <row r="103" spans="1:24" ht="15.75">
      <c r="A103" s="159">
        <v>90</v>
      </c>
      <c r="B103" s="157">
        <v>22222</v>
      </c>
      <c r="C103" s="158" t="s">
        <v>196</v>
      </c>
      <c r="D103" s="164">
        <f>'CCE1'!D100+'CCE1'!E100</f>
        <v>48</v>
      </c>
      <c r="E103" s="164"/>
      <c r="F103" s="164"/>
      <c r="G103" s="163"/>
      <c r="H103" s="163"/>
      <c r="I103" s="164">
        <f>'CCE2'!D100+'CCE2'!E100</f>
        <v>21</v>
      </c>
      <c r="J103" s="164"/>
      <c r="K103" s="163"/>
      <c r="L103" s="163"/>
      <c r="M103" s="163"/>
      <c r="N103" s="164">
        <f>'CCE3'!D100+'CCE3'!E100</f>
        <v>0</v>
      </c>
      <c r="O103" s="164"/>
      <c r="P103" s="164"/>
      <c r="Q103" s="164"/>
      <c r="R103" s="164"/>
      <c r="S103" s="162">
        <f t="shared" si="2"/>
        <v>69</v>
      </c>
      <c r="T103" s="162"/>
      <c r="U103" s="162"/>
      <c r="V103" s="162"/>
      <c r="W103" s="162"/>
      <c r="X103" s="162">
        <f t="shared" si="3"/>
        <v>69</v>
      </c>
    </row>
    <row r="104" spans="1:24" ht="15.75">
      <c r="A104" s="159">
        <v>91</v>
      </c>
      <c r="B104" s="157">
        <v>22223</v>
      </c>
      <c r="C104" s="158" t="s">
        <v>197</v>
      </c>
      <c r="D104" s="164">
        <f>'CCE1'!D101+'CCE1'!E101</f>
        <v>39</v>
      </c>
      <c r="E104" s="164"/>
      <c r="F104" s="164"/>
      <c r="G104" s="163"/>
      <c r="H104" s="163"/>
      <c r="I104" s="164">
        <f>'CCE2'!D101+'CCE2'!E101</f>
        <v>23</v>
      </c>
      <c r="J104" s="164"/>
      <c r="K104" s="163"/>
      <c r="L104" s="163"/>
      <c r="M104" s="163"/>
      <c r="N104" s="164">
        <f>'CCE3'!D101+'CCE3'!E101</f>
        <v>0</v>
      </c>
      <c r="O104" s="164"/>
      <c r="P104" s="164"/>
      <c r="Q104" s="164"/>
      <c r="R104" s="164"/>
      <c r="S104" s="162">
        <f t="shared" si="2"/>
        <v>62</v>
      </c>
      <c r="T104" s="162"/>
      <c r="U104" s="162"/>
      <c r="V104" s="162"/>
      <c r="W104" s="162"/>
      <c r="X104" s="162">
        <f t="shared" si="3"/>
        <v>62</v>
      </c>
    </row>
    <row r="105" spans="1:24" ht="15.75">
      <c r="A105" s="159">
        <v>92</v>
      </c>
      <c r="B105" s="157">
        <v>22224</v>
      </c>
      <c r="C105" s="158" t="s">
        <v>198</v>
      </c>
      <c r="D105" s="164">
        <f>'CCE1'!D102+'CCE1'!E102</f>
        <v>45</v>
      </c>
      <c r="E105" s="164"/>
      <c r="F105" s="164"/>
      <c r="G105" s="163"/>
      <c r="H105" s="163"/>
      <c r="I105" s="164">
        <f>'CCE2'!D102+'CCE2'!E102</f>
        <v>18</v>
      </c>
      <c r="J105" s="164"/>
      <c r="K105" s="163"/>
      <c r="L105" s="163"/>
      <c r="M105" s="163"/>
      <c r="N105" s="164">
        <f>'CCE3'!D102+'CCE3'!E102</f>
        <v>0</v>
      </c>
      <c r="O105" s="164"/>
      <c r="P105" s="164"/>
      <c r="Q105" s="164"/>
      <c r="R105" s="164"/>
      <c r="S105" s="162">
        <f t="shared" si="2"/>
        <v>63</v>
      </c>
      <c r="T105" s="162"/>
      <c r="U105" s="162"/>
      <c r="V105" s="162"/>
      <c r="W105" s="162"/>
      <c r="X105" s="162">
        <f t="shared" si="3"/>
        <v>63</v>
      </c>
    </row>
    <row r="106" spans="1:24" ht="15.75">
      <c r="A106" s="159">
        <v>93</v>
      </c>
      <c r="B106" s="157">
        <v>22225</v>
      </c>
      <c r="C106" s="158" t="s">
        <v>199</v>
      </c>
      <c r="D106" s="164">
        <f>'CCE1'!D103+'CCE1'!E103</f>
        <v>48</v>
      </c>
      <c r="E106" s="164"/>
      <c r="F106" s="164"/>
      <c r="G106" s="163"/>
      <c r="H106" s="163"/>
      <c r="I106" s="164">
        <f>'CCE2'!D103+'CCE2'!E103</f>
        <v>21</v>
      </c>
      <c r="J106" s="164"/>
      <c r="K106" s="163"/>
      <c r="L106" s="163"/>
      <c r="M106" s="163"/>
      <c r="N106" s="164">
        <f>'CCE3'!D103+'CCE3'!E103</f>
        <v>0</v>
      </c>
      <c r="O106" s="164"/>
      <c r="P106" s="164"/>
      <c r="Q106" s="164"/>
      <c r="R106" s="164"/>
      <c r="S106" s="162">
        <f t="shared" si="2"/>
        <v>69</v>
      </c>
      <c r="T106" s="162"/>
      <c r="U106" s="162"/>
      <c r="V106" s="162"/>
      <c r="W106" s="162"/>
      <c r="X106" s="162">
        <f t="shared" si="3"/>
        <v>69</v>
      </c>
    </row>
    <row r="107" spans="1:24" ht="15.75">
      <c r="A107" s="159">
        <v>94</v>
      </c>
      <c r="B107" s="157">
        <v>22226</v>
      </c>
      <c r="C107" s="158" t="s">
        <v>200</v>
      </c>
      <c r="D107" s="164">
        <f>'CCE1'!D104+'CCE1'!E104</f>
        <v>46</v>
      </c>
      <c r="E107" s="164"/>
      <c r="F107" s="164"/>
      <c r="G107" s="163"/>
      <c r="H107" s="163"/>
      <c r="I107" s="164">
        <f>'CCE2'!D104+'CCE2'!E104</f>
        <v>23</v>
      </c>
      <c r="J107" s="164"/>
      <c r="K107" s="163"/>
      <c r="L107" s="163"/>
      <c r="M107" s="163"/>
      <c r="N107" s="164">
        <f>'CCE3'!D104+'CCE3'!E104</f>
        <v>0</v>
      </c>
      <c r="O107" s="164"/>
      <c r="P107" s="164"/>
      <c r="Q107" s="164"/>
      <c r="R107" s="164"/>
      <c r="S107" s="162">
        <f t="shared" si="2"/>
        <v>69</v>
      </c>
      <c r="T107" s="162"/>
      <c r="U107" s="162"/>
      <c r="V107" s="162"/>
      <c r="W107" s="162"/>
      <c r="X107" s="162">
        <f t="shared" si="3"/>
        <v>69</v>
      </c>
    </row>
    <row r="108" spans="1:24" ht="15.75">
      <c r="A108" s="159">
        <v>95</v>
      </c>
      <c r="B108" s="157">
        <v>22227</v>
      </c>
      <c r="C108" s="158" t="s">
        <v>201</v>
      </c>
      <c r="D108" s="164">
        <f>'CCE1'!D105+'CCE1'!E105</f>
        <v>44</v>
      </c>
      <c r="E108" s="164"/>
      <c r="F108" s="164"/>
      <c r="G108" s="163"/>
      <c r="H108" s="163"/>
      <c r="I108" s="164">
        <f>'CCE2'!D105+'CCE2'!E105</f>
        <v>21</v>
      </c>
      <c r="J108" s="164"/>
      <c r="K108" s="163"/>
      <c r="L108" s="163"/>
      <c r="M108" s="163"/>
      <c r="N108" s="164">
        <f>'CCE3'!D105+'CCE3'!E105</f>
        <v>0</v>
      </c>
      <c r="O108" s="164"/>
      <c r="P108" s="164"/>
      <c r="Q108" s="164"/>
      <c r="R108" s="164"/>
      <c r="S108" s="162">
        <f t="shared" si="2"/>
        <v>65</v>
      </c>
      <c r="T108" s="162"/>
      <c r="U108" s="162"/>
      <c r="V108" s="162"/>
      <c r="W108" s="162"/>
      <c r="X108" s="162">
        <f t="shared" si="3"/>
        <v>65</v>
      </c>
    </row>
    <row r="109" spans="1:24" ht="15.75">
      <c r="A109" s="159">
        <v>96</v>
      </c>
      <c r="B109" s="157">
        <v>22228</v>
      </c>
      <c r="C109" s="158" t="s">
        <v>202</v>
      </c>
      <c r="D109" s="164">
        <f>'CCE1'!D106+'CCE1'!E106</f>
        <v>41</v>
      </c>
      <c r="E109" s="164"/>
      <c r="F109" s="164"/>
      <c r="G109" s="163"/>
      <c r="H109" s="163"/>
      <c r="I109" s="164">
        <f>'CCE2'!D106+'CCE2'!E106</f>
        <v>20</v>
      </c>
      <c r="J109" s="164"/>
      <c r="K109" s="163"/>
      <c r="L109" s="163"/>
      <c r="M109" s="163"/>
      <c r="N109" s="164">
        <f>'CCE3'!D106+'CCE3'!E106</f>
        <v>0</v>
      </c>
      <c r="O109" s="164"/>
      <c r="P109" s="164"/>
      <c r="Q109" s="164"/>
      <c r="R109" s="164"/>
      <c r="S109" s="162">
        <f t="shared" si="2"/>
        <v>61</v>
      </c>
      <c r="T109" s="162"/>
      <c r="U109" s="162"/>
      <c r="V109" s="162"/>
      <c r="W109" s="162"/>
      <c r="X109" s="162">
        <f t="shared" si="3"/>
        <v>61</v>
      </c>
    </row>
    <row r="110" spans="1:24" ht="15.75">
      <c r="A110" s="159">
        <v>97</v>
      </c>
      <c r="B110" s="157">
        <v>22229</v>
      </c>
      <c r="C110" s="158" t="s">
        <v>203</v>
      </c>
      <c r="D110" s="164">
        <f>'CCE1'!D107+'CCE1'!E107</f>
        <v>44</v>
      </c>
      <c r="E110" s="164"/>
      <c r="F110" s="164"/>
      <c r="G110" s="163"/>
      <c r="H110" s="163"/>
      <c r="I110" s="164">
        <f>'CCE2'!D107+'CCE2'!E107</f>
        <v>21</v>
      </c>
      <c r="J110" s="164"/>
      <c r="K110" s="163"/>
      <c r="L110" s="163"/>
      <c r="M110" s="163"/>
      <c r="N110" s="164">
        <f>'CCE3'!D107+'CCE3'!E107</f>
        <v>0</v>
      </c>
      <c r="O110" s="164"/>
      <c r="P110" s="164"/>
      <c r="Q110" s="164"/>
      <c r="R110" s="164"/>
      <c r="S110" s="162">
        <f t="shared" si="2"/>
        <v>65</v>
      </c>
      <c r="T110" s="162"/>
      <c r="U110" s="162"/>
      <c r="V110" s="162"/>
      <c r="W110" s="162"/>
      <c r="X110" s="162">
        <f t="shared" si="3"/>
        <v>65</v>
      </c>
    </row>
    <row r="111" spans="1:24" ht="15.75">
      <c r="A111" s="159">
        <v>98</v>
      </c>
      <c r="B111" s="157">
        <v>22230</v>
      </c>
      <c r="C111" s="158" t="s">
        <v>204</v>
      </c>
      <c r="D111" s="164">
        <f>'CCE1'!D108+'CCE1'!E108</f>
        <v>49</v>
      </c>
      <c r="E111" s="164"/>
      <c r="F111" s="164"/>
      <c r="G111" s="163"/>
      <c r="H111" s="163"/>
      <c r="I111" s="164">
        <f>'CCE2'!D108+'CCE2'!E108</f>
        <v>20</v>
      </c>
      <c r="J111" s="164"/>
      <c r="K111" s="163"/>
      <c r="L111" s="163"/>
      <c r="M111" s="163"/>
      <c r="N111" s="164">
        <f>'CCE3'!D108+'CCE3'!E108</f>
        <v>0</v>
      </c>
      <c r="O111" s="164"/>
      <c r="P111" s="164"/>
      <c r="Q111" s="164"/>
      <c r="R111" s="164"/>
      <c r="S111" s="162">
        <f t="shared" si="2"/>
        <v>69</v>
      </c>
      <c r="T111" s="162"/>
      <c r="U111" s="162"/>
      <c r="V111" s="162"/>
      <c r="W111" s="162"/>
      <c r="X111" s="162">
        <f t="shared" si="3"/>
        <v>69</v>
      </c>
    </row>
    <row r="112" spans="1:24" ht="15.75">
      <c r="A112" s="159">
        <v>99</v>
      </c>
      <c r="B112" s="157">
        <v>22231</v>
      </c>
      <c r="C112" s="158" t="s">
        <v>205</v>
      </c>
      <c r="D112" s="164">
        <f>'CCE1'!D109+'CCE1'!E109</f>
        <v>44</v>
      </c>
      <c r="E112" s="164"/>
      <c r="F112" s="164"/>
      <c r="G112" s="163"/>
      <c r="H112" s="163"/>
      <c r="I112" s="164">
        <f>'CCE2'!D109+'CCE2'!E109</f>
        <v>20</v>
      </c>
      <c r="J112" s="164"/>
      <c r="K112" s="163"/>
      <c r="L112" s="163"/>
      <c r="M112" s="163"/>
      <c r="N112" s="164">
        <f>'CCE3'!D109+'CCE3'!E109</f>
        <v>0</v>
      </c>
      <c r="O112" s="164"/>
      <c r="P112" s="164"/>
      <c r="Q112" s="164"/>
      <c r="R112" s="164"/>
      <c r="S112" s="162">
        <f t="shared" si="2"/>
        <v>64</v>
      </c>
      <c r="T112" s="162"/>
      <c r="U112" s="162"/>
      <c r="V112" s="162"/>
      <c r="W112" s="162"/>
      <c r="X112" s="162">
        <f t="shared" si="3"/>
        <v>64</v>
      </c>
    </row>
    <row r="113" spans="1:24" ht="15.75">
      <c r="A113" s="159">
        <v>100</v>
      </c>
      <c r="B113" s="157">
        <v>22232</v>
      </c>
      <c r="C113" s="158" t="s">
        <v>206</v>
      </c>
      <c r="D113" s="164">
        <f>'CCE1'!D110+'CCE1'!E110</f>
        <v>0</v>
      </c>
      <c r="E113" s="164"/>
      <c r="F113" s="164"/>
      <c r="G113" s="163"/>
      <c r="H113" s="163"/>
      <c r="I113" s="164">
        <f>'CCE2'!D110+'CCE2'!E110</f>
        <v>0</v>
      </c>
      <c r="J113" s="164"/>
      <c r="K113" s="163"/>
      <c r="L113" s="163"/>
      <c r="M113" s="163"/>
      <c r="N113" s="164">
        <f>'CCE3'!D110+'CCE3'!E110</f>
        <v>0</v>
      </c>
      <c r="O113" s="164"/>
      <c r="P113" s="164"/>
      <c r="Q113" s="164"/>
      <c r="R113" s="164"/>
      <c r="S113" s="162">
        <f t="shared" si="2"/>
        <v>0</v>
      </c>
      <c r="T113" s="162"/>
      <c r="U113" s="162"/>
      <c r="V113" s="162"/>
      <c r="W113" s="162"/>
      <c r="X113" s="162">
        <f t="shared" si="3"/>
        <v>0</v>
      </c>
    </row>
    <row r="114" spans="1:24" ht="15.75">
      <c r="A114" s="159">
        <v>101</v>
      </c>
      <c r="B114" s="157">
        <v>22233</v>
      </c>
      <c r="C114" s="158" t="s">
        <v>207</v>
      </c>
      <c r="D114" s="164">
        <f>'CCE1'!D111+'CCE1'!E111</f>
        <v>0</v>
      </c>
      <c r="E114" s="164"/>
      <c r="F114" s="164"/>
      <c r="G114" s="163"/>
      <c r="H114" s="163"/>
      <c r="I114" s="164">
        <f>'CCE2'!D111+'CCE2'!E111</f>
        <v>0</v>
      </c>
      <c r="J114" s="164"/>
      <c r="K114" s="163"/>
      <c r="L114" s="163"/>
      <c r="M114" s="163"/>
      <c r="N114" s="164">
        <f>'CCE3'!D111+'CCE3'!E111</f>
        <v>0</v>
      </c>
      <c r="O114" s="164"/>
      <c r="P114" s="164"/>
      <c r="Q114" s="164"/>
      <c r="R114" s="164"/>
      <c r="S114" s="162">
        <f t="shared" si="2"/>
        <v>0</v>
      </c>
      <c r="T114" s="162"/>
      <c r="U114" s="162"/>
      <c r="V114" s="162"/>
      <c r="W114" s="162"/>
      <c r="X114" s="162">
        <f t="shared" si="3"/>
        <v>0</v>
      </c>
    </row>
    <row r="115" spans="1:24" ht="15.75">
      <c r="A115" s="159">
        <v>102</v>
      </c>
      <c r="B115" s="157">
        <v>22234</v>
      </c>
      <c r="C115" s="158" t="s">
        <v>208</v>
      </c>
      <c r="D115" s="164">
        <f>'CCE1'!D112+'CCE1'!E112</f>
        <v>0</v>
      </c>
      <c r="E115" s="164"/>
      <c r="F115" s="164"/>
      <c r="G115" s="163"/>
      <c r="H115" s="163"/>
      <c r="I115" s="164">
        <f>'CCE2'!D112+'CCE2'!E112</f>
        <v>0</v>
      </c>
      <c r="J115" s="164"/>
      <c r="K115" s="163"/>
      <c r="L115" s="163"/>
      <c r="M115" s="163"/>
      <c r="N115" s="164">
        <f>'CCE3'!D112+'CCE3'!E112</f>
        <v>0</v>
      </c>
      <c r="O115" s="164"/>
      <c r="P115" s="164"/>
      <c r="Q115" s="164"/>
      <c r="R115" s="164"/>
      <c r="S115" s="162">
        <f t="shared" si="2"/>
        <v>0</v>
      </c>
      <c r="T115" s="162"/>
      <c r="U115" s="162"/>
      <c r="V115" s="162"/>
      <c r="W115" s="162"/>
      <c r="X115" s="162">
        <f t="shared" si="3"/>
        <v>0</v>
      </c>
    </row>
    <row r="116" spans="1:24" ht="15.75">
      <c r="A116" s="159">
        <v>103</v>
      </c>
      <c r="B116" s="157">
        <v>22235</v>
      </c>
      <c r="C116" s="158" t="s">
        <v>209</v>
      </c>
      <c r="D116" s="164">
        <f>'CCE1'!D113+'CCE1'!E113</f>
        <v>0</v>
      </c>
      <c r="E116" s="164"/>
      <c r="F116" s="164"/>
      <c r="G116" s="163"/>
      <c r="H116" s="163"/>
      <c r="I116" s="164">
        <f>'CCE2'!D113+'CCE2'!E113</f>
        <v>0</v>
      </c>
      <c r="J116" s="164"/>
      <c r="K116" s="163"/>
      <c r="L116" s="163"/>
      <c r="M116" s="163"/>
      <c r="N116" s="164">
        <f>'CCE3'!D113+'CCE3'!E113</f>
        <v>0</v>
      </c>
      <c r="O116" s="164"/>
      <c r="P116" s="164"/>
      <c r="Q116" s="164"/>
      <c r="R116" s="164"/>
      <c r="S116" s="162">
        <f t="shared" si="2"/>
        <v>0</v>
      </c>
      <c r="T116" s="162"/>
      <c r="U116" s="162"/>
      <c r="V116" s="162"/>
      <c r="W116" s="162"/>
      <c r="X116" s="162">
        <f t="shared" si="3"/>
        <v>0</v>
      </c>
    </row>
    <row r="117" spans="1:24" ht="15.75">
      <c r="A117" s="159">
        <v>104</v>
      </c>
      <c r="B117" s="157">
        <v>22236</v>
      </c>
      <c r="C117" s="158" t="s">
        <v>210</v>
      </c>
      <c r="D117" s="164">
        <f>'CCE1'!D114+'CCE1'!E114</f>
        <v>0</v>
      </c>
      <c r="E117" s="164"/>
      <c r="F117" s="164"/>
      <c r="G117" s="163"/>
      <c r="H117" s="163"/>
      <c r="I117" s="164">
        <f>'CCE2'!D114+'CCE2'!E114</f>
        <v>0</v>
      </c>
      <c r="J117" s="164"/>
      <c r="K117" s="163"/>
      <c r="L117" s="163"/>
      <c r="M117" s="163"/>
      <c r="N117" s="164">
        <f>'CCE3'!D114+'CCE3'!E114</f>
        <v>0</v>
      </c>
      <c r="O117" s="164"/>
      <c r="P117" s="164"/>
      <c r="Q117" s="164"/>
      <c r="R117" s="164"/>
      <c r="S117" s="162">
        <f t="shared" si="2"/>
        <v>0</v>
      </c>
      <c r="T117" s="162"/>
      <c r="U117" s="162"/>
      <c r="V117" s="162"/>
      <c r="W117" s="162"/>
      <c r="X117" s="162">
        <f t="shared" si="3"/>
        <v>0</v>
      </c>
    </row>
    <row r="118" spans="1:24" ht="15.75">
      <c r="A118" s="159">
        <v>105</v>
      </c>
      <c r="B118" s="157">
        <v>22237</v>
      </c>
      <c r="C118" s="158" t="s">
        <v>211</v>
      </c>
      <c r="D118" s="164">
        <f>'CCE1'!D115+'CCE1'!E115</f>
        <v>0</v>
      </c>
      <c r="E118" s="164"/>
      <c r="F118" s="164"/>
      <c r="G118" s="163"/>
      <c r="H118" s="163"/>
      <c r="I118" s="164">
        <f>'CCE2'!D115+'CCE2'!E115</f>
        <v>0</v>
      </c>
      <c r="J118" s="164"/>
      <c r="K118" s="163"/>
      <c r="L118" s="163"/>
      <c r="M118" s="163"/>
      <c r="N118" s="164">
        <f>'CCE3'!D115+'CCE3'!E115</f>
        <v>0</v>
      </c>
      <c r="O118" s="164"/>
      <c r="P118" s="164"/>
      <c r="Q118" s="164"/>
      <c r="R118" s="164"/>
      <c r="S118" s="162">
        <f t="shared" si="2"/>
        <v>0</v>
      </c>
      <c r="T118" s="162"/>
      <c r="U118" s="162"/>
      <c r="V118" s="162"/>
      <c r="W118" s="162"/>
      <c r="X118" s="162">
        <f t="shared" si="3"/>
        <v>0</v>
      </c>
    </row>
    <row r="119" spans="1:24" ht="15.75">
      <c r="A119" s="159">
        <v>106</v>
      </c>
      <c r="B119" s="157">
        <v>22238</v>
      </c>
      <c r="C119" s="158" t="s">
        <v>212</v>
      </c>
      <c r="D119" s="164">
        <f>'CCE1'!D116+'CCE1'!E116</f>
        <v>40</v>
      </c>
      <c r="E119" s="164"/>
      <c r="F119" s="164"/>
      <c r="G119" s="163"/>
      <c r="H119" s="163"/>
      <c r="I119" s="164">
        <f>'CCE2'!D116+'CCE2'!E116</f>
        <v>23</v>
      </c>
      <c r="J119" s="164"/>
      <c r="K119" s="163"/>
      <c r="L119" s="163"/>
      <c r="M119" s="163"/>
      <c r="N119" s="164">
        <f>'CCE3'!D116+'CCE3'!E116</f>
        <v>0</v>
      </c>
      <c r="O119" s="164"/>
      <c r="P119" s="164"/>
      <c r="Q119" s="164"/>
      <c r="R119" s="164"/>
      <c r="S119" s="162">
        <f t="shared" si="2"/>
        <v>63</v>
      </c>
      <c r="T119" s="162"/>
      <c r="U119" s="162"/>
      <c r="V119" s="162"/>
      <c r="W119" s="162"/>
      <c r="X119" s="162">
        <f t="shared" si="3"/>
        <v>63</v>
      </c>
    </row>
    <row r="120" spans="1:24" ht="15.75">
      <c r="A120" s="159">
        <v>107</v>
      </c>
      <c r="B120" s="157">
        <v>22239</v>
      </c>
      <c r="C120" s="158" t="s">
        <v>213</v>
      </c>
      <c r="D120" s="164">
        <f>'CCE1'!D117+'CCE1'!E117</f>
        <v>40</v>
      </c>
      <c r="E120" s="164"/>
      <c r="F120" s="164"/>
      <c r="G120" s="163"/>
      <c r="H120" s="163"/>
      <c r="I120" s="164">
        <f>'CCE2'!D117+'CCE2'!E117</f>
        <v>22</v>
      </c>
      <c r="J120" s="164"/>
      <c r="K120" s="163"/>
      <c r="L120" s="163"/>
      <c r="M120" s="163"/>
      <c r="N120" s="164">
        <f>'CCE3'!D117+'CCE3'!E117</f>
        <v>0</v>
      </c>
      <c r="O120" s="164"/>
      <c r="P120" s="164"/>
      <c r="Q120" s="164"/>
      <c r="R120" s="164"/>
      <c r="S120" s="162">
        <f t="shared" si="2"/>
        <v>62</v>
      </c>
      <c r="T120" s="162"/>
      <c r="U120" s="162"/>
      <c r="V120" s="162"/>
      <c r="W120" s="162"/>
      <c r="X120" s="162">
        <f t="shared" si="3"/>
        <v>62</v>
      </c>
    </row>
    <row r="121" spans="1:24" ht="15.75">
      <c r="A121" s="159">
        <v>108</v>
      </c>
      <c r="B121" s="157">
        <v>22240</v>
      </c>
      <c r="C121" s="158" t="s">
        <v>214</v>
      </c>
      <c r="D121" s="164">
        <f>'CCE1'!D118+'CCE1'!E118</f>
        <v>41</v>
      </c>
      <c r="E121" s="164"/>
      <c r="F121" s="164"/>
      <c r="G121" s="163"/>
      <c r="H121" s="163"/>
      <c r="I121" s="164">
        <f>'CCE2'!D118+'CCE2'!E118</f>
        <v>23</v>
      </c>
      <c r="J121" s="164"/>
      <c r="K121" s="163"/>
      <c r="L121" s="163"/>
      <c r="M121" s="163"/>
      <c r="N121" s="164">
        <f>'CCE3'!D118+'CCE3'!E118</f>
        <v>0</v>
      </c>
      <c r="O121" s="164"/>
      <c r="P121" s="164"/>
      <c r="Q121" s="164"/>
      <c r="R121" s="164"/>
      <c r="S121" s="162">
        <f t="shared" si="2"/>
        <v>64</v>
      </c>
      <c r="T121" s="162"/>
      <c r="U121" s="162"/>
      <c r="V121" s="162"/>
      <c r="W121" s="162"/>
      <c r="X121" s="162">
        <f t="shared" si="3"/>
        <v>64</v>
      </c>
    </row>
    <row r="122" spans="1:24" ht="15.6" customHeight="1">
      <c r="A122" s="127"/>
      <c r="B122" s="127"/>
      <c r="C122" s="186" t="s">
        <v>24</v>
      </c>
      <c r="D122" s="126">
        <f>IFERROR(COUNT(D14:D121),"NA")</f>
        <v>108</v>
      </c>
      <c r="E122" s="126"/>
      <c r="F122" s="126"/>
      <c r="G122" s="126"/>
      <c r="H122" s="126"/>
      <c r="I122" s="126">
        <f t="shared" ref="I122:X122" si="4">IFERROR(COUNT(I14:I121),"NA")</f>
        <v>108</v>
      </c>
      <c r="J122" s="126"/>
      <c r="K122" s="126"/>
      <c r="L122" s="126"/>
      <c r="M122" s="126"/>
      <c r="N122" s="126"/>
      <c r="O122" s="126"/>
      <c r="P122" s="126"/>
      <c r="Q122" s="126"/>
      <c r="R122" s="126"/>
      <c r="S122" s="126">
        <f t="shared" si="4"/>
        <v>108</v>
      </c>
      <c r="T122" s="126"/>
      <c r="U122" s="126"/>
      <c r="V122" s="126"/>
      <c r="W122" s="126"/>
      <c r="X122" s="126">
        <f t="shared" si="4"/>
        <v>108</v>
      </c>
    </row>
    <row r="123" spans="1:24" ht="18.75">
      <c r="A123" s="129"/>
      <c r="B123" s="129"/>
      <c r="C123" s="187" t="str">
        <f>CONCATENATE("No of students more than ",70, "% = (x1)")</f>
        <v>No of students more than 70% = (x1)</v>
      </c>
      <c r="D123" s="126">
        <f>COUNTIF(D14:D121,"&gt;="&amp;D13*70%)</f>
        <v>101</v>
      </c>
      <c r="E123" s="126"/>
      <c r="F123" s="126"/>
      <c r="G123" s="126"/>
      <c r="H123" s="126"/>
      <c r="I123" s="126">
        <f t="shared" ref="I123:X123" si="5">COUNTIF(I14:I121,"&gt;="&amp;I13*70%)</f>
        <v>95</v>
      </c>
      <c r="J123" s="126"/>
      <c r="K123" s="126"/>
      <c r="L123" s="126"/>
      <c r="M123" s="126"/>
      <c r="N123" s="126"/>
      <c r="O123" s="126"/>
      <c r="P123" s="126"/>
      <c r="Q123" s="126"/>
      <c r="R123" s="126"/>
      <c r="S123" s="126">
        <f t="shared" si="5"/>
        <v>101</v>
      </c>
      <c r="T123" s="126"/>
      <c r="U123" s="126"/>
      <c r="V123" s="126"/>
      <c r="W123" s="126"/>
      <c r="X123" s="126">
        <f t="shared" si="5"/>
        <v>101</v>
      </c>
    </row>
    <row r="124" spans="1:24" ht="37.5">
      <c r="A124" s="129"/>
      <c r="B124" s="129"/>
      <c r="C124" s="188" t="str">
        <f>CONCATENATE("No of students between 70 and ",60, "% = (x2)")</f>
        <v>No of students between 70 and 60% = (x2)</v>
      </c>
      <c r="D124" s="126">
        <f>COUNTIFS(D14:D121,"&gt;="&amp;D13*60%,D14:D121,"&lt;"&amp;D13*70%)</f>
        <v>0</v>
      </c>
      <c r="E124" s="126"/>
      <c r="F124" s="126"/>
      <c r="G124" s="126"/>
      <c r="H124" s="126"/>
      <c r="I124" s="126">
        <f t="shared" ref="I124:X124" si="6">COUNTIFS(I14:I121,"&gt;="&amp;I13*60%,I14:I121,"&lt;"&amp;I13*70%)</f>
        <v>4</v>
      </c>
      <c r="J124" s="126"/>
      <c r="K124" s="126"/>
      <c r="L124" s="126"/>
      <c r="M124" s="126"/>
      <c r="N124" s="126"/>
      <c r="O124" s="126"/>
      <c r="P124" s="126"/>
      <c r="Q124" s="126"/>
      <c r="R124" s="126"/>
      <c r="S124" s="126">
        <f t="shared" si="6"/>
        <v>0</v>
      </c>
      <c r="T124" s="126"/>
      <c r="U124" s="126"/>
      <c r="V124" s="126"/>
      <c r="W124" s="126"/>
      <c r="X124" s="126">
        <f t="shared" si="6"/>
        <v>0</v>
      </c>
    </row>
    <row r="125" spans="1:24" ht="15.6" customHeight="1">
      <c r="A125" s="130"/>
      <c r="B125" s="129"/>
      <c r="C125" s="189" t="str">
        <f>CONCATENATE("No of students between 60 and ",50, "% = (x3)")</f>
        <v>No of students between 60 and 50% = (x3)</v>
      </c>
      <c r="D125" s="126">
        <f>COUNTIFS(D14:D121,"&gt;="&amp;D13*50%,D14:D121,"&lt;"&amp;D13*60%)</f>
        <v>0</v>
      </c>
      <c r="E125" s="126"/>
      <c r="F125" s="126"/>
      <c r="G125" s="126"/>
      <c r="H125" s="126"/>
      <c r="I125" s="126">
        <f t="shared" ref="I125:X125" si="7">COUNTIFS(I14:I121,"&gt;="&amp;I13*50%,I14:I121,"&lt;"&amp;I13*60%)</f>
        <v>2</v>
      </c>
      <c r="J125" s="126"/>
      <c r="K125" s="126"/>
      <c r="L125" s="126"/>
      <c r="M125" s="126"/>
      <c r="N125" s="126"/>
      <c r="O125" s="126"/>
      <c r="P125" s="126"/>
      <c r="Q125" s="126"/>
      <c r="R125" s="126"/>
      <c r="S125" s="126">
        <f t="shared" si="7"/>
        <v>0</v>
      </c>
      <c r="T125" s="126"/>
      <c r="U125" s="126"/>
      <c r="V125" s="126"/>
      <c r="W125" s="126"/>
      <c r="X125" s="126">
        <f t="shared" si="7"/>
        <v>0</v>
      </c>
    </row>
    <row r="126" spans="1:24" ht="15.6" customHeight="1">
      <c r="A126" s="184"/>
      <c r="B126" s="185"/>
      <c r="C126" s="190" t="s">
        <v>224</v>
      </c>
      <c r="D126" s="126">
        <f>COUNTIFS(D14:D121,"&gt;="&amp;D13*40%,D14:D121,"&lt;"&amp;D13*50%)</f>
        <v>0</v>
      </c>
      <c r="E126" s="126"/>
      <c r="F126" s="126"/>
      <c r="G126" s="126"/>
      <c r="H126" s="126"/>
      <c r="I126" s="126">
        <f t="shared" ref="I126:X126" si="8">COUNTIFS(I14:I121,"&gt;="&amp;I13*40%,I14:I121,"&lt;"&amp;I13*50%)</f>
        <v>0</v>
      </c>
      <c r="J126" s="126"/>
      <c r="K126" s="126"/>
      <c r="L126" s="126"/>
      <c r="M126" s="126"/>
      <c r="N126" s="126"/>
      <c r="O126" s="126"/>
      <c r="P126" s="126"/>
      <c r="Q126" s="126"/>
      <c r="R126" s="126"/>
      <c r="S126" s="126">
        <f t="shared" si="8"/>
        <v>0</v>
      </c>
      <c r="T126" s="126"/>
      <c r="U126" s="126"/>
      <c r="V126" s="126"/>
      <c r="W126" s="126"/>
      <c r="X126" s="126">
        <f t="shared" si="8"/>
        <v>0</v>
      </c>
    </row>
    <row r="127" spans="1:24" ht="15.6" customHeight="1">
      <c r="A127" s="184"/>
      <c r="B127" s="185"/>
      <c r="C127" s="191" t="s">
        <v>225</v>
      </c>
      <c r="D127" s="126">
        <f>COUNTIF(D14:D121,"&lt;"&amp;D13*40%)</f>
        <v>7</v>
      </c>
      <c r="E127" s="126"/>
      <c r="F127" s="126"/>
      <c r="G127" s="126"/>
      <c r="H127" s="126"/>
      <c r="I127" s="126">
        <f t="shared" ref="I127:X127" si="9">COUNTIF(I14:I121,"&lt;"&amp;I13*40%)</f>
        <v>7</v>
      </c>
      <c r="J127" s="126"/>
      <c r="K127" s="126"/>
      <c r="L127" s="126"/>
      <c r="M127" s="126"/>
      <c r="N127" s="126"/>
      <c r="O127" s="126"/>
      <c r="P127" s="126"/>
      <c r="Q127" s="126"/>
      <c r="R127" s="126"/>
      <c r="S127" s="126">
        <f t="shared" si="9"/>
        <v>7</v>
      </c>
      <c r="T127" s="126"/>
      <c r="U127" s="126"/>
      <c r="V127" s="126"/>
      <c r="W127" s="126"/>
      <c r="X127" s="126">
        <f t="shared" si="9"/>
        <v>7</v>
      </c>
    </row>
    <row r="128" spans="1:24" ht="15.6" customHeight="1">
      <c r="A128" s="184"/>
      <c r="B128" s="185"/>
      <c r="C128" s="186" t="s">
        <v>26</v>
      </c>
      <c r="D128" s="131">
        <f>(D123*3+D124*2+D125*1)/(COUNT(D14:D121)*3)*100</f>
        <v>93.518518518518519</v>
      </c>
      <c r="E128" s="131"/>
      <c r="F128" s="131"/>
      <c r="G128" s="131"/>
      <c r="H128" s="131"/>
      <c r="I128" s="131">
        <f t="shared" ref="I128:X128" si="10">(I123*3+I124*2+I125*1)/(COUNT(I14:I121)*3)*100</f>
        <v>91.049382716049394</v>
      </c>
      <c r="J128" s="131"/>
      <c r="K128" s="131"/>
      <c r="L128" s="131"/>
      <c r="M128" s="131"/>
      <c r="N128" s="131"/>
      <c r="O128" s="131"/>
      <c r="P128" s="131"/>
      <c r="Q128" s="131"/>
      <c r="R128" s="131"/>
      <c r="S128" s="131">
        <f t="shared" si="10"/>
        <v>93.518518518518519</v>
      </c>
      <c r="T128" s="131"/>
      <c r="U128" s="131"/>
      <c r="V128" s="131"/>
      <c r="W128" s="131"/>
      <c r="X128" s="131">
        <f t="shared" si="10"/>
        <v>93.518518518518519</v>
      </c>
    </row>
    <row r="129" spans="1:24" ht="15.6" customHeight="1">
      <c r="A129" s="184"/>
      <c r="B129" s="185"/>
      <c r="C129" s="192" t="s">
        <v>226</v>
      </c>
      <c r="D129" s="126">
        <f>IF(D128&lt;&gt;"NA",IF(D128&gt;=70,3,IF(D128&gt;=60,2,IF(D128&gt;=50,1,"0"))),"NA")</f>
        <v>3</v>
      </c>
      <c r="E129" s="126"/>
      <c r="F129" s="126"/>
      <c r="G129" s="126"/>
      <c r="H129" s="126"/>
      <c r="I129" s="126">
        <f t="shared" ref="I129:X129" si="11">IF(I128&lt;&gt;"NA",IF(I128&gt;=70,3,IF(I128&gt;=60,2,IF(I128&gt;=50,1,"0"))),"NA")</f>
        <v>3</v>
      </c>
      <c r="J129" s="126"/>
      <c r="K129" s="126"/>
      <c r="L129" s="126"/>
      <c r="M129" s="126"/>
      <c r="N129" s="126"/>
      <c r="O129" s="126"/>
      <c r="P129" s="126"/>
      <c r="Q129" s="126"/>
      <c r="R129" s="126"/>
      <c r="S129" s="126">
        <f t="shared" si="11"/>
        <v>3</v>
      </c>
      <c r="T129" s="126"/>
      <c r="U129" s="126"/>
      <c r="V129" s="126"/>
      <c r="W129" s="126"/>
      <c r="X129" s="126">
        <f t="shared" si="11"/>
        <v>3</v>
      </c>
    </row>
    <row r="131" spans="1:24" ht="25.5">
      <c r="C131" s="69" t="s">
        <v>52</v>
      </c>
      <c r="D131" s="133">
        <f>AVERAGE(S125:W125)</f>
        <v>0</v>
      </c>
      <c r="E131" s="133">
        <f>AVERAGE(D124:X124)</f>
        <v>1</v>
      </c>
      <c r="F131" s="133">
        <f>(3/100)*E131</f>
        <v>0.03</v>
      </c>
      <c r="G131" s="322" t="s">
        <v>22</v>
      </c>
      <c r="H131" s="322"/>
    </row>
    <row r="132" spans="1:24">
      <c r="G132" s="160" t="s">
        <v>2</v>
      </c>
      <c r="H132" s="168">
        <f>AVERAGE(D128,I128)</f>
        <v>92.283950617283949</v>
      </c>
    </row>
    <row r="133" spans="1:24">
      <c r="A133"/>
      <c r="B133"/>
      <c r="C133"/>
      <c r="D133"/>
      <c r="E133"/>
      <c r="F133"/>
      <c r="G133" s="169"/>
      <c r="H133" s="168"/>
      <c r="I133"/>
      <c r="J133"/>
      <c r="K133"/>
      <c r="L133"/>
      <c r="M133"/>
    </row>
    <row r="134" spans="1:24">
      <c r="A134"/>
      <c r="B134"/>
      <c r="C134"/>
      <c r="D134"/>
      <c r="E134"/>
      <c r="F134"/>
      <c r="G134" s="169"/>
      <c r="H134" s="168"/>
      <c r="I134"/>
      <c r="J134"/>
      <c r="K134"/>
      <c r="L134"/>
      <c r="M134"/>
    </row>
    <row r="135" spans="1:24">
      <c r="A135"/>
      <c r="B135"/>
      <c r="C135"/>
      <c r="D135"/>
      <c r="E135"/>
      <c r="F135"/>
      <c r="G135" s="160"/>
      <c r="H135" s="168"/>
      <c r="I135"/>
      <c r="J135"/>
      <c r="K135"/>
      <c r="L135"/>
      <c r="M135"/>
    </row>
    <row r="136" spans="1:24">
      <c r="A136"/>
      <c r="B136" s="7" t="str">
        <f>Faculty</f>
        <v>Narsareaddy Chude</v>
      </c>
      <c r="C136"/>
      <c r="D136"/>
      <c r="E136"/>
      <c r="F136"/>
      <c r="G136" s="160"/>
      <c r="H136" s="168"/>
      <c r="I136"/>
      <c r="J136"/>
      <c r="K136"/>
      <c r="L136"/>
      <c r="M136"/>
    </row>
    <row r="137" spans="1:24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24" ht="15.75">
      <c r="A138" s="80"/>
      <c r="B138" s="80"/>
      <c r="C138"/>
      <c r="D138" s="217"/>
      <c r="E138" s="217"/>
      <c r="F138" s="217"/>
      <c r="G138" s="2"/>
      <c r="H138" s="2"/>
      <c r="I138" s="98"/>
      <c r="J138" s="80"/>
      <c r="K138"/>
      <c r="L138" s="80"/>
      <c r="M138" s="47"/>
    </row>
    <row r="139" spans="1:24" ht="15.75">
      <c r="A139" s="80"/>
      <c r="B139" s="80"/>
      <c r="C139"/>
      <c r="D139" s="217"/>
      <c r="E139" s="217"/>
      <c r="F139" s="217"/>
      <c r="G139" s="2"/>
      <c r="H139" s="2"/>
      <c r="I139" s="98"/>
      <c r="J139" s="80"/>
      <c r="K139"/>
      <c r="L139" s="80"/>
      <c r="M139" s="47"/>
    </row>
    <row r="140" spans="1:24" ht="15.75">
      <c r="A140"/>
      <c r="B140"/>
      <c r="C140"/>
      <c r="D140"/>
      <c r="E140"/>
      <c r="F140"/>
      <c r="G140"/>
      <c r="H140"/>
      <c r="I140" s="2"/>
      <c r="J140"/>
      <c r="K140"/>
      <c r="L140"/>
      <c r="M140" s="3"/>
    </row>
    <row r="141" spans="1:24" ht="15.7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3"/>
    </row>
    <row r="142" spans="1:24" s="34" customFormat="1" ht="15.75">
      <c r="A142" s="217" t="str">
        <f>SubjectDetails!A24</f>
        <v>Dr. Ravi Chourasiya</v>
      </c>
      <c r="B142" s="217"/>
      <c r="C142" s="217"/>
      <c r="D142" s="249" t="str">
        <f>SubjectDetails!E24</f>
        <v>Dr. Ashwini Chavan</v>
      </c>
      <c r="E142" s="249"/>
      <c r="F142" s="249"/>
      <c r="G142" s="249"/>
      <c r="H142"/>
      <c r="I142" s="218"/>
      <c r="J142" s="218"/>
      <c r="K142"/>
      <c r="L142" s="80"/>
      <c r="M142" s="47"/>
      <c r="N142" s="254" t="str">
        <f>SubjectDetails!H24</f>
        <v>Dr. Priyanka Singh</v>
      </c>
      <c r="O142" s="254"/>
      <c r="P142" s="254"/>
    </row>
    <row r="143" spans="1:24" s="34" customFormat="1" ht="15.75">
      <c r="A143" s="217" t="str">
        <f>SubjectDetails!A25</f>
        <v>(College Examination Officer)</v>
      </c>
      <c r="B143" s="217"/>
      <c r="C143" s="217"/>
      <c r="D143" s="249" t="str">
        <f>SubjectDetails!E25</f>
        <v>HOD (MCA)</v>
      </c>
      <c r="E143" s="249"/>
      <c r="F143" s="249"/>
      <c r="G143" s="249"/>
      <c r="H143"/>
      <c r="I143" s="218"/>
      <c r="J143" s="218"/>
      <c r="K143"/>
      <c r="L143" s="80"/>
      <c r="M143" s="47"/>
      <c r="N143" s="254" t="str">
        <f>SubjectDetails!H25</f>
        <v>Director</v>
      </c>
      <c r="O143" s="254"/>
      <c r="P143" s="254"/>
    </row>
  </sheetData>
  <mergeCells count="30">
    <mergeCell ref="N143:P143"/>
    <mergeCell ref="N142:P142"/>
    <mergeCell ref="A142:C142"/>
    <mergeCell ref="A143:C143"/>
    <mergeCell ref="D142:G142"/>
    <mergeCell ref="D143:G143"/>
    <mergeCell ref="I142:J142"/>
    <mergeCell ref="I143:J143"/>
    <mergeCell ref="G131:H131"/>
    <mergeCell ref="D138:F138"/>
    <mergeCell ref="D139:F139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A1:X1"/>
    <mergeCell ref="A2:X2"/>
    <mergeCell ref="A3:X3"/>
    <mergeCell ref="A4:X4"/>
    <mergeCell ref="O6:R8"/>
    <mergeCell ref="I6:K8"/>
    <mergeCell ref="L6:M6"/>
    <mergeCell ref="L7:M7"/>
    <mergeCell ref="L8:M8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Views>
    <sheetView topLeftCell="A111" zoomScaleNormal="100" workbookViewId="0">
      <selection activeCell="D121" sqref="D14:D121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35" t="s">
        <v>71</v>
      </c>
      <c r="B1" s="236"/>
      <c r="C1" s="236"/>
      <c r="D1" s="236"/>
      <c r="E1" s="236"/>
      <c r="F1" s="236"/>
      <c r="G1" s="236"/>
      <c r="H1" s="236"/>
      <c r="I1" s="236"/>
      <c r="J1" s="236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spans="1:24" ht="23.45" customHeight="1">
      <c r="A2" s="237" t="s">
        <v>72</v>
      </c>
      <c r="B2" s="238"/>
      <c r="C2" s="238"/>
      <c r="D2" s="238"/>
      <c r="E2" s="238"/>
      <c r="F2" s="238"/>
      <c r="G2" s="238"/>
      <c r="H2" s="238"/>
      <c r="I2" s="238"/>
      <c r="J2" s="238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spans="1:24" ht="13.9" customHeight="1">
      <c r="A3" s="239" t="s">
        <v>73</v>
      </c>
      <c r="B3" s="240"/>
      <c r="C3" s="240"/>
      <c r="D3" s="240"/>
      <c r="E3" s="240"/>
      <c r="F3" s="240"/>
      <c r="G3" s="240"/>
      <c r="H3" s="240"/>
      <c r="I3" s="240"/>
      <c r="J3" s="240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 spans="1:24" ht="13.9" customHeight="1">
      <c r="A4" s="239" t="s">
        <v>9</v>
      </c>
      <c r="B4" s="240"/>
      <c r="C4" s="240"/>
      <c r="D4" s="240"/>
      <c r="E4" s="240"/>
      <c r="F4" s="240"/>
      <c r="G4" s="240"/>
      <c r="H4" s="240"/>
      <c r="I4" s="240"/>
      <c r="J4" s="240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43" t="str">
        <f>CONCATENATE("Faculty Name: ", Faculty)</f>
        <v>Faculty Name: Narsareaddy Chude</v>
      </c>
      <c r="B6" s="343"/>
      <c r="C6" s="344"/>
      <c r="D6" s="345" t="s">
        <v>101</v>
      </c>
      <c r="E6" s="346"/>
      <c r="F6" s="60">
        <v>3</v>
      </c>
      <c r="G6" s="61">
        <v>0.7</v>
      </c>
      <c r="H6" s="353" t="s">
        <v>29</v>
      </c>
      <c r="I6" s="354"/>
      <c r="J6" s="359">
        <v>0.6</v>
      </c>
      <c r="K6" s="27"/>
      <c r="L6" s="27"/>
      <c r="P6" s="6"/>
      <c r="Q6" s="6"/>
      <c r="R6" s="6"/>
      <c r="S6" s="6"/>
    </row>
    <row r="7" spans="1:24" ht="15.75">
      <c r="A7" s="341" t="str">
        <f>CONCATENATE("Subject Name &amp; Code: ", Sub_Code)</f>
        <v>Subject Name &amp; Code: Mini Project</v>
      </c>
      <c r="B7" s="341"/>
      <c r="C7" s="342"/>
      <c r="D7" s="347"/>
      <c r="E7" s="348"/>
      <c r="F7" s="62">
        <v>2</v>
      </c>
      <c r="G7" s="63">
        <v>0.6</v>
      </c>
      <c r="H7" s="355"/>
      <c r="I7" s="356"/>
      <c r="J7" s="360"/>
      <c r="K7" s="12"/>
      <c r="L7" s="12"/>
      <c r="P7" s="12"/>
      <c r="Q7" s="6"/>
      <c r="R7" s="6"/>
      <c r="S7" s="6"/>
    </row>
    <row r="8" spans="1:24" ht="16.5" thickBot="1">
      <c r="A8" s="343" t="str">
        <f>CONCATENATE("Class: ",Class_AY)</f>
        <v>Class: MCA I SEM I AY 2023-24</v>
      </c>
      <c r="B8" s="343"/>
      <c r="C8" s="344"/>
      <c r="D8" s="349"/>
      <c r="E8" s="350"/>
      <c r="F8" s="64">
        <v>1</v>
      </c>
      <c r="G8" s="65">
        <v>0.5</v>
      </c>
      <c r="H8" s="357"/>
      <c r="I8" s="358"/>
      <c r="J8" s="361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37" t="s">
        <v>27</v>
      </c>
      <c r="B10" s="338"/>
      <c r="C10" s="338"/>
      <c r="D10" s="339"/>
      <c r="E10" s="339"/>
      <c r="F10" s="339"/>
      <c r="G10" s="339"/>
      <c r="H10" s="339"/>
      <c r="I10" s="339"/>
      <c r="J10" s="340"/>
      <c r="K10" s="20"/>
      <c r="L10" s="20"/>
      <c r="M10" s="20"/>
      <c r="N10" s="20"/>
      <c r="O10" s="20"/>
      <c r="P10" s="20"/>
    </row>
    <row r="11" spans="1:24">
      <c r="A11" s="331" t="s">
        <v>0</v>
      </c>
      <c r="B11" s="334" t="s">
        <v>6</v>
      </c>
      <c r="C11" s="351" t="s">
        <v>1</v>
      </c>
      <c r="D11" s="362" t="s">
        <v>28</v>
      </c>
      <c r="E11" s="363"/>
      <c r="F11" s="363"/>
      <c r="G11" s="363"/>
      <c r="H11" s="363"/>
      <c r="I11" s="363"/>
      <c r="J11" s="364"/>
      <c r="K11" s="21"/>
      <c r="L11" s="21"/>
      <c r="M11" s="21"/>
      <c r="N11" s="21"/>
      <c r="O11" s="21"/>
      <c r="P11" s="336"/>
    </row>
    <row r="12" spans="1:24">
      <c r="A12" s="332"/>
      <c r="B12" s="323"/>
      <c r="C12" s="352"/>
      <c r="D12" s="365"/>
      <c r="E12" s="366"/>
      <c r="F12" s="366"/>
      <c r="G12" s="366"/>
      <c r="H12" s="366"/>
      <c r="I12" s="366"/>
      <c r="J12" s="367"/>
      <c r="K12" s="22"/>
      <c r="L12" s="23"/>
      <c r="M12" s="23"/>
      <c r="N12" s="23"/>
      <c r="O12" s="23"/>
      <c r="P12" s="336"/>
    </row>
    <row r="13" spans="1:24" ht="19.5" thickBot="1">
      <c r="A13" s="332"/>
      <c r="B13" s="323"/>
      <c r="C13" s="352"/>
      <c r="D13" s="368">
        <v>50</v>
      </c>
      <c r="E13" s="369"/>
      <c r="F13" s="369"/>
      <c r="G13" s="369"/>
      <c r="H13" s="369"/>
      <c r="I13" s="369"/>
      <c r="J13" s="370"/>
      <c r="K13" s="22"/>
      <c r="L13" s="23"/>
      <c r="M13" s="23"/>
      <c r="N13" s="23"/>
      <c r="O13" s="23"/>
      <c r="P13" s="23"/>
    </row>
    <row r="14" spans="1:24" ht="15.75">
      <c r="A14" s="68">
        <v>1</v>
      </c>
      <c r="B14" s="67">
        <v>2032303524</v>
      </c>
      <c r="C14" s="158" t="s">
        <v>180</v>
      </c>
      <c r="D14" s="193">
        <v>45</v>
      </c>
      <c r="E14"/>
      <c r="F14"/>
      <c r="G14"/>
      <c r="H14"/>
      <c r="I14"/>
      <c r="J14"/>
      <c r="K14" s="24"/>
      <c r="L14" s="25"/>
      <c r="M14" s="25"/>
      <c r="N14" s="25"/>
      <c r="O14" s="25"/>
      <c r="P14" s="25"/>
    </row>
    <row r="15" spans="1:24" ht="15.75">
      <c r="A15" s="68">
        <v>2</v>
      </c>
      <c r="B15" s="67">
        <v>2032303491</v>
      </c>
      <c r="C15" s="158" t="s">
        <v>148</v>
      </c>
      <c r="D15" s="193">
        <v>45</v>
      </c>
      <c r="E15"/>
      <c r="F15"/>
      <c r="G15"/>
      <c r="H15"/>
      <c r="I15"/>
      <c r="J15"/>
      <c r="K15" s="24"/>
      <c r="L15" s="25"/>
      <c r="M15" s="25"/>
      <c r="N15" s="25"/>
      <c r="O15" s="25"/>
      <c r="P15" s="25"/>
    </row>
    <row r="16" spans="1:24" ht="15.75">
      <c r="A16" s="68">
        <v>3</v>
      </c>
      <c r="B16" s="67">
        <v>2032303500</v>
      </c>
      <c r="C16" s="158" t="s">
        <v>157</v>
      </c>
      <c r="D16" s="193">
        <v>43</v>
      </c>
      <c r="E16"/>
      <c r="F16"/>
      <c r="G16"/>
      <c r="H16"/>
      <c r="I16"/>
      <c r="J16"/>
      <c r="K16" s="24"/>
      <c r="L16" s="25"/>
      <c r="M16" s="25"/>
      <c r="N16" s="25"/>
      <c r="O16" s="25"/>
      <c r="P16" s="25"/>
    </row>
    <row r="17" spans="1:16" ht="15.75">
      <c r="A17" s="148">
        <v>4</v>
      </c>
      <c r="B17" s="67">
        <v>2032303484</v>
      </c>
      <c r="C17" s="158" t="s">
        <v>141</v>
      </c>
      <c r="D17" s="193">
        <v>44</v>
      </c>
      <c r="E17"/>
      <c r="F17"/>
      <c r="G17"/>
      <c r="H17"/>
      <c r="I17"/>
      <c r="J17"/>
      <c r="K17" s="24"/>
      <c r="L17" s="25"/>
      <c r="M17" s="25"/>
      <c r="N17" s="25"/>
      <c r="O17" s="25"/>
      <c r="P17" s="25"/>
    </row>
    <row r="18" spans="1:16" ht="15.75">
      <c r="A18" s="148">
        <v>5</v>
      </c>
      <c r="B18" s="67">
        <v>2032303481</v>
      </c>
      <c r="C18" s="158" t="s">
        <v>138</v>
      </c>
      <c r="D18" s="193">
        <v>45</v>
      </c>
      <c r="E18"/>
      <c r="F18"/>
      <c r="G18"/>
      <c r="H18"/>
      <c r="I18"/>
      <c r="J18"/>
      <c r="K18" s="24"/>
      <c r="L18" s="25"/>
      <c r="M18" s="25"/>
      <c r="N18" s="25"/>
      <c r="O18" s="25"/>
      <c r="P18" s="25"/>
    </row>
    <row r="19" spans="1:16" ht="15.75">
      <c r="A19" s="148">
        <v>6</v>
      </c>
      <c r="B19" s="67">
        <v>2032303483</v>
      </c>
      <c r="C19" s="158" t="s">
        <v>140</v>
      </c>
      <c r="D19" s="193">
        <v>45</v>
      </c>
      <c r="E19"/>
      <c r="F19"/>
      <c r="G19"/>
      <c r="H19"/>
      <c r="I19"/>
      <c r="J19"/>
      <c r="K19" s="24"/>
      <c r="L19" s="25"/>
      <c r="M19" s="25"/>
      <c r="N19" s="25"/>
      <c r="O19" s="25"/>
      <c r="P19" s="25"/>
    </row>
    <row r="20" spans="1:16" ht="15.75">
      <c r="A20" s="148">
        <v>7</v>
      </c>
      <c r="B20" s="67">
        <v>2032303463</v>
      </c>
      <c r="C20" s="158" t="s">
        <v>120</v>
      </c>
      <c r="D20" s="193">
        <v>45</v>
      </c>
      <c r="E20"/>
      <c r="F20"/>
      <c r="G20"/>
      <c r="H20"/>
      <c r="I20"/>
      <c r="J20"/>
      <c r="K20" s="24"/>
      <c r="L20" s="25"/>
      <c r="M20" s="25"/>
      <c r="N20" s="25"/>
      <c r="O20" s="25"/>
      <c r="P20" s="25"/>
    </row>
    <row r="21" spans="1:16" ht="15.75">
      <c r="A21" s="148">
        <v>8</v>
      </c>
      <c r="B21" s="67">
        <v>2032303487</v>
      </c>
      <c r="C21" s="158" t="s">
        <v>144</v>
      </c>
      <c r="D21" s="193">
        <v>45</v>
      </c>
      <c r="E21"/>
      <c r="F21"/>
      <c r="G21"/>
      <c r="H21"/>
      <c r="I21"/>
      <c r="J21"/>
      <c r="K21" s="24"/>
      <c r="L21" s="25"/>
      <c r="M21" s="25"/>
      <c r="N21" s="25"/>
      <c r="O21" s="25"/>
      <c r="P21" s="25"/>
    </row>
    <row r="22" spans="1:16" ht="15.75">
      <c r="A22" s="148">
        <v>9</v>
      </c>
      <c r="B22" s="67">
        <v>2032303455</v>
      </c>
      <c r="C22" s="158" t="s">
        <v>112</v>
      </c>
      <c r="D22" s="193">
        <v>45</v>
      </c>
      <c r="E22"/>
      <c r="F22"/>
      <c r="G22"/>
      <c r="H22"/>
      <c r="I22"/>
      <c r="J22"/>
      <c r="K22" s="24"/>
      <c r="L22" s="25"/>
      <c r="M22" s="25"/>
      <c r="N22" s="25"/>
      <c r="O22" s="25"/>
      <c r="P22" s="25"/>
    </row>
    <row r="23" spans="1:16" ht="15.75">
      <c r="A23" s="148">
        <v>10</v>
      </c>
      <c r="B23" s="67">
        <v>2032303516</v>
      </c>
      <c r="C23" s="158" t="s">
        <v>172</v>
      </c>
      <c r="D23" s="193">
        <v>45</v>
      </c>
      <c r="E23"/>
      <c r="F23"/>
      <c r="G23"/>
      <c r="H23"/>
      <c r="I23"/>
      <c r="J23"/>
      <c r="K23" s="24"/>
      <c r="L23" s="25"/>
      <c r="M23" s="25"/>
      <c r="N23" s="25"/>
      <c r="O23" s="25"/>
      <c r="P23" s="25"/>
    </row>
    <row r="24" spans="1:16" ht="15.75">
      <c r="A24" s="148">
        <v>11</v>
      </c>
      <c r="B24" s="67">
        <v>2032303515</v>
      </c>
      <c r="C24" s="158" t="s">
        <v>171</v>
      </c>
      <c r="D24" s="193">
        <v>44</v>
      </c>
      <c r="E24"/>
      <c r="F24"/>
      <c r="G24"/>
      <c r="H24"/>
      <c r="I24"/>
      <c r="J24"/>
      <c r="K24" s="24"/>
      <c r="L24" s="25"/>
      <c r="M24" s="25"/>
      <c r="N24" s="25"/>
      <c r="O24" s="25"/>
      <c r="P24" s="25"/>
    </row>
    <row r="25" spans="1:16" ht="15.75">
      <c r="A25" s="148">
        <v>12</v>
      </c>
      <c r="B25" s="67">
        <v>2032303502</v>
      </c>
      <c r="C25" s="158" t="s">
        <v>159</v>
      </c>
      <c r="D25" s="193">
        <v>44</v>
      </c>
      <c r="E25"/>
      <c r="F25"/>
      <c r="G25"/>
      <c r="H25"/>
      <c r="I25"/>
      <c r="J25"/>
      <c r="K25" s="24"/>
      <c r="L25" s="25"/>
      <c r="M25" s="25"/>
      <c r="N25" s="25"/>
      <c r="O25" s="25"/>
      <c r="P25" s="25"/>
    </row>
    <row r="26" spans="1:16" ht="15.75">
      <c r="A26" s="148">
        <v>13</v>
      </c>
      <c r="B26" s="67">
        <v>2032303513</v>
      </c>
      <c r="C26" s="158" t="s">
        <v>169</v>
      </c>
      <c r="D26" s="193">
        <v>45</v>
      </c>
      <c r="E26"/>
      <c r="F26"/>
      <c r="G26"/>
      <c r="H26"/>
      <c r="I26"/>
      <c r="J26"/>
      <c r="K26" s="24"/>
      <c r="L26" s="25"/>
      <c r="M26" s="25"/>
      <c r="N26" s="25"/>
      <c r="O26" s="25"/>
      <c r="P26" s="25"/>
    </row>
    <row r="27" spans="1:16" ht="15.75">
      <c r="A27" s="148">
        <v>14</v>
      </c>
      <c r="B27" s="67">
        <v>2032303538</v>
      </c>
      <c r="C27" s="158" t="s">
        <v>194</v>
      </c>
      <c r="D27" s="193">
        <v>43</v>
      </c>
      <c r="E27"/>
      <c r="F27"/>
      <c r="G27"/>
      <c r="H27"/>
      <c r="I27"/>
      <c r="J27"/>
      <c r="K27" s="24"/>
      <c r="L27" s="25"/>
      <c r="M27" s="25"/>
      <c r="N27" s="25"/>
      <c r="O27" s="25"/>
      <c r="P27" s="25"/>
    </row>
    <row r="28" spans="1:16" ht="15.75">
      <c r="A28" s="148">
        <v>15</v>
      </c>
      <c r="B28" s="67">
        <v>2032303478</v>
      </c>
      <c r="C28" s="158" t="s">
        <v>135</v>
      </c>
      <c r="D28" s="193">
        <v>46</v>
      </c>
      <c r="E28"/>
      <c r="F28"/>
      <c r="G28"/>
      <c r="H28"/>
      <c r="I28"/>
      <c r="J28"/>
      <c r="K28" s="24"/>
      <c r="L28" s="25"/>
      <c r="M28" s="25"/>
      <c r="N28" s="25"/>
      <c r="O28" s="25"/>
      <c r="P28" s="25"/>
    </row>
    <row r="29" spans="1:16" ht="15.75">
      <c r="A29" s="148">
        <v>16</v>
      </c>
      <c r="B29" s="67">
        <v>2032303464</v>
      </c>
      <c r="C29" s="158" t="s">
        <v>121</v>
      </c>
      <c r="D29" s="193">
        <v>44</v>
      </c>
      <c r="E29"/>
      <c r="F29"/>
      <c r="G29"/>
      <c r="H29"/>
      <c r="I29"/>
      <c r="J29"/>
      <c r="K29" s="24"/>
      <c r="L29" s="25"/>
      <c r="M29" s="25"/>
      <c r="N29" s="25"/>
      <c r="O29" s="25"/>
      <c r="P29" s="25"/>
    </row>
    <row r="30" spans="1:16" ht="15.75">
      <c r="A30" s="148">
        <v>17</v>
      </c>
      <c r="B30" s="67">
        <v>2032303528</v>
      </c>
      <c r="C30" s="158" t="s">
        <v>184</v>
      </c>
      <c r="D30" s="193">
        <v>42</v>
      </c>
      <c r="E30"/>
      <c r="F30"/>
      <c r="G30"/>
      <c r="H30"/>
      <c r="I30"/>
      <c r="J30"/>
      <c r="K30" s="24"/>
      <c r="L30" s="25"/>
      <c r="M30" s="25"/>
      <c r="N30" s="25"/>
      <c r="O30" s="25"/>
      <c r="P30" s="25"/>
    </row>
    <row r="31" spans="1:16" ht="15.75">
      <c r="A31" s="148">
        <v>18</v>
      </c>
      <c r="B31" s="67">
        <v>2032303476</v>
      </c>
      <c r="C31" s="158" t="s">
        <v>133</v>
      </c>
      <c r="D31" s="193">
        <v>44</v>
      </c>
      <c r="E31"/>
      <c r="F31"/>
      <c r="G31"/>
      <c r="H31"/>
      <c r="I31"/>
      <c r="J31"/>
      <c r="K31" s="24"/>
      <c r="L31" s="25"/>
      <c r="M31" s="25"/>
      <c r="N31" s="25"/>
      <c r="O31" s="25"/>
      <c r="P31" s="25"/>
    </row>
    <row r="32" spans="1:16" ht="15.75">
      <c r="A32" s="148">
        <v>19</v>
      </c>
      <c r="B32" s="67">
        <v>2032303509</v>
      </c>
      <c r="C32" s="158" t="s">
        <v>165</v>
      </c>
      <c r="D32" s="193">
        <v>45</v>
      </c>
      <c r="E32"/>
      <c r="F32"/>
      <c r="G32"/>
      <c r="H32"/>
      <c r="I32"/>
      <c r="J32"/>
      <c r="K32" s="24"/>
      <c r="L32" s="25"/>
      <c r="M32" s="25"/>
      <c r="N32" s="25"/>
      <c r="O32" s="25"/>
      <c r="P32" s="25"/>
    </row>
    <row r="33" spans="1:16" ht="15.75">
      <c r="A33" s="148">
        <v>20</v>
      </c>
      <c r="B33" s="67">
        <v>2032303535</v>
      </c>
      <c r="C33" s="158" t="s">
        <v>191</v>
      </c>
      <c r="D33" s="193">
        <v>43</v>
      </c>
      <c r="E33"/>
      <c r="F33"/>
      <c r="G33"/>
      <c r="H33"/>
      <c r="I33"/>
      <c r="J33"/>
      <c r="K33" s="24"/>
      <c r="L33" s="25"/>
      <c r="M33" s="25"/>
      <c r="N33" s="25"/>
      <c r="O33" s="25"/>
      <c r="P33" s="25"/>
    </row>
    <row r="34" spans="1:16" ht="15.75">
      <c r="A34" s="148">
        <v>21</v>
      </c>
      <c r="B34" s="67">
        <v>2032303548</v>
      </c>
      <c r="C34" s="158" t="s">
        <v>204</v>
      </c>
      <c r="D34" s="193">
        <v>43</v>
      </c>
      <c r="E34"/>
      <c r="F34"/>
      <c r="G34"/>
      <c r="H34"/>
      <c r="I34"/>
      <c r="J34"/>
      <c r="K34" s="24"/>
      <c r="L34" s="25"/>
      <c r="M34" s="25"/>
      <c r="N34" s="25"/>
      <c r="O34" s="25"/>
      <c r="P34" s="25"/>
    </row>
    <row r="35" spans="1:16" ht="15.75">
      <c r="A35" s="148">
        <v>22</v>
      </c>
      <c r="B35" s="67">
        <v>2032303503</v>
      </c>
      <c r="C35" s="158" t="s">
        <v>160</v>
      </c>
      <c r="D35" s="193">
        <v>44</v>
      </c>
      <c r="E35"/>
      <c r="F35"/>
      <c r="G35"/>
      <c r="H35"/>
      <c r="I35"/>
      <c r="J35"/>
      <c r="K35" s="24"/>
      <c r="L35" s="25"/>
      <c r="M35" s="25"/>
      <c r="N35" s="25"/>
      <c r="O35" s="25"/>
      <c r="P35" s="25"/>
    </row>
    <row r="36" spans="1:16" ht="15.75">
      <c r="A36" s="148">
        <v>23</v>
      </c>
      <c r="B36" s="67">
        <v>2032303495</v>
      </c>
      <c r="C36" s="158" t="s">
        <v>152</v>
      </c>
      <c r="D36" s="193">
        <v>44</v>
      </c>
      <c r="E36"/>
      <c r="F36"/>
      <c r="G36"/>
      <c r="H36"/>
      <c r="I36"/>
      <c r="J36"/>
      <c r="K36" s="24"/>
      <c r="L36" s="25"/>
      <c r="M36" s="25"/>
      <c r="N36" s="25"/>
      <c r="O36" s="25"/>
      <c r="P36" s="25"/>
    </row>
    <row r="37" spans="1:16" ht="15.75">
      <c r="A37" s="148">
        <v>24</v>
      </c>
      <c r="B37" s="67">
        <v>2032303482</v>
      </c>
      <c r="C37" s="158" t="s">
        <v>139</v>
      </c>
      <c r="D37" s="193">
        <v>45</v>
      </c>
      <c r="E37"/>
      <c r="F37"/>
      <c r="G37"/>
      <c r="H37"/>
      <c r="I37"/>
      <c r="J37"/>
      <c r="K37" s="24"/>
      <c r="L37" s="25"/>
      <c r="M37" s="25"/>
      <c r="N37" s="25"/>
      <c r="O37" s="25"/>
      <c r="P37" s="25"/>
    </row>
    <row r="38" spans="1:16" ht="15.75">
      <c r="A38" s="148">
        <v>25</v>
      </c>
      <c r="B38" s="67">
        <v>2032303508</v>
      </c>
      <c r="C38" s="158" t="s">
        <v>164</v>
      </c>
      <c r="D38" s="193">
        <v>44</v>
      </c>
      <c r="E38"/>
      <c r="F38"/>
      <c r="G38"/>
      <c r="H38"/>
      <c r="I38"/>
      <c r="J38"/>
      <c r="K38" s="24"/>
      <c r="L38" s="25"/>
      <c r="M38" s="25"/>
      <c r="N38" s="25"/>
      <c r="O38" s="25"/>
      <c r="P38" s="25"/>
    </row>
    <row r="39" spans="1:16" ht="15.75">
      <c r="A39" s="148">
        <v>26</v>
      </c>
      <c r="B39" s="67">
        <v>2032303472</v>
      </c>
      <c r="C39" s="158" t="s">
        <v>129</v>
      </c>
      <c r="D39" s="193">
        <v>44</v>
      </c>
      <c r="E39"/>
      <c r="F39"/>
      <c r="G39"/>
      <c r="H39"/>
      <c r="I39"/>
      <c r="J39"/>
      <c r="K39" s="24"/>
      <c r="L39" s="25"/>
      <c r="M39" s="25"/>
      <c r="N39" s="25"/>
      <c r="O39" s="25"/>
      <c r="P39" s="25"/>
    </row>
    <row r="40" spans="1:16" ht="15.75">
      <c r="A40" s="148">
        <v>27</v>
      </c>
      <c r="B40" s="67">
        <v>2032303549</v>
      </c>
      <c r="C40" s="158" t="s">
        <v>205</v>
      </c>
      <c r="D40" s="193">
        <v>44</v>
      </c>
      <c r="E40"/>
      <c r="F40"/>
      <c r="G40"/>
      <c r="H40"/>
      <c r="I40"/>
      <c r="J40"/>
      <c r="K40" s="24"/>
      <c r="L40" s="25"/>
      <c r="M40" s="25"/>
      <c r="N40" s="25"/>
      <c r="O40" s="25"/>
      <c r="P40" s="25"/>
    </row>
    <row r="41" spans="1:16" ht="15.75">
      <c r="A41" s="148">
        <v>28</v>
      </c>
      <c r="B41" s="67">
        <v>2032303479</v>
      </c>
      <c r="C41" s="158" t="s">
        <v>136</v>
      </c>
      <c r="D41" s="193">
        <v>44</v>
      </c>
      <c r="E41"/>
      <c r="F41"/>
      <c r="G41"/>
      <c r="H41"/>
      <c r="I41"/>
      <c r="J41"/>
      <c r="K41" s="24"/>
      <c r="L41" s="25"/>
      <c r="M41" s="25"/>
      <c r="N41" s="25"/>
      <c r="O41" s="25"/>
      <c r="P41" s="25"/>
    </row>
    <row r="42" spans="1:16" ht="15.75">
      <c r="A42" s="148">
        <v>29</v>
      </c>
      <c r="B42" s="67">
        <v>2032303519</v>
      </c>
      <c r="C42" s="158" t="s">
        <v>175</v>
      </c>
      <c r="D42" s="193">
        <v>43</v>
      </c>
      <c r="E42"/>
      <c r="F42"/>
      <c r="G42"/>
      <c r="H42"/>
      <c r="I42"/>
      <c r="J42"/>
      <c r="K42" s="24"/>
      <c r="L42" s="25"/>
      <c r="M42" s="25"/>
      <c r="N42" s="25"/>
      <c r="O42" s="25"/>
      <c r="P42" s="25"/>
    </row>
    <row r="43" spans="1:16" ht="15.75">
      <c r="A43" s="148">
        <v>30</v>
      </c>
      <c r="B43" s="67">
        <v>2032303497</v>
      </c>
      <c r="C43" s="158" t="s">
        <v>154</v>
      </c>
      <c r="D43" s="193">
        <v>45</v>
      </c>
      <c r="E43"/>
      <c r="F43"/>
      <c r="G43"/>
      <c r="H43"/>
      <c r="I43"/>
      <c r="J43"/>
      <c r="K43" s="24"/>
      <c r="L43" s="25"/>
      <c r="M43" s="25"/>
      <c r="N43" s="25"/>
      <c r="O43" s="25"/>
      <c r="P43" s="25"/>
    </row>
    <row r="44" spans="1:16" ht="15.75">
      <c r="A44" s="148">
        <v>31</v>
      </c>
      <c r="B44" s="67">
        <v>2032303539</v>
      </c>
      <c r="C44" s="158" t="s">
        <v>195</v>
      </c>
      <c r="D44" s="193">
        <v>43</v>
      </c>
      <c r="E44"/>
      <c r="F44"/>
      <c r="G44"/>
      <c r="H44"/>
      <c r="I44"/>
      <c r="J44"/>
      <c r="K44" s="24"/>
      <c r="L44" s="25"/>
      <c r="M44" s="25"/>
      <c r="N44" s="25"/>
      <c r="O44" s="25"/>
      <c r="P44" s="25"/>
    </row>
    <row r="45" spans="1:16" ht="15.75">
      <c r="A45" s="148">
        <v>32</v>
      </c>
      <c r="B45" s="67">
        <v>2032303486</v>
      </c>
      <c r="C45" s="158" t="s">
        <v>143</v>
      </c>
      <c r="D45" s="193">
        <v>43</v>
      </c>
      <c r="E45"/>
      <c r="F45"/>
      <c r="G45"/>
      <c r="H45"/>
      <c r="I45"/>
      <c r="J45"/>
      <c r="K45" s="24"/>
      <c r="L45" s="25"/>
      <c r="M45" s="25"/>
      <c r="N45" s="25"/>
      <c r="O45" s="25"/>
      <c r="P45" s="25"/>
    </row>
    <row r="46" spans="1:16" ht="15.75">
      <c r="A46" s="148">
        <v>33</v>
      </c>
      <c r="B46" s="67">
        <v>2032303469</v>
      </c>
      <c r="C46" s="158" t="s">
        <v>126</v>
      </c>
      <c r="D46" s="193">
        <v>44</v>
      </c>
      <c r="E46"/>
      <c r="F46"/>
      <c r="G46"/>
      <c r="H46"/>
      <c r="I46"/>
      <c r="J46"/>
      <c r="K46" s="24"/>
      <c r="L46" s="25"/>
      <c r="M46" s="25"/>
      <c r="N46" s="25"/>
      <c r="O46" s="25"/>
      <c r="P46" s="25"/>
    </row>
    <row r="47" spans="1:16" ht="15.75">
      <c r="A47" s="148">
        <v>34</v>
      </c>
      <c r="B47" s="67">
        <v>2032303462</v>
      </c>
      <c r="C47" s="158" t="s">
        <v>119</v>
      </c>
      <c r="D47" s="193">
        <v>43</v>
      </c>
      <c r="E47"/>
      <c r="F47"/>
      <c r="G47"/>
      <c r="H47"/>
      <c r="I47"/>
      <c r="J47"/>
      <c r="K47" s="24"/>
      <c r="L47" s="25"/>
      <c r="M47" s="25"/>
      <c r="N47" s="25"/>
      <c r="O47" s="25"/>
      <c r="P47" s="25"/>
    </row>
    <row r="48" spans="1:16" ht="15.75">
      <c r="A48" s="148">
        <v>35</v>
      </c>
      <c r="B48" s="67">
        <v>2032303529</v>
      </c>
      <c r="C48" s="158" t="s">
        <v>185</v>
      </c>
      <c r="D48" s="193">
        <v>43</v>
      </c>
      <c r="E48"/>
      <c r="F48"/>
      <c r="G48"/>
      <c r="H48"/>
      <c r="I48"/>
      <c r="J48"/>
      <c r="K48" s="24"/>
      <c r="L48" s="25"/>
      <c r="M48" s="25"/>
      <c r="N48" s="25"/>
      <c r="O48" s="25"/>
      <c r="P48" s="25"/>
    </row>
    <row r="49" spans="1:16" ht="15.75">
      <c r="A49" s="148">
        <v>36</v>
      </c>
      <c r="B49" s="67">
        <v>2032303556</v>
      </c>
      <c r="C49" s="158" t="s">
        <v>212</v>
      </c>
      <c r="D49" s="193">
        <v>42</v>
      </c>
      <c r="E49"/>
      <c r="F49"/>
      <c r="G49"/>
      <c r="H49"/>
      <c r="I49"/>
      <c r="J49"/>
      <c r="K49" s="24"/>
      <c r="L49" s="25"/>
      <c r="M49" s="25"/>
      <c r="N49" s="25"/>
      <c r="O49" s="25"/>
      <c r="P49" s="25"/>
    </row>
    <row r="50" spans="1:16" ht="15.75">
      <c r="A50" s="148">
        <v>37</v>
      </c>
      <c r="B50" s="67">
        <v>2032303480</v>
      </c>
      <c r="C50" s="158" t="s">
        <v>137</v>
      </c>
      <c r="D50" s="193">
        <v>43</v>
      </c>
      <c r="E50"/>
      <c r="F50"/>
      <c r="G50"/>
      <c r="H50"/>
      <c r="I50"/>
      <c r="J50"/>
      <c r="K50" s="24"/>
      <c r="L50" s="25"/>
      <c r="M50" s="25"/>
      <c r="N50" s="25"/>
      <c r="O50" s="25"/>
      <c r="P50" s="25"/>
    </row>
    <row r="51" spans="1:16" ht="15.75">
      <c r="A51" s="148">
        <v>38</v>
      </c>
      <c r="B51" s="67">
        <v>2032303490</v>
      </c>
      <c r="C51" s="158" t="s">
        <v>147</v>
      </c>
      <c r="D51" s="193">
        <v>45</v>
      </c>
      <c r="E51"/>
      <c r="F51"/>
      <c r="G51"/>
      <c r="H51"/>
      <c r="I51"/>
      <c r="J51"/>
      <c r="K51" s="24"/>
      <c r="L51" s="25"/>
      <c r="M51" s="25"/>
      <c r="N51" s="25"/>
      <c r="O51" s="25"/>
      <c r="P51" s="25"/>
    </row>
    <row r="52" spans="1:16" ht="15.75">
      <c r="A52" s="148">
        <v>39</v>
      </c>
      <c r="B52" s="67">
        <v>2032303492</v>
      </c>
      <c r="C52" s="158" t="s">
        <v>149</v>
      </c>
      <c r="D52" s="193">
        <v>45</v>
      </c>
      <c r="E52"/>
      <c r="F52"/>
      <c r="G52"/>
      <c r="H52"/>
      <c r="I52"/>
      <c r="J52"/>
      <c r="K52" s="24"/>
      <c r="L52" s="25"/>
      <c r="M52" s="25"/>
      <c r="N52" s="25"/>
      <c r="O52" s="25"/>
      <c r="P52" s="25"/>
    </row>
    <row r="53" spans="1:16" ht="15.75">
      <c r="A53" s="148">
        <v>40</v>
      </c>
      <c r="B53" s="67">
        <v>2032303540</v>
      </c>
      <c r="C53" s="158" t="s">
        <v>196</v>
      </c>
      <c r="D53" s="193">
        <v>45</v>
      </c>
      <c r="E53"/>
      <c r="F53"/>
      <c r="G53"/>
      <c r="H53"/>
      <c r="I53"/>
      <c r="J53"/>
      <c r="K53" s="24"/>
      <c r="L53" s="25"/>
      <c r="M53" s="25"/>
      <c r="N53" s="25"/>
      <c r="O53" s="25"/>
      <c r="P53" s="25"/>
    </row>
    <row r="54" spans="1:16" ht="15.75">
      <c r="A54" s="148">
        <v>41</v>
      </c>
      <c r="B54" s="67">
        <v>2032303465</v>
      </c>
      <c r="C54" s="158" t="s">
        <v>122</v>
      </c>
      <c r="D54" s="193">
        <v>45</v>
      </c>
      <c r="E54"/>
      <c r="F54"/>
      <c r="G54"/>
      <c r="H54"/>
      <c r="I54"/>
      <c r="J54"/>
      <c r="K54" s="24"/>
      <c r="L54" s="25"/>
      <c r="M54" s="25"/>
      <c r="N54" s="25"/>
      <c r="O54" s="25"/>
      <c r="P54" s="25"/>
    </row>
    <row r="55" spans="1:16" ht="15.75">
      <c r="A55" s="148">
        <v>42</v>
      </c>
      <c r="B55" s="67">
        <v>2032303530</v>
      </c>
      <c r="C55" s="158" t="s">
        <v>186</v>
      </c>
      <c r="D55" s="193">
        <v>45</v>
      </c>
      <c r="E55"/>
      <c r="F55"/>
      <c r="G55"/>
      <c r="H55"/>
      <c r="I55"/>
      <c r="J55"/>
      <c r="K55" s="24"/>
      <c r="L55" s="25"/>
      <c r="M55" s="25"/>
      <c r="N55" s="25"/>
      <c r="O55" s="25"/>
      <c r="P55" s="25"/>
    </row>
    <row r="56" spans="1:16" ht="15.75">
      <c r="A56" s="148">
        <v>43</v>
      </c>
      <c r="B56" s="67">
        <v>2032303542</v>
      </c>
      <c r="C56" s="158" t="s">
        <v>198</v>
      </c>
      <c r="D56" s="193">
        <v>45</v>
      </c>
      <c r="E56"/>
      <c r="F56"/>
      <c r="G56"/>
      <c r="H56"/>
      <c r="I56"/>
      <c r="J56"/>
      <c r="K56" s="24"/>
      <c r="L56" s="25"/>
      <c r="M56" s="25"/>
      <c r="N56" s="25"/>
      <c r="O56" s="25"/>
      <c r="P56" s="25"/>
    </row>
    <row r="57" spans="1:16" ht="15.75">
      <c r="A57" s="148">
        <v>44</v>
      </c>
      <c r="B57" s="67">
        <v>2032303470</v>
      </c>
      <c r="C57" s="158" t="s">
        <v>127</v>
      </c>
      <c r="D57" s="193">
        <v>43</v>
      </c>
      <c r="E57"/>
      <c r="F57"/>
      <c r="G57"/>
      <c r="H57"/>
      <c r="I57"/>
      <c r="J57"/>
      <c r="K57" s="24"/>
      <c r="L57" s="25"/>
      <c r="M57" s="25"/>
      <c r="N57" s="25"/>
      <c r="O57" s="25"/>
      <c r="P57" s="25"/>
    </row>
    <row r="58" spans="1:16" ht="15.75">
      <c r="A58" s="148">
        <v>45</v>
      </c>
      <c r="B58" s="67">
        <v>2032303494</v>
      </c>
      <c r="C58" s="158" t="s">
        <v>151</v>
      </c>
      <c r="D58" s="193">
        <v>45</v>
      </c>
      <c r="E58"/>
      <c r="F58"/>
      <c r="G58"/>
      <c r="H58"/>
      <c r="I58"/>
      <c r="J58"/>
      <c r="K58" s="24"/>
      <c r="L58" s="25"/>
      <c r="M58" s="25"/>
      <c r="N58" s="25"/>
      <c r="O58" s="25"/>
      <c r="P58" s="25"/>
    </row>
    <row r="59" spans="1:16" ht="15.75">
      <c r="A59" s="148">
        <v>46</v>
      </c>
      <c r="B59" s="67">
        <v>2032303459</v>
      </c>
      <c r="C59" s="158" t="s">
        <v>116</v>
      </c>
      <c r="D59" s="193">
        <v>44</v>
      </c>
      <c r="E59"/>
      <c r="F59"/>
      <c r="G59"/>
      <c r="H59"/>
      <c r="I59"/>
      <c r="J59"/>
      <c r="K59" s="24"/>
      <c r="L59" s="25"/>
      <c r="M59" s="25"/>
      <c r="N59" s="25"/>
      <c r="O59" s="25"/>
      <c r="P59" s="25"/>
    </row>
    <row r="60" spans="1:16" ht="15.75">
      <c r="A60" s="148">
        <v>47</v>
      </c>
      <c r="B60" s="67">
        <v>2032303534</v>
      </c>
      <c r="C60" s="158" t="s">
        <v>190</v>
      </c>
      <c r="D60" s="193">
        <v>44</v>
      </c>
      <c r="E60"/>
      <c r="F60"/>
      <c r="G60"/>
      <c r="H60"/>
      <c r="I60"/>
      <c r="J60"/>
      <c r="K60" s="24"/>
      <c r="L60" s="25"/>
      <c r="M60" s="25"/>
      <c r="N60" s="25"/>
      <c r="O60" s="25"/>
      <c r="P60" s="25"/>
    </row>
    <row r="61" spans="1:16" ht="15.75">
      <c r="A61" s="148">
        <v>48</v>
      </c>
      <c r="B61" s="67">
        <v>2032303488</v>
      </c>
      <c r="C61" s="158" t="s">
        <v>145</v>
      </c>
      <c r="D61" s="193">
        <v>44</v>
      </c>
      <c r="E61"/>
      <c r="F61"/>
      <c r="G61"/>
      <c r="H61"/>
      <c r="I61"/>
      <c r="J61"/>
      <c r="K61" s="24"/>
      <c r="L61" s="25"/>
      <c r="M61" s="25"/>
      <c r="N61" s="25"/>
      <c r="O61" s="25"/>
      <c r="P61" s="25"/>
    </row>
    <row r="62" spans="1:16" ht="15.75">
      <c r="A62" s="148">
        <v>49</v>
      </c>
      <c r="B62" s="67">
        <v>2032303523</v>
      </c>
      <c r="C62" s="158" t="s">
        <v>179</v>
      </c>
      <c r="D62" s="193">
        <v>45</v>
      </c>
      <c r="E62"/>
      <c r="F62"/>
      <c r="G62"/>
      <c r="H62"/>
      <c r="I62"/>
      <c r="J62"/>
      <c r="K62" s="24"/>
      <c r="L62" s="25"/>
      <c r="M62" s="25"/>
      <c r="N62" s="25"/>
      <c r="O62" s="25"/>
      <c r="P62" s="25"/>
    </row>
    <row r="63" spans="1:16" ht="15.75">
      <c r="A63" s="148">
        <v>50</v>
      </c>
      <c r="B63" s="67">
        <v>2032303466</v>
      </c>
      <c r="C63" s="158" t="s">
        <v>123</v>
      </c>
      <c r="D63" s="193">
        <v>44</v>
      </c>
      <c r="E63"/>
      <c r="F63"/>
      <c r="G63"/>
      <c r="H63"/>
      <c r="I63"/>
      <c r="J63"/>
      <c r="K63" s="24"/>
      <c r="L63" s="25"/>
      <c r="M63" s="25"/>
      <c r="N63" s="25"/>
      <c r="O63" s="25"/>
      <c r="P63" s="25"/>
    </row>
    <row r="64" spans="1:16" ht="15.75">
      <c r="A64" s="148">
        <v>51</v>
      </c>
      <c r="B64" s="67">
        <v>2032303522</v>
      </c>
      <c r="C64" s="158" t="s">
        <v>178</v>
      </c>
      <c r="D64" s="193">
        <v>42</v>
      </c>
      <c r="E64"/>
      <c r="F64"/>
      <c r="G64"/>
      <c r="H64"/>
      <c r="I64"/>
      <c r="J64"/>
      <c r="K64" s="24"/>
      <c r="L64" s="25"/>
      <c r="M64" s="25"/>
      <c r="N64" s="25"/>
      <c r="O64" s="25"/>
      <c r="P64" s="25"/>
    </row>
    <row r="65" spans="1:16" ht="15.75">
      <c r="A65" s="148">
        <v>52</v>
      </c>
      <c r="B65" s="67">
        <v>2032303518</v>
      </c>
      <c r="C65" s="158" t="s">
        <v>174</v>
      </c>
      <c r="D65" s="193">
        <v>44</v>
      </c>
      <c r="E65"/>
      <c r="F65"/>
      <c r="G65"/>
      <c r="H65"/>
      <c r="I65"/>
      <c r="J65"/>
      <c r="K65" s="24"/>
      <c r="L65" s="25"/>
      <c r="M65" s="25"/>
      <c r="N65" s="25"/>
      <c r="O65" s="25"/>
      <c r="P65" s="25"/>
    </row>
    <row r="66" spans="1:16" ht="15.75">
      <c r="A66" s="148">
        <v>53</v>
      </c>
      <c r="B66" s="67">
        <v>2032303485</v>
      </c>
      <c r="C66" s="158" t="s">
        <v>142</v>
      </c>
      <c r="D66" s="193">
        <v>44</v>
      </c>
      <c r="E66"/>
      <c r="F66"/>
      <c r="G66"/>
      <c r="H66"/>
      <c r="I66"/>
      <c r="J66"/>
      <c r="K66" s="24"/>
      <c r="L66" s="25"/>
      <c r="M66" s="25"/>
      <c r="N66" s="25"/>
      <c r="O66" s="25"/>
      <c r="P66" s="25"/>
    </row>
    <row r="67" spans="1:16" ht="15.75">
      <c r="A67" s="148">
        <v>54</v>
      </c>
      <c r="B67" s="67">
        <v>2032303551</v>
      </c>
      <c r="C67" s="158" t="s">
        <v>207</v>
      </c>
      <c r="D67" s="193">
        <v>45</v>
      </c>
      <c r="E67"/>
      <c r="F67"/>
      <c r="G67"/>
      <c r="H67"/>
      <c r="I67"/>
      <c r="J67"/>
      <c r="K67" s="24"/>
      <c r="L67" s="25"/>
      <c r="M67" s="25"/>
      <c r="N67" s="25"/>
      <c r="O67" s="25"/>
      <c r="P67" s="25"/>
    </row>
    <row r="68" spans="1:16" ht="15.75">
      <c r="A68" s="148">
        <v>55</v>
      </c>
      <c r="B68" s="67">
        <v>2032303453</v>
      </c>
      <c r="C68" s="158" t="s">
        <v>110</v>
      </c>
      <c r="D68" s="193">
        <v>42</v>
      </c>
      <c r="E68"/>
      <c r="F68"/>
      <c r="G68"/>
      <c r="H68"/>
      <c r="I68"/>
      <c r="J68"/>
      <c r="K68" s="24"/>
      <c r="L68" s="25"/>
      <c r="M68" s="25"/>
      <c r="N68" s="25"/>
      <c r="O68" s="25"/>
      <c r="P68" s="25"/>
    </row>
    <row r="69" spans="1:16" ht="15.75">
      <c r="A69" s="148">
        <v>56</v>
      </c>
      <c r="B69" s="67">
        <v>2032303541</v>
      </c>
      <c r="C69" s="158" t="s">
        <v>197</v>
      </c>
      <c r="D69" s="193">
        <v>45</v>
      </c>
      <c r="E69"/>
      <c r="F69"/>
      <c r="G69"/>
      <c r="H69"/>
      <c r="I69"/>
      <c r="J69"/>
      <c r="K69" s="24"/>
      <c r="L69" s="25"/>
      <c r="M69" s="25"/>
      <c r="N69" s="25"/>
      <c r="O69" s="25"/>
      <c r="P69" s="25"/>
    </row>
    <row r="70" spans="1:16" ht="15.75">
      <c r="A70" s="148">
        <v>57</v>
      </c>
      <c r="B70" s="67">
        <v>2032303473</v>
      </c>
      <c r="C70" s="158" t="s">
        <v>130</v>
      </c>
      <c r="D70" s="193">
        <v>46</v>
      </c>
      <c r="E70"/>
      <c r="F70"/>
      <c r="G70"/>
      <c r="H70"/>
      <c r="I70"/>
      <c r="J70"/>
      <c r="K70" s="24"/>
      <c r="L70" s="25"/>
      <c r="M70" s="25"/>
      <c r="N70" s="25"/>
      <c r="O70" s="25"/>
      <c r="P70" s="25"/>
    </row>
    <row r="71" spans="1:16" ht="15.6" customHeight="1">
      <c r="A71" s="148">
        <v>58</v>
      </c>
      <c r="B71" s="67">
        <v>2032303550</v>
      </c>
      <c r="C71" s="158" t="s">
        <v>206</v>
      </c>
      <c r="D71" s="193">
        <v>42</v>
      </c>
      <c r="E71"/>
      <c r="F71"/>
      <c r="G71"/>
      <c r="H71"/>
      <c r="I71"/>
      <c r="J71"/>
      <c r="K71" s="24"/>
      <c r="L71" s="25"/>
      <c r="M71" s="25"/>
      <c r="N71" s="25"/>
      <c r="O71" s="25"/>
      <c r="P71" s="25"/>
    </row>
    <row r="72" spans="1:16" ht="15.6" customHeight="1">
      <c r="A72" s="148">
        <v>59</v>
      </c>
      <c r="B72" s="67">
        <v>2032303496</v>
      </c>
      <c r="C72" s="158" t="s">
        <v>153</v>
      </c>
      <c r="D72" s="193">
        <v>45</v>
      </c>
      <c r="E72"/>
      <c r="F72"/>
      <c r="G72"/>
      <c r="H72"/>
      <c r="I72"/>
      <c r="J72"/>
      <c r="K72" s="24"/>
      <c r="L72" s="25"/>
      <c r="M72" s="25"/>
      <c r="N72" s="25"/>
      <c r="O72" s="25"/>
      <c r="P72" s="25"/>
    </row>
    <row r="73" spans="1:16" ht="15.6" customHeight="1">
      <c r="A73" s="148">
        <v>60</v>
      </c>
      <c r="B73" s="67">
        <v>2032303457</v>
      </c>
      <c r="C73" s="158" t="s">
        <v>114</v>
      </c>
      <c r="D73" s="193">
        <v>42</v>
      </c>
      <c r="E73"/>
      <c r="F73"/>
      <c r="G73"/>
      <c r="H73"/>
      <c r="I73"/>
      <c r="J73"/>
      <c r="K73" s="24"/>
      <c r="L73" s="25"/>
      <c r="M73" s="25"/>
      <c r="N73" s="25"/>
      <c r="O73" s="25"/>
      <c r="P73" s="25"/>
    </row>
    <row r="74" spans="1:16" ht="15.6" customHeight="1">
      <c r="A74" s="148">
        <v>61</v>
      </c>
      <c r="B74" s="67">
        <v>2032303499</v>
      </c>
      <c r="C74" s="158" t="s">
        <v>156</v>
      </c>
      <c r="D74" s="193">
        <v>44</v>
      </c>
      <c r="E74"/>
      <c r="F74"/>
      <c r="G74"/>
      <c r="H74"/>
      <c r="I74"/>
      <c r="J74"/>
      <c r="K74" s="24"/>
      <c r="L74" s="25"/>
      <c r="M74" s="25"/>
      <c r="N74" s="25"/>
      <c r="O74" s="25"/>
      <c r="P74" s="25"/>
    </row>
    <row r="75" spans="1:16" ht="15.6" customHeight="1">
      <c r="A75" s="148">
        <v>62</v>
      </c>
      <c r="B75" s="67">
        <v>2032303474</v>
      </c>
      <c r="C75" s="158" t="s">
        <v>131</v>
      </c>
      <c r="D75" s="193">
        <v>41</v>
      </c>
      <c r="E75"/>
      <c r="F75"/>
      <c r="G75"/>
      <c r="H75"/>
      <c r="I75"/>
      <c r="J75"/>
      <c r="K75" s="24"/>
      <c r="L75" s="25"/>
      <c r="M75" s="25"/>
      <c r="N75" s="25"/>
      <c r="O75" s="25"/>
      <c r="P75" s="25"/>
    </row>
    <row r="76" spans="1:16" ht="15.6" customHeight="1">
      <c r="A76" s="148">
        <v>63</v>
      </c>
      <c r="B76" s="67">
        <v>2032303547</v>
      </c>
      <c r="C76" s="158" t="s">
        <v>203</v>
      </c>
      <c r="D76" s="193">
        <v>44</v>
      </c>
      <c r="E76"/>
      <c r="F76"/>
      <c r="G76"/>
      <c r="H76"/>
      <c r="I76"/>
      <c r="J76"/>
      <c r="K76" s="24"/>
      <c r="L76" s="25"/>
      <c r="M76" s="25"/>
      <c r="N76" s="25"/>
      <c r="O76" s="25"/>
      <c r="P76" s="25"/>
    </row>
    <row r="77" spans="1:16" ht="15.6" customHeight="1">
      <c r="A77" s="148">
        <v>64</v>
      </c>
      <c r="B77" s="67">
        <v>2032303512</v>
      </c>
      <c r="C77" s="158" t="s">
        <v>168</v>
      </c>
      <c r="D77" s="193">
        <v>44</v>
      </c>
      <c r="E77"/>
      <c r="F77"/>
      <c r="G77"/>
      <c r="H77"/>
      <c r="I77"/>
      <c r="J77"/>
      <c r="K77" s="24"/>
      <c r="L77" s="25"/>
      <c r="M77" s="25"/>
      <c r="N77" s="25"/>
      <c r="O77" s="25"/>
      <c r="P77" s="25"/>
    </row>
    <row r="78" spans="1:16" ht="15.6" customHeight="1">
      <c r="A78" s="148">
        <v>65</v>
      </c>
      <c r="B78" s="67">
        <v>2032303458</v>
      </c>
      <c r="C78" s="158" t="s">
        <v>115</v>
      </c>
      <c r="D78" s="193">
        <v>42</v>
      </c>
      <c r="E78"/>
      <c r="F78"/>
      <c r="G78"/>
      <c r="H78"/>
      <c r="I78"/>
      <c r="J78"/>
      <c r="K78" s="24"/>
      <c r="L78" s="25"/>
      <c r="M78" s="25"/>
      <c r="N78" s="25"/>
      <c r="O78" s="25"/>
      <c r="P78" s="25"/>
    </row>
    <row r="79" spans="1:16" ht="15.6" customHeight="1">
      <c r="A79" s="148">
        <v>66</v>
      </c>
      <c r="B79" s="67">
        <v>2032303456</v>
      </c>
      <c r="C79" s="158" t="s">
        <v>113</v>
      </c>
      <c r="D79" s="193">
        <v>44</v>
      </c>
      <c r="E79"/>
      <c r="F79"/>
      <c r="G79"/>
      <c r="H79"/>
      <c r="I79"/>
      <c r="J79"/>
      <c r="K79" s="24"/>
      <c r="L79" s="25"/>
      <c r="M79" s="25"/>
      <c r="N79" s="25"/>
      <c r="O79" s="25"/>
      <c r="P79" s="25"/>
    </row>
    <row r="80" spans="1:16" ht="15.6" customHeight="1">
      <c r="A80" s="148">
        <v>67</v>
      </c>
      <c r="B80" s="67">
        <v>2032303451</v>
      </c>
      <c r="C80" s="158" t="s">
        <v>108</v>
      </c>
      <c r="D80" s="193">
        <v>44</v>
      </c>
      <c r="E80"/>
      <c r="F80"/>
      <c r="G80"/>
      <c r="H80"/>
      <c r="I80"/>
      <c r="J80"/>
      <c r="K80" s="24"/>
      <c r="L80" s="25"/>
      <c r="M80" s="25"/>
      <c r="N80" s="25"/>
      <c r="O80" s="25"/>
      <c r="P80" s="25"/>
    </row>
    <row r="81" spans="1:16" ht="15.6" customHeight="1">
      <c r="A81" s="148">
        <v>68</v>
      </c>
      <c r="B81" s="67">
        <v>2032303511</v>
      </c>
      <c r="C81" s="158" t="s">
        <v>167</v>
      </c>
      <c r="D81" s="193">
        <v>43</v>
      </c>
      <c r="E81"/>
      <c r="F81"/>
      <c r="G81"/>
      <c r="H81"/>
      <c r="I81"/>
      <c r="J81"/>
      <c r="K81" s="24"/>
      <c r="L81" s="25"/>
      <c r="M81" s="25"/>
      <c r="N81" s="25"/>
      <c r="O81" s="25"/>
      <c r="P81" s="25"/>
    </row>
    <row r="82" spans="1:16" ht="15.6" customHeight="1">
      <c r="A82" s="148">
        <v>69</v>
      </c>
      <c r="B82" s="67">
        <v>2032303477</v>
      </c>
      <c r="C82" s="158" t="s">
        <v>134</v>
      </c>
      <c r="D82" s="193">
        <v>44</v>
      </c>
      <c r="E82"/>
      <c r="F82"/>
      <c r="G82"/>
      <c r="H82"/>
      <c r="I82"/>
      <c r="J82"/>
      <c r="K82" s="24"/>
      <c r="L82" s="25"/>
      <c r="M82" s="25"/>
      <c r="N82" s="25"/>
      <c r="O82" s="25"/>
      <c r="P82" s="25"/>
    </row>
    <row r="83" spans="1:16" ht="15.6" customHeight="1">
      <c r="A83" s="148">
        <v>70</v>
      </c>
      <c r="B83" s="67">
        <v>2032303536</v>
      </c>
      <c r="C83" s="158" t="s">
        <v>192</v>
      </c>
      <c r="D83" s="193">
        <v>45</v>
      </c>
      <c r="E83"/>
      <c r="F83"/>
      <c r="G83"/>
      <c r="H83"/>
      <c r="I83"/>
      <c r="J83"/>
      <c r="K83" s="24"/>
      <c r="L83" s="25"/>
      <c r="M83" s="25"/>
      <c r="N83" s="25"/>
      <c r="O83" s="25"/>
      <c r="P83" s="25"/>
    </row>
    <row r="84" spans="1:16" ht="15.6" customHeight="1">
      <c r="A84" s="148">
        <v>71</v>
      </c>
      <c r="B84" s="67">
        <v>2032303527</v>
      </c>
      <c r="C84" s="158" t="s">
        <v>183</v>
      </c>
      <c r="D84" s="193">
        <v>43</v>
      </c>
      <c r="E84"/>
      <c r="F84"/>
      <c r="G84"/>
      <c r="H84"/>
      <c r="I84"/>
      <c r="J84"/>
      <c r="K84" s="24"/>
      <c r="L84" s="25"/>
      <c r="M84" s="25"/>
      <c r="N84" s="25"/>
      <c r="O84" s="25"/>
      <c r="P84" s="25"/>
    </row>
    <row r="85" spans="1:16" ht="15.6" customHeight="1">
      <c r="A85" s="148">
        <v>72</v>
      </c>
      <c r="B85" s="67">
        <v>2032303525</v>
      </c>
      <c r="C85" s="158" t="s">
        <v>181</v>
      </c>
      <c r="D85" s="193">
        <v>44</v>
      </c>
      <c r="E85"/>
      <c r="F85"/>
      <c r="G85"/>
      <c r="H85"/>
      <c r="I85"/>
      <c r="J85"/>
      <c r="K85" s="24"/>
      <c r="L85" s="25"/>
      <c r="M85" s="25"/>
      <c r="N85" s="25"/>
      <c r="O85" s="25"/>
      <c r="P85" s="25"/>
    </row>
    <row r="86" spans="1:16" ht="15.6" customHeight="1">
      <c r="A86" s="148">
        <v>73</v>
      </c>
      <c r="B86" s="67">
        <v>2032303468</v>
      </c>
      <c r="C86" s="158" t="s">
        <v>125</v>
      </c>
      <c r="D86" s="193">
        <v>43</v>
      </c>
      <c r="E86"/>
      <c r="F86"/>
      <c r="G86"/>
      <c r="H86"/>
      <c r="I86"/>
      <c r="J86"/>
      <c r="K86" s="24"/>
      <c r="L86" s="25"/>
      <c r="M86" s="25"/>
      <c r="N86" s="25"/>
      <c r="O86" s="25"/>
      <c r="P86" s="25"/>
    </row>
    <row r="87" spans="1:16" ht="15.6" customHeight="1">
      <c r="A87" s="148">
        <v>74</v>
      </c>
      <c r="B87" s="67">
        <v>2032303504</v>
      </c>
      <c r="C87" s="158" t="s">
        <v>161</v>
      </c>
      <c r="D87" s="193">
        <v>42</v>
      </c>
      <c r="E87"/>
      <c r="F87"/>
      <c r="G87"/>
      <c r="H87"/>
      <c r="I87"/>
      <c r="J87"/>
      <c r="K87" s="24"/>
      <c r="L87" s="25"/>
      <c r="M87" s="25"/>
      <c r="N87" s="25"/>
      <c r="O87" s="25"/>
      <c r="P87" s="25"/>
    </row>
    <row r="88" spans="1:16" ht="15.6" customHeight="1">
      <c r="A88" s="148">
        <v>75</v>
      </c>
      <c r="B88" s="67">
        <v>2032303475</v>
      </c>
      <c r="C88" s="158" t="s">
        <v>132</v>
      </c>
      <c r="D88" s="193">
        <v>43</v>
      </c>
      <c r="E88"/>
      <c r="F88"/>
      <c r="G88"/>
      <c r="H88"/>
      <c r="I88"/>
      <c r="J88"/>
      <c r="K88" s="24"/>
      <c r="L88" s="25"/>
      <c r="M88" s="25"/>
      <c r="N88" s="25"/>
      <c r="O88" s="25"/>
      <c r="P88" s="25"/>
    </row>
    <row r="89" spans="1:16" ht="15.6" customHeight="1">
      <c r="A89" s="148">
        <v>76</v>
      </c>
      <c r="B89" s="67">
        <v>2032303517</v>
      </c>
      <c r="C89" s="158" t="s">
        <v>173</v>
      </c>
      <c r="D89" s="193">
        <v>43</v>
      </c>
      <c r="E89"/>
      <c r="F89"/>
      <c r="G89"/>
      <c r="H89"/>
      <c r="I89"/>
      <c r="J89"/>
      <c r="K89" s="24"/>
      <c r="L89" s="25"/>
      <c r="M89" s="25"/>
      <c r="N89" s="25"/>
      <c r="O89" s="25"/>
      <c r="P89" s="25"/>
    </row>
    <row r="90" spans="1:16" ht="15.6" customHeight="1">
      <c r="A90" s="148">
        <v>77</v>
      </c>
      <c r="B90" s="67">
        <v>2032303552</v>
      </c>
      <c r="C90" s="158" t="s">
        <v>208</v>
      </c>
      <c r="D90" s="193">
        <v>44</v>
      </c>
      <c r="E90"/>
      <c r="F90"/>
      <c r="G90"/>
      <c r="H90"/>
      <c r="I90"/>
      <c r="J90"/>
      <c r="K90" s="24"/>
      <c r="L90" s="25"/>
      <c r="M90" s="25"/>
      <c r="N90" s="25"/>
      <c r="O90" s="25"/>
      <c r="P90" s="25"/>
    </row>
    <row r="91" spans="1:16" ht="15.6" customHeight="1">
      <c r="A91" s="148">
        <v>78</v>
      </c>
      <c r="B91" s="67">
        <v>2032303498</v>
      </c>
      <c r="C91" s="158" t="s">
        <v>155</v>
      </c>
      <c r="D91" s="193">
        <v>42</v>
      </c>
      <c r="E91"/>
      <c r="F91"/>
      <c r="G91"/>
      <c r="H91"/>
      <c r="I91"/>
      <c r="J91"/>
      <c r="K91" s="24"/>
      <c r="L91" s="25"/>
      <c r="M91" s="25"/>
      <c r="N91" s="25"/>
      <c r="O91" s="25"/>
      <c r="P91" s="25"/>
    </row>
    <row r="92" spans="1:16" ht="15.6" customHeight="1">
      <c r="A92" s="148">
        <v>79</v>
      </c>
      <c r="B92" s="67">
        <v>2032303510</v>
      </c>
      <c r="C92" s="158" t="s">
        <v>166</v>
      </c>
      <c r="D92" s="193">
        <v>45</v>
      </c>
      <c r="E92"/>
      <c r="F92"/>
      <c r="G92"/>
      <c r="H92"/>
      <c r="I92"/>
      <c r="J92"/>
      <c r="K92" s="24"/>
      <c r="L92" s="25"/>
      <c r="M92" s="25"/>
      <c r="N92" s="25"/>
      <c r="O92" s="25"/>
      <c r="P92" s="25"/>
    </row>
    <row r="93" spans="1:16" ht="15.6" customHeight="1">
      <c r="A93" s="148">
        <v>80</v>
      </c>
      <c r="B93" s="67">
        <v>2032303532</v>
      </c>
      <c r="C93" s="158" t="s">
        <v>188</v>
      </c>
      <c r="D93" s="193">
        <v>43</v>
      </c>
      <c r="E93"/>
      <c r="F93"/>
      <c r="G93"/>
      <c r="H93"/>
      <c r="I93"/>
      <c r="J93"/>
      <c r="K93" s="24"/>
      <c r="L93" s="25"/>
      <c r="M93" s="25"/>
      <c r="N93" s="25"/>
      <c r="O93" s="25"/>
      <c r="P93" s="25"/>
    </row>
    <row r="94" spans="1:16" ht="15.6" customHeight="1">
      <c r="A94" s="148">
        <v>81</v>
      </c>
      <c r="B94" s="67">
        <v>2032303489</v>
      </c>
      <c r="C94" s="158" t="s">
        <v>146</v>
      </c>
      <c r="D94" s="193">
        <v>42</v>
      </c>
      <c r="E94"/>
      <c r="F94"/>
      <c r="G94"/>
      <c r="H94"/>
      <c r="I94"/>
      <c r="J94"/>
      <c r="K94" s="24"/>
      <c r="L94" s="25"/>
      <c r="M94" s="25"/>
      <c r="N94" s="25"/>
      <c r="O94" s="25"/>
      <c r="P94" s="25"/>
    </row>
    <row r="95" spans="1:16" ht="15.6" customHeight="1">
      <c r="A95" s="148">
        <v>82</v>
      </c>
      <c r="B95" s="67">
        <v>2032303520</v>
      </c>
      <c r="C95" s="158" t="s">
        <v>176</v>
      </c>
      <c r="D95" s="193">
        <v>42</v>
      </c>
      <c r="E95"/>
      <c r="F95"/>
      <c r="G95"/>
      <c r="H95"/>
      <c r="I95"/>
      <c r="J95"/>
      <c r="K95" s="24"/>
      <c r="L95" s="25"/>
      <c r="M95" s="25"/>
      <c r="N95" s="25"/>
      <c r="O95" s="25"/>
      <c r="P95" s="25"/>
    </row>
    <row r="96" spans="1:16" ht="15.6" customHeight="1">
      <c r="A96" s="148">
        <v>83</v>
      </c>
      <c r="B96" s="67">
        <v>2032303452</v>
      </c>
      <c r="C96" s="158" t="s">
        <v>109</v>
      </c>
      <c r="D96" s="193">
        <v>45</v>
      </c>
      <c r="E96"/>
      <c r="F96"/>
      <c r="G96"/>
      <c r="H96"/>
      <c r="I96"/>
      <c r="J96"/>
      <c r="K96" s="24"/>
      <c r="L96" s="25"/>
      <c r="M96" s="25"/>
      <c r="N96" s="25"/>
      <c r="O96" s="25"/>
      <c r="P96" s="25"/>
    </row>
    <row r="97" spans="1:16" ht="15.6" customHeight="1">
      <c r="A97" s="148">
        <v>84</v>
      </c>
      <c r="B97" s="67">
        <v>2032303493</v>
      </c>
      <c r="C97" s="158" t="s">
        <v>150</v>
      </c>
      <c r="D97" s="193">
        <v>42</v>
      </c>
      <c r="E97"/>
      <c r="F97"/>
      <c r="G97"/>
      <c r="H97"/>
      <c r="I97"/>
      <c r="J97"/>
      <c r="K97" s="24"/>
      <c r="L97" s="25"/>
      <c r="M97" s="25"/>
      <c r="N97" s="25"/>
      <c r="O97" s="25"/>
      <c r="P97" s="25"/>
    </row>
    <row r="98" spans="1:16" ht="15.6" customHeight="1">
      <c r="A98" s="148">
        <v>85</v>
      </c>
      <c r="B98" s="67">
        <v>2032303554</v>
      </c>
      <c r="C98" s="158" t="s">
        <v>210</v>
      </c>
      <c r="D98" s="193">
        <v>43</v>
      </c>
      <c r="E98"/>
      <c r="F98"/>
      <c r="G98"/>
      <c r="H98"/>
      <c r="I98"/>
      <c r="J98"/>
      <c r="K98" s="24"/>
      <c r="L98" s="25"/>
      <c r="M98" s="25"/>
      <c r="N98" s="25"/>
      <c r="O98" s="25"/>
      <c r="P98" s="25"/>
    </row>
    <row r="99" spans="1:16" ht="15.6" customHeight="1">
      <c r="A99" s="148">
        <v>86</v>
      </c>
      <c r="B99" s="67">
        <v>2032303507</v>
      </c>
      <c r="C99" s="158" t="s">
        <v>163</v>
      </c>
      <c r="D99" s="193">
        <v>44</v>
      </c>
      <c r="E99"/>
      <c r="F99"/>
      <c r="G99"/>
      <c r="H99"/>
      <c r="I99"/>
      <c r="J99"/>
      <c r="K99" s="24"/>
      <c r="L99" s="25"/>
      <c r="M99" s="25"/>
      <c r="N99" s="25"/>
      <c r="O99" s="25"/>
      <c r="P99" s="25"/>
    </row>
    <row r="100" spans="1:16" ht="15.6" customHeight="1">
      <c r="A100" s="148">
        <v>87</v>
      </c>
      <c r="B100" s="67">
        <v>2032303467</v>
      </c>
      <c r="C100" s="158" t="s">
        <v>124</v>
      </c>
      <c r="D100" s="193">
        <v>44</v>
      </c>
      <c r="E100"/>
      <c r="F100"/>
      <c r="G100"/>
      <c r="H100"/>
      <c r="I100"/>
      <c r="J100"/>
      <c r="K100" s="24"/>
      <c r="L100" s="25"/>
      <c r="M100" s="25"/>
      <c r="N100" s="25"/>
      <c r="O100" s="25"/>
      <c r="P100" s="25"/>
    </row>
    <row r="101" spans="1:16" ht="15.6" customHeight="1">
      <c r="A101" s="148">
        <v>88</v>
      </c>
      <c r="B101" s="67">
        <v>2032303544</v>
      </c>
      <c r="C101" s="158" t="s">
        <v>200</v>
      </c>
      <c r="D101" s="193">
        <v>0</v>
      </c>
      <c r="E101"/>
      <c r="F101"/>
      <c r="G101"/>
      <c r="H101"/>
      <c r="I101"/>
      <c r="J101"/>
      <c r="K101" s="24"/>
      <c r="L101" s="25"/>
      <c r="M101" s="25"/>
      <c r="N101" s="25"/>
      <c r="O101" s="25"/>
      <c r="P101" s="25"/>
    </row>
    <row r="102" spans="1:16" ht="15.6" customHeight="1">
      <c r="A102" s="148">
        <v>89</v>
      </c>
      <c r="B102" s="67">
        <v>2032303514</v>
      </c>
      <c r="C102" s="158" t="s">
        <v>170</v>
      </c>
      <c r="D102" s="193">
        <v>44</v>
      </c>
      <c r="E102"/>
      <c r="F102"/>
      <c r="G102"/>
      <c r="H102"/>
      <c r="I102"/>
      <c r="J102"/>
      <c r="K102" s="24"/>
      <c r="L102" s="25"/>
      <c r="M102" s="25"/>
      <c r="N102" s="25"/>
      <c r="O102" s="25"/>
      <c r="P102" s="25"/>
    </row>
    <row r="103" spans="1:16" ht="15.6" customHeight="1">
      <c r="A103" s="148">
        <v>90</v>
      </c>
      <c r="B103" s="67">
        <v>2032303501</v>
      </c>
      <c r="C103" s="158" t="s">
        <v>158</v>
      </c>
      <c r="D103" s="193">
        <v>43</v>
      </c>
      <c r="E103"/>
      <c r="F103"/>
      <c r="G103"/>
      <c r="H103"/>
      <c r="I103"/>
      <c r="J103"/>
      <c r="K103" s="24"/>
      <c r="L103" s="25"/>
      <c r="M103" s="25"/>
      <c r="N103" s="25"/>
      <c r="O103" s="25"/>
      <c r="P103" s="25"/>
    </row>
    <row r="104" spans="1:16" ht="15.6" customHeight="1">
      <c r="A104" s="148">
        <v>91</v>
      </c>
      <c r="B104" s="67">
        <v>2032303461</v>
      </c>
      <c r="C104" s="158" t="s">
        <v>118</v>
      </c>
      <c r="D104" s="193">
        <v>44</v>
      </c>
      <c r="E104"/>
      <c r="F104"/>
      <c r="G104"/>
      <c r="H104"/>
      <c r="I104"/>
      <c r="J104"/>
      <c r="K104" s="24"/>
      <c r="L104" s="25"/>
      <c r="M104" s="25"/>
      <c r="N104" s="25"/>
      <c r="O104" s="25"/>
      <c r="P104" s="25"/>
    </row>
    <row r="105" spans="1:16" ht="15.6" customHeight="1">
      <c r="A105" s="148">
        <v>92</v>
      </c>
      <c r="B105" s="67">
        <v>2032303305</v>
      </c>
      <c r="C105" s="158" t="s">
        <v>107</v>
      </c>
      <c r="D105" s="193">
        <v>43</v>
      </c>
      <c r="E105"/>
      <c r="F105"/>
      <c r="G105"/>
      <c r="H105"/>
      <c r="I105"/>
      <c r="J105"/>
      <c r="K105" s="24"/>
      <c r="L105" s="25"/>
      <c r="M105" s="25"/>
      <c r="N105" s="25"/>
      <c r="O105" s="25"/>
      <c r="P105" s="25"/>
    </row>
    <row r="106" spans="1:16" ht="15.6" customHeight="1">
      <c r="A106" s="148">
        <v>93</v>
      </c>
      <c r="B106" s="67">
        <v>2032303531</v>
      </c>
      <c r="C106" s="158" t="s">
        <v>187</v>
      </c>
      <c r="D106" s="193">
        <v>42</v>
      </c>
      <c r="E106"/>
      <c r="F106"/>
      <c r="G106"/>
      <c r="H106"/>
      <c r="I106"/>
      <c r="J106"/>
      <c r="K106" s="24"/>
      <c r="L106" s="25"/>
      <c r="M106" s="25"/>
      <c r="N106" s="25"/>
      <c r="O106" s="25"/>
      <c r="P106" s="25"/>
    </row>
    <row r="107" spans="1:16" ht="15.6" customHeight="1">
      <c r="A107" s="148">
        <v>94</v>
      </c>
      <c r="B107" s="67">
        <v>2032303460</v>
      </c>
      <c r="C107" s="158" t="s">
        <v>117</v>
      </c>
      <c r="D107" s="193">
        <v>45</v>
      </c>
      <c r="E107"/>
      <c r="F107"/>
      <c r="G107"/>
      <c r="H107"/>
      <c r="I107"/>
      <c r="J107"/>
      <c r="K107" s="24"/>
      <c r="L107" s="25"/>
      <c r="M107" s="25"/>
      <c r="N107" s="25"/>
      <c r="O107" s="25"/>
      <c r="P107" s="25"/>
    </row>
    <row r="108" spans="1:16" ht="15.6" customHeight="1">
      <c r="A108" s="148">
        <v>95</v>
      </c>
      <c r="B108" s="67">
        <v>2032303533</v>
      </c>
      <c r="C108" s="158" t="s">
        <v>189</v>
      </c>
      <c r="D108" s="193">
        <v>42</v>
      </c>
      <c r="E108"/>
      <c r="F108"/>
      <c r="G108"/>
      <c r="H108"/>
      <c r="I108"/>
      <c r="J108"/>
      <c r="K108" s="24"/>
      <c r="L108" s="25"/>
      <c r="M108" s="25"/>
      <c r="N108" s="25"/>
      <c r="O108" s="25"/>
      <c r="P108" s="25"/>
    </row>
    <row r="109" spans="1:16" ht="15.6" customHeight="1">
      <c r="A109" s="148">
        <v>96</v>
      </c>
      <c r="B109" s="67">
        <v>2032303471</v>
      </c>
      <c r="C109" s="158" t="s">
        <v>128</v>
      </c>
      <c r="D109" s="193">
        <v>42</v>
      </c>
      <c r="E109"/>
      <c r="F109"/>
      <c r="G109"/>
      <c r="H109"/>
      <c r="I109"/>
      <c r="J109"/>
      <c r="K109" s="24"/>
      <c r="L109" s="25"/>
      <c r="M109" s="25"/>
      <c r="N109" s="25"/>
      <c r="O109" s="25"/>
      <c r="P109" s="25"/>
    </row>
    <row r="110" spans="1:16" ht="15.6" customHeight="1">
      <c r="A110" s="148">
        <v>97</v>
      </c>
      <c r="B110" s="67">
        <v>2032303546</v>
      </c>
      <c r="C110" s="158" t="s">
        <v>202</v>
      </c>
      <c r="D110" s="193">
        <v>45</v>
      </c>
      <c r="E110"/>
      <c r="F110"/>
      <c r="G110"/>
      <c r="H110"/>
      <c r="I110"/>
      <c r="J110"/>
      <c r="K110" s="24"/>
      <c r="L110" s="25"/>
      <c r="M110" s="25"/>
      <c r="N110" s="25"/>
      <c r="O110" s="25"/>
      <c r="P110" s="25"/>
    </row>
    <row r="111" spans="1:16" ht="15.6" customHeight="1">
      <c r="A111" s="148">
        <v>98</v>
      </c>
      <c r="B111" s="67">
        <v>2032303454</v>
      </c>
      <c r="C111" s="158" t="s">
        <v>111</v>
      </c>
      <c r="D111" s="193">
        <v>42</v>
      </c>
      <c r="E111"/>
      <c r="F111"/>
      <c r="G111"/>
      <c r="H111"/>
      <c r="I111"/>
      <c r="J111"/>
      <c r="K111" s="24"/>
      <c r="L111" s="25"/>
      <c r="M111" s="25"/>
      <c r="N111" s="25"/>
      <c r="O111" s="25"/>
      <c r="P111" s="25"/>
    </row>
    <row r="112" spans="1:16" ht="15.6" customHeight="1">
      <c r="A112" s="148">
        <v>99</v>
      </c>
      <c r="B112" s="67">
        <v>2032303521</v>
      </c>
      <c r="C112" s="158" t="s">
        <v>177</v>
      </c>
      <c r="D112" s="193">
        <v>44</v>
      </c>
      <c r="E112"/>
      <c r="F112"/>
      <c r="G112"/>
      <c r="H112"/>
      <c r="I112"/>
      <c r="J112"/>
      <c r="K112" s="24"/>
      <c r="L112" s="25"/>
      <c r="M112" s="25"/>
      <c r="N112" s="25"/>
      <c r="O112" s="25"/>
      <c r="P112" s="25"/>
    </row>
    <row r="113" spans="1:16" ht="15.6" customHeight="1">
      <c r="A113" s="148">
        <v>100</v>
      </c>
      <c r="B113" s="67">
        <v>2032303545</v>
      </c>
      <c r="C113" s="158" t="s">
        <v>201</v>
      </c>
      <c r="D113" s="193">
        <v>0</v>
      </c>
      <c r="E113"/>
      <c r="F113"/>
      <c r="G113"/>
      <c r="H113"/>
      <c r="I113"/>
      <c r="J113"/>
      <c r="K113" s="24"/>
      <c r="L113" s="25"/>
      <c r="M113" s="25"/>
      <c r="N113" s="25"/>
      <c r="O113" s="25"/>
      <c r="P113" s="25"/>
    </row>
    <row r="114" spans="1:16" ht="15.6" customHeight="1">
      <c r="A114" s="148">
        <v>101</v>
      </c>
      <c r="B114" s="67">
        <v>2032303543</v>
      </c>
      <c r="C114" s="158" t="s">
        <v>199</v>
      </c>
      <c r="D114" s="193">
        <v>0</v>
      </c>
      <c r="E114"/>
      <c r="F114"/>
      <c r="G114"/>
      <c r="H114"/>
      <c r="I114"/>
      <c r="J114"/>
      <c r="K114" s="24"/>
      <c r="L114" s="25"/>
      <c r="M114" s="25"/>
      <c r="N114" s="25"/>
      <c r="O114" s="25"/>
      <c r="P114" s="25"/>
    </row>
    <row r="115" spans="1:16" ht="15.6" customHeight="1">
      <c r="A115" s="148">
        <v>102</v>
      </c>
      <c r="B115" s="67">
        <v>2032303526</v>
      </c>
      <c r="C115" s="158" t="s">
        <v>182</v>
      </c>
      <c r="D115" s="193">
        <v>0</v>
      </c>
      <c r="E115"/>
      <c r="F115"/>
      <c r="G115"/>
      <c r="H115"/>
      <c r="I115"/>
      <c r="J115"/>
      <c r="K115" s="24"/>
      <c r="L115" s="25"/>
      <c r="M115" s="25"/>
      <c r="N115" s="25"/>
      <c r="O115" s="25"/>
      <c r="P115" s="25"/>
    </row>
    <row r="116" spans="1:16" ht="15.6" customHeight="1">
      <c r="A116" s="148">
        <v>103</v>
      </c>
      <c r="B116" s="67">
        <v>2032303557</v>
      </c>
      <c r="C116" s="158" t="s">
        <v>213</v>
      </c>
      <c r="D116" s="193">
        <v>0</v>
      </c>
      <c r="E116"/>
      <c r="F116"/>
      <c r="G116"/>
      <c r="H116"/>
      <c r="I116"/>
      <c r="J116"/>
      <c r="K116" s="24"/>
      <c r="L116" s="25"/>
      <c r="M116" s="25"/>
      <c r="N116" s="25"/>
      <c r="O116" s="25"/>
      <c r="P116" s="25"/>
    </row>
    <row r="117" spans="1:16" ht="15.6" customHeight="1">
      <c r="A117" s="148">
        <v>104</v>
      </c>
      <c r="B117" s="67">
        <v>2032303506</v>
      </c>
      <c r="C117" s="158" t="s">
        <v>162</v>
      </c>
      <c r="D117" s="193">
        <v>0</v>
      </c>
      <c r="E117"/>
      <c r="F117"/>
      <c r="G117"/>
      <c r="H117"/>
      <c r="I117"/>
      <c r="J117"/>
      <c r="K117" s="24"/>
      <c r="L117" s="25"/>
      <c r="M117" s="25"/>
      <c r="N117" s="25"/>
      <c r="O117" s="25"/>
      <c r="P117" s="25"/>
    </row>
    <row r="118" spans="1:16" ht="15.6" customHeight="1">
      <c r="A118" s="148">
        <v>105</v>
      </c>
      <c r="B118" s="67">
        <v>2032303537</v>
      </c>
      <c r="C118" s="158" t="s">
        <v>193</v>
      </c>
      <c r="D118" s="193">
        <v>0</v>
      </c>
      <c r="E118"/>
      <c r="F118"/>
      <c r="G118"/>
      <c r="H118"/>
      <c r="I118"/>
      <c r="J118"/>
      <c r="K118" s="24"/>
      <c r="L118" s="25"/>
      <c r="M118" s="25"/>
      <c r="N118" s="25"/>
      <c r="O118" s="25"/>
      <c r="P118" s="25"/>
    </row>
    <row r="119" spans="1:16" ht="15.75">
      <c r="A119" s="148">
        <v>106</v>
      </c>
      <c r="B119" s="67">
        <v>2032303558</v>
      </c>
      <c r="C119" s="158" t="s">
        <v>214</v>
      </c>
      <c r="D119" s="193">
        <v>43</v>
      </c>
      <c r="E119"/>
      <c r="F119"/>
      <c r="G119"/>
      <c r="H119"/>
      <c r="I119"/>
      <c r="J119"/>
      <c r="K119" s="24"/>
      <c r="L119" s="25"/>
      <c r="M119" s="25"/>
      <c r="N119" s="25"/>
      <c r="O119" s="25"/>
      <c r="P119" s="25"/>
    </row>
    <row r="120" spans="1:16" ht="15.75">
      <c r="A120" s="148">
        <v>107</v>
      </c>
      <c r="B120" s="67">
        <v>2032303553</v>
      </c>
      <c r="C120" s="158" t="s">
        <v>209</v>
      </c>
      <c r="D120" s="193">
        <v>42</v>
      </c>
      <c r="E120"/>
      <c r="F120"/>
      <c r="G120"/>
      <c r="H120"/>
      <c r="I120"/>
      <c r="J120"/>
      <c r="K120" s="24"/>
      <c r="L120" s="25"/>
      <c r="M120" s="25"/>
      <c r="N120" s="25"/>
      <c r="O120" s="25"/>
      <c r="P120" s="25"/>
    </row>
    <row r="121" spans="1:16" ht="15.6" customHeight="1" thickBot="1">
      <c r="A121" s="148">
        <v>108</v>
      </c>
      <c r="B121" s="67">
        <v>2032303555</v>
      </c>
      <c r="C121" s="158" t="s">
        <v>211</v>
      </c>
      <c r="D121" s="193">
        <v>41</v>
      </c>
      <c r="E121"/>
      <c r="F121"/>
      <c r="G121"/>
      <c r="H121"/>
      <c r="I121"/>
      <c r="J121"/>
      <c r="K121" s="24"/>
      <c r="L121" s="25"/>
      <c r="M121" s="25"/>
      <c r="N121" s="25"/>
      <c r="O121" s="25"/>
      <c r="P121" s="25"/>
    </row>
    <row r="122" spans="1:16" ht="15">
      <c r="A122" s="15"/>
      <c r="B122" s="16"/>
      <c r="C122" s="129" t="s">
        <v>24</v>
      </c>
      <c r="D122" s="126">
        <f>IFERROR(COUNT(D14:D121),"NA")</f>
        <v>108</v>
      </c>
      <c r="E122" s="198"/>
      <c r="F122" s="198"/>
      <c r="G122" s="198"/>
      <c r="H122" s="198"/>
      <c r="I122" s="198"/>
      <c r="J122" s="199"/>
      <c r="K122" s="25"/>
      <c r="L122" s="25"/>
      <c r="M122" s="25"/>
      <c r="N122" s="25"/>
      <c r="O122" s="25"/>
      <c r="P122" s="25"/>
    </row>
    <row r="123" spans="1:16">
      <c r="A123" s="17"/>
      <c r="B123" s="14"/>
      <c r="C123" s="207" t="str">
        <f>CONCATENATE("No of students more than ",70, "% = (x1)")</f>
        <v>No of students more than 70% = (x1)</v>
      </c>
      <c r="D123" s="126">
        <f>COUNTIF(D14:D121,"&gt;="&amp;D13*70%)</f>
        <v>101</v>
      </c>
      <c r="E123" s="200"/>
      <c r="F123" s="200"/>
      <c r="G123" s="200"/>
      <c r="H123" s="200"/>
      <c r="I123" s="200"/>
      <c r="J123" s="201"/>
      <c r="K123" s="25"/>
      <c r="L123" s="25"/>
      <c r="M123" s="25"/>
      <c r="N123" s="25"/>
      <c r="O123" s="25"/>
      <c r="P123" s="25"/>
    </row>
    <row r="124" spans="1:16">
      <c r="A124" s="17"/>
      <c r="B124" s="14"/>
      <c r="C124" s="208" t="str">
        <f>CONCATENATE("No of students between 70 and ",60, "% = (x2)")</f>
        <v>No of students between 70 and 60% = (x2)</v>
      </c>
      <c r="D124" s="126">
        <f>COUNTIFS(D14:D121,"&gt;="&amp;D13*60%,D14:D121,"&lt;"&amp;D13*70%)</f>
        <v>0</v>
      </c>
      <c r="E124" s="202"/>
      <c r="F124" s="202"/>
      <c r="G124" s="202"/>
      <c r="H124" s="202"/>
      <c r="I124" s="202"/>
      <c r="J124" s="203"/>
      <c r="K124" s="26"/>
      <c r="L124" s="26"/>
      <c r="M124" s="26"/>
      <c r="N124" s="26"/>
      <c r="O124" s="26"/>
      <c r="P124" s="26"/>
    </row>
    <row r="125" spans="1:16" ht="16.5" thickBot="1">
      <c r="A125" s="18"/>
      <c r="B125" s="19"/>
      <c r="C125" s="209" t="str">
        <f>CONCATENATE("No of students between 60 and ",50, "% = (x3)")</f>
        <v>No of students between 60 and 50% = (x3)</v>
      </c>
      <c r="D125" s="126">
        <f>COUNTIFS(D14:D121,"&gt;="&amp;D13*50%,D14:D121,"&lt;"&amp;D13*60%)</f>
        <v>0</v>
      </c>
      <c r="E125" s="204"/>
      <c r="F125" s="204"/>
      <c r="G125" s="204"/>
      <c r="H125" s="204"/>
      <c r="I125" s="204"/>
      <c r="J125" s="205"/>
      <c r="K125" s="25"/>
      <c r="L125" s="25"/>
      <c r="M125" s="25"/>
      <c r="N125" s="25"/>
      <c r="O125" s="25"/>
      <c r="P125" s="25"/>
    </row>
    <row r="126" spans="1:16" ht="15.75">
      <c r="A126" s="194"/>
      <c r="B126" s="195"/>
      <c r="C126" s="210" t="s">
        <v>224</v>
      </c>
      <c r="D126" s="126">
        <f>COUNTIFS(D14:D121,"&gt;="&amp;D13*40%,D14:D121,"&lt;"&amp;D13*50%)</f>
        <v>0</v>
      </c>
      <c r="E126" s="206"/>
      <c r="F126" s="206"/>
      <c r="G126" s="206"/>
      <c r="H126" s="206"/>
      <c r="I126" s="206"/>
      <c r="J126" s="206"/>
      <c r="K126" s="25"/>
      <c r="L126" s="25"/>
      <c r="M126" s="25"/>
      <c r="N126" s="25"/>
      <c r="O126" s="25"/>
      <c r="P126" s="25"/>
    </row>
    <row r="127" spans="1:16" ht="15.75">
      <c r="A127" s="194"/>
      <c r="B127" s="195"/>
      <c r="C127" s="211" t="s">
        <v>225</v>
      </c>
      <c r="D127" s="126">
        <f>COUNTIF(D14:D121,"&lt;"&amp;D13*40%)</f>
        <v>7</v>
      </c>
      <c r="E127" s="206"/>
      <c r="F127" s="206"/>
      <c r="G127" s="206"/>
      <c r="H127" s="206"/>
      <c r="I127" s="206"/>
      <c r="J127" s="206"/>
      <c r="K127" s="25"/>
      <c r="L127" s="25"/>
      <c r="M127" s="25"/>
      <c r="N127" s="25"/>
      <c r="O127" s="25"/>
      <c r="P127" s="25"/>
    </row>
    <row r="128" spans="1:16" ht="15.75">
      <c r="A128" s="194"/>
      <c r="B128" s="195"/>
      <c r="C128" s="129" t="s">
        <v>26</v>
      </c>
      <c r="D128" s="131">
        <f>(D123*3+D124*2+D125*1)/(COUNT(D14:D121)*3)*100</f>
        <v>93.518518518518519</v>
      </c>
      <c r="E128" s="206"/>
      <c r="F128" s="206"/>
      <c r="G128" s="206"/>
      <c r="H128" s="206"/>
      <c r="I128" s="206"/>
      <c r="J128" s="206"/>
      <c r="K128" s="25"/>
      <c r="L128" s="25"/>
      <c r="M128" s="25"/>
      <c r="N128" s="25"/>
      <c r="O128" s="25"/>
      <c r="P128" s="25"/>
    </row>
    <row r="129" spans="1:24" ht="15.75">
      <c r="A129" s="194"/>
      <c r="B129" s="195"/>
      <c r="C129" s="128" t="s">
        <v>226</v>
      </c>
      <c r="D129" s="126">
        <f>IF(D128&lt;&gt;"NA",IF(D128&gt;=70,3,IF(D128&gt;=60,2,IF(D128&gt;=50,1,"0"))),"NA")</f>
        <v>3</v>
      </c>
      <c r="E129" s="197"/>
      <c r="F129" s="197"/>
      <c r="G129" s="197"/>
      <c r="H129" s="197"/>
      <c r="I129" s="197"/>
      <c r="J129" s="197"/>
      <c r="K129" s="25"/>
      <c r="L129" s="25"/>
      <c r="M129" s="25"/>
      <c r="N129" s="25"/>
      <c r="O129" s="25"/>
      <c r="P129" s="25"/>
    </row>
    <row r="130" spans="1:24" ht="15.75">
      <c r="A130" s="194"/>
      <c r="B130" s="195"/>
      <c r="C130" s="196"/>
      <c r="D130" s="197"/>
      <c r="E130" s="197"/>
      <c r="F130" s="197"/>
      <c r="G130" s="197"/>
      <c r="H130" s="197"/>
      <c r="I130" s="197"/>
      <c r="J130" s="197"/>
      <c r="K130" s="25"/>
      <c r="L130" s="25"/>
      <c r="M130" s="25"/>
      <c r="N130" s="25"/>
      <c r="O130" s="25"/>
      <c r="P130" s="25"/>
    </row>
    <row r="131" spans="1:24" ht="15.75">
      <c r="A131" s="194"/>
      <c r="B131" s="195"/>
      <c r="C131" s="196"/>
      <c r="D131" s="197"/>
      <c r="E131" s="197"/>
      <c r="F131" s="197"/>
      <c r="G131" s="197"/>
      <c r="H131" s="197"/>
      <c r="I131" s="197"/>
      <c r="J131" s="197"/>
      <c r="K131" s="25"/>
      <c r="L131" s="25"/>
      <c r="M131" s="25"/>
      <c r="N131" s="25"/>
      <c r="O131" s="25"/>
      <c r="P131" s="25"/>
    </row>
    <row r="133" spans="1:24" ht="25.5">
      <c r="C133" s="70" t="s">
        <v>51</v>
      </c>
      <c r="D133" s="212">
        <f>D128</f>
        <v>93.518518518518519</v>
      </c>
    </row>
    <row r="135" spans="1:2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2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24" ht="18.7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 s="78"/>
    </row>
    <row r="138" spans="1:24" ht="18.75">
      <c r="A138"/>
      <c r="B138" s="7" t="str">
        <f>Faculty</f>
        <v>Narsareaddy Chude</v>
      </c>
      <c r="C138"/>
      <c r="D138"/>
      <c r="E138"/>
      <c r="F138"/>
      <c r="G138"/>
      <c r="H138"/>
      <c r="I138"/>
      <c r="J138"/>
      <c r="K138"/>
      <c r="L138"/>
      <c r="M138"/>
      <c r="N138"/>
      <c r="O138" s="78"/>
    </row>
    <row r="139" spans="1:24" s="34" customFormat="1" ht="15.75">
      <c r="A139"/>
      <c r="B139"/>
      <c r="C139"/>
      <c r="D139"/>
      <c r="E139" s="249"/>
      <c r="F139" s="249"/>
      <c r="G139"/>
      <c r="H139"/>
      <c r="I139" s="47"/>
      <c r="J139"/>
      <c r="K139"/>
      <c r="L139"/>
      <c r="M139"/>
      <c r="N139"/>
      <c r="O139"/>
      <c r="P139" s="7"/>
      <c r="Q139" s="7"/>
      <c r="R139" s="7"/>
      <c r="S139" s="7"/>
      <c r="T139" s="7"/>
      <c r="U139" s="7"/>
      <c r="V139" s="7"/>
      <c r="W139" s="7"/>
      <c r="X139" s="7"/>
    </row>
    <row r="140" spans="1:24" s="34" customFormat="1" ht="15.75">
      <c r="A140" s="80"/>
      <c r="B140" s="80"/>
      <c r="C140" s="81"/>
      <c r="D140" s="81"/>
      <c r="E140" s="249"/>
      <c r="F140" s="249"/>
      <c r="G140" s="7"/>
      <c r="H140" s="2"/>
      <c r="I140" s="47"/>
      <c r="J140" s="7"/>
      <c r="K140" s="80"/>
      <c r="L140"/>
      <c r="M140" s="80"/>
      <c r="N140" s="7"/>
      <c r="O140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>
      <c r="A141" s="80"/>
      <c r="B141" s="80"/>
      <c r="C141" s="81"/>
      <c r="D141" s="81"/>
      <c r="E141" s="81"/>
      <c r="F141" s="81"/>
      <c r="H141" s="2"/>
      <c r="K141" s="80"/>
      <c r="L141"/>
      <c r="M141" s="80"/>
    </row>
    <row r="142" spans="1:24" ht="15.75">
      <c r="A142"/>
      <c r="B142"/>
      <c r="C142"/>
      <c r="D142"/>
      <c r="E142"/>
      <c r="F142"/>
      <c r="G142"/>
      <c r="H142"/>
      <c r="I142" s="2"/>
      <c r="J142" s="2"/>
      <c r="K142"/>
      <c r="L142"/>
      <c r="M142"/>
      <c r="N142" s="3"/>
    </row>
    <row r="143" spans="1:24" ht="15.75">
      <c r="A143" s="217" t="str">
        <f>SubjectDetails!A24</f>
        <v>Dr. Ravi Chourasiya</v>
      </c>
      <c r="B143" s="217"/>
      <c r="C143" s="217"/>
      <c r="D143" s="249" t="str">
        <f>SubjectDetails!E24</f>
        <v>Dr. Ashwini Chavan</v>
      </c>
      <c r="E143" s="249"/>
      <c r="F143" s="249"/>
      <c r="G143" s="249"/>
      <c r="H143"/>
      <c r="I143" s="218" t="str">
        <f>SubjectDetails!H24</f>
        <v>Dr. Priyanka Singh</v>
      </c>
      <c r="J143" s="218"/>
      <c r="K143" s="80"/>
      <c r="L143"/>
      <c r="M143" s="80"/>
      <c r="N143" s="47"/>
      <c r="O143"/>
      <c r="P143" s="34"/>
      <c r="Q143" s="34"/>
      <c r="R143" s="34"/>
      <c r="S143" s="34"/>
      <c r="T143" s="34"/>
      <c r="U143" s="34"/>
      <c r="V143" s="34"/>
      <c r="W143" s="34"/>
      <c r="X143" s="34"/>
    </row>
    <row r="144" spans="1:24" ht="15.75">
      <c r="A144" s="217" t="str">
        <f>SubjectDetails!A25</f>
        <v>(College Examination Officer)</v>
      </c>
      <c r="B144" s="217"/>
      <c r="C144" s="217"/>
      <c r="D144" s="249" t="str">
        <f>SubjectDetails!E25</f>
        <v>HOD (MCA)</v>
      </c>
      <c r="E144" s="249"/>
      <c r="F144" s="249"/>
      <c r="G144" s="249"/>
      <c r="H144"/>
      <c r="I144" s="218" t="str">
        <f>SubjectDetails!H25</f>
        <v>Director</v>
      </c>
      <c r="J144" s="218"/>
      <c r="K144" s="80"/>
      <c r="L144"/>
      <c r="M144" s="80"/>
      <c r="N144" s="47"/>
      <c r="P144" s="34"/>
      <c r="Q144" s="34"/>
      <c r="R144" s="34"/>
      <c r="S144" s="34"/>
      <c r="T144" s="34"/>
      <c r="U144" s="34"/>
      <c r="V144" s="34"/>
      <c r="W144" s="34"/>
      <c r="X144" s="34"/>
    </row>
  </sheetData>
  <sortState ref="A15:C214">
    <sortCondition ref="B15:B214"/>
  </sortState>
  <mergeCells count="25">
    <mergeCell ref="D13:J13"/>
    <mergeCell ref="A143:C143"/>
    <mergeCell ref="I143:J143"/>
    <mergeCell ref="A144:C144"/>
    <mergeCell ref="I144:J144"/>
    <mergeCell ref="D143:G143"/>
    <mergeCell ref="D144:G144"/>
    <mergeCell ref="E139:F139"/>
    <mergeCell ref="E140:F140"/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13" zoomScaleNormal="100" workbookViewId="0">
      <selection activeCell="D10" sqref="D10:G10"/>
    </sheetView>
  </sheetViews>
  <sheetFormatPr defaultColWidth="8.85546875" defaultRowHeight="15"/>
  <cols>
    <col min="1" max="1" width="8.85546875" style="28"/>
    <col min="2" max="2" width="57.7109375" style="28" customWidth="1"/>
    <col min="3" max="7" width="7.7109375" style="28" customWidth="1"/>
    <col min="8" max="9" width="8.85546875" style="28"/>
    <col min="10" max="10" width="10.7109375" style="28" customWidth="1"/>
    <col min="11" max="11" width="13.5703125" style="28" customWidth="1"/>
    <col min="12" max="16384" width="8.85546875" style="28"/>
  </cols>
  <sheetData>
    <row r="1" spans="1:13" s="7" customFormat="1" ht="18.75">
      <c r="A1" s="220" t="s">
        <v>71</v>
      </c>
      <c r="B1" s="220"/>
      <c r="C1" s="220"/>
      <c r="D1" s="220"/>
      <c r="E1" s="220"/>
      <c r="F1" s="220"/>
      <c r="G1" s="220"/>
      <c r="H1" s="93"/>
      <c r="I1" s="93"/>
      <c r="J1" s="93"/>
      <c r="K1" s="93"/>
      <c r="L1" s="93"/>
      <c r="M1" s="93"/>
    </row>
    <row r="2" spans="1:13" s="7" customFormat="1" ht="23.45" customHeight="1">
      <c r="A2" s="221" t="s">
        <v>72</v>
      </c>
      <c r="B2" s="221"/>
      <c r="C2" s="221"/>
      <c r="D2" s="221"/>
      <c r="E2" s="221"/>
      <c r="F2" s="221"/>
      <c r="G2" s="221"/>
      <c r="H2" s="94"/>
      <c r="I2" s="94"/>
      <c r="J2" s="94"/>
      <c r="K2" s="94"/>
      <c r="L2" s="94"/>
      <c r="M2" s="94"/>
    </row>
    <row r="3" spans="1:13" s="7" customFormat="1" ht="13.9" customHeight="1">
      <c r="A3" s="222" t="s">
        <v>73</v>
      </c>
      <c r="B3" s="222"/>
      <c r="C3" s="222"/>
      <c r="D3" s="222"/>
      <c r="E3" s="222"/>
      <c r="F3" s="222"/>
      <c r="G3" s="222"/>
      <c r="H3" s="95"/>
      <c r="I3" s="95"/>
      <c r="J3" s="95"/>
      <c r="K3" s="95"/>
      <c r="L3" s="95"/>
      <c r="M3" s="95"/>
    </row>
    <row r="4" spans="1:13" s="7" customFormat="1" ht="13.9" customHeight="1">
      <c r="A4" s="222" t="s">
        <v>9</v>
      </c>
      <c r="B4" s="222"/>
      <c r="C4" s="222"/>
      <c r="D4" s="222"/>
      <c r="E4" s="222"/>
      <c r="F4" s="222"/>
      <c r="G4" s="222"/>
      <c r="H4" s="95"/>
      <c r="I4" s="95"/>
      <c r="J4" s="95"/>
      <c r="K4" s="95"/>
      <c r="L4" s="95"/>
      <c r="M4" s="95"/>
    </row>
    <row r="5" spans="1:13">
      <c r="A5" s="7"/>
      <c r="B5" s="371" t="str">
        <f>CONCATENATE("Faculty Name: ", Faculty)</f>
        <v>Faculty Name: Narsareaddy Chude</v>
      </c>
      <c r="C5" s="371"/>
      <c r="D5" s="371"/>
      <c r="E5" s="371"/>
      <c r="F5" s="371"/>
      <c r="G5" s="6"/>
      <c r="H5" s="6"/>
      <c r="I5" s="6"/>
      <c r="J5" s="6"/>
      <c r="K5" s="6"/>
      <c r="L5" s="7"/>
      <c r="M5" s="7"/>
    </row>
    <row r="6" spans="1:13">
      <c r="A6" s="7"/>
      <c r="B6" s="372" t="str">
        <f>CONCATENATE("Subject Name &amp; Code: ", Sub_Code)</f>
        <v>Subject Name &amp; Code: Mini Project</v>
      </c>
      <c r="C6" s="372"/>
      <c r="D6" s="372"/>
      <c r="E6" s="372"/>
      <c r="F6" s="372"/>
      <c r="G6" s="6"/>
      <c r="H6" s="6"/>
      <c r="I6" s="6"/>
      <c r="J6" s="6"/>
      <c r="K6" s="6"/>
      <c r="L6" s="7"/>
      <c r="M6" s="7"/>
    </row>
    <row r="7" spans="1:13">
      <c r="A7" s="7"/>
      <c r="B7" s="373" t="str">
        <f>CONCATENATE("Class: ",Class_AY)</f>
        <v>Class: MCA I SEM I AY 2023-24</v>
      </c>
      <c r="C7" s="373"/>
      <c r="D7" s="373"/>
      <c r="E7" s="373"/>
      <c r="F7" s="373"/>
      <c r="G7" s="6"/>
      <c r="H7" s="6"/>
      <c r="I7" s="6"/>
      <c r="J7" s="6"/>
      <c r="K7" s="6"/>
      <c r="L7" s="7"/>
      <c r="M7" s="7"/>
    </row>
    <row r="9" spans="1:13" ht="34.9" customHeight="1">
      <c r="B9" s="374" t="s">
        <v>31</v>
      </c>
      <c r="C9" s="374"/>
      <c r="D9" s="374"/>
      <c r="E9" s="374"/>
      <c r="F9" s="374"/>
      <c r="G9" s="374"/>
    </row>
    <row r="10" spans="1:13" ht="34.9" customHeight="1">
      <c r="B10" s="135" t="s">
        <v>30</v>
      </c>
      <c r="C10" s="99" t="s">
        <v>2</v>
      </c>
      <c r="D10" s="99"/>
      <c r="E10" s="99"/>
      <c r="F10" s="99"/>
      <c r="G10" s="99"/>
    </row>
    <row r="11" spans="1:13" ht="34.9" customHeight="1">
      <c r="B11" s="136" t="s">
        <v>44</v>
      </c>
      <c r="C11" s="134">
        <f>'CO Int. Attn'!H132</f>
        <v>92.283950617283949</v>
      </c>
      <c r="D11" s="134"/>
      <c r="E11" s="134"/>
      <c r="F11" s="134"/>
      <c r="G11" s="134"/>
    </row>
    <row r="12" spans="1:13" ht="34.9" customHeight="1">
      <c r="B12" s="136" t="s">
        <v>45</v>
      </c>
      <c r="C12" s="134">
        <f>'CO Ext. Attn'!D133</f>
        <v>93.518518518518519</v>
      </c>
      <c r="D12" s="134"/>
      <c r="E12" s="134"/>
      <c r="F12" s="134"/>
      <c r="G12" s="134"/>
    </row>
    <row r="13" spans="1:13" ht="55.5" customHeight="1">
      <c r="B13" s="137" t="s">
        <v>42</v>
      </c>
      <c r="C13" s="134">
        <f t="shared" ref="C13" si="0">(int_wt*C11)+(ext_wt*C12)</f>
        <v>92.777777777777771</v>
      </c>
      <c r="D13" s="134"/>
      <c r="E13" s="134"/>
      <c r="F13" s="134"/>
      <c r="G13" s="134"/>
    </row>
    <row r="14" spans="1:13" ht="34.9" customHeight="1">
      <c r="B14" s="137" t="s">
        <v>43</v>
      </c>
      <c r="C14" s="213">
        <f>Sheet1!D119</f>
        <v>83.888888888888886</v>
      </c>
      <c r="D14" s="30"/>
      <c r="E14" s="30"/>
      <c r="F14" s="30"/>
      <c r="G14" s="30"/>
    </row>
    <row r="15" spans="1:13" ht="34.9" customHeight="1">
      <c r="B15" s="137" t="s">
        <v>31</v>
      </c>
      <c r="C15" s="134">
        <f>(0.8*C13)+(0.2*C14)</f>
        <v>91</v>
      </c>
      <c r="D15" s="134"/>
      <c r="E15" s="134"/>
      <c r="F15" s="134"/>
      <c r="G15" s="134"/>
    </row>
    <row r="16" spans="1:13" ht="34.9" customHeight="1">
      <c r="B16" s="138" t="s">
        <v>50</v>
      </c>
      <c r="C16" s="139">
        <f>IF(C15&gt;=$E20,3,IF(C15&gt;=$E21,2,IF(C15&gt;=$E22,1,0)))</f>
        <v>3</v>
      </c>
      <c r="D16" s="139"/>
      <c r="E16" s="139"/>
      <c r="F16" s="139"/>
      <c r="G16" s="139"/>
    </row>
    <row r="18" spans="1:15" ht="15.75">
      <c r="B18" s="56" t="s">
        <v>53</v>
      </c>
    </row>
    <row r="19" spans="1:15" ht="16.5" thickBot="1">
      <c r="B19" s="56"/>
    </row>
    <row r="20" spans="1:15" ht="15.75" thickBot="1">
      <c r="B20" s="345" t="s">
        <v>101</v>
      </c>
      <c r="C20" s="346"/>
      <c r="D20" s="60">
        <v>3</v>
      </c>
      <c r="E20" s="60">
        <v>70</v>
      </c>
      <c r="N20" s="34"/>
      <c r="O20" s="34"/>
    </row>
    <row r="21" spans="1:15" ht="15.75" thickBot="1">
      <c r="B21" s="347"/>
      <c r="C21" s="348"/>
      <c r="D21" s="62">
        <v>2</v>
      </c>
      <c r="E21" s="60">
        <v>60</v>
      </c>
      <c r="N21" s="34"/>
      <c r="O21" s="34"/>
    </row>
    <row r="22" spans="1:15" ht="15.75" thickBot="1">
      <c r="B22" s="349"/>
      <c r="C22" s="350"/>
      <c r="D22" s="64">
        <v>1</v>
      </c>
      <c r="E22" s="60">
        <v>50</v>
      </c>
      <c r="N22"/>
      <c r="O22"/>
    </row>
    <row r="23" spans="1:15">
      <c r="E23" s="134"/>
      <c r="N23"/>
      <c r="O23"/>
    </row>
    <row r="24" spans="1:15"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/>
      <c r="O24"/>
    </row>
    <row r="25" spans="1:15" ht="18.75">
      <c r="B25" s="35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/>
      <c r="O25" s="78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78"/>
    </row>
    <row r="27" spans="1:15">
      <c r="B27" s="35" t="str">
        <f>Faculty</f>
        <v>Narsareaddy Chude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5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4" customFormat="1">
      <c r="A29" s="28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4" customFormat="1" ht="15.75">
      <c r="A30" s="28"/>
      <c r="B30" s="81"/>
      <c r="C30" s="249"/>
      <c r="D30" s="249"/>
      <c r="E30"/>
      <c r="F30" s="28"/>
      <c r="G30" s="47"/>
      <c r="H30"/>
      <c r="I30"/>
      <c r="J30"/>
      <c r="K30"/>
      <c r="L30"/>
      <c r="M30"/>
      <c r="N30" s="7"/>
    </row>
    <row r="31" spans="1:15" ht="15.75">
      <c r="B31" s="81"/>
      <c r="C31" s="249"/>
      <c r="D31" s="249"/>
      <c r="E31" s="81"/>
      <c r="G31" s="47"/>
      <c r="H31"/>
      <c r="K31"/>
      <c r="M31"/>
      <c r="N31" s="3"/>
      <c r="O31" s="7"/>
    </row>
    <row r="32" spans="1:15" ht="15.75">
      <c r="B32" s="80"/>
      <c r="C32" s="80"/>
      <c r="D32"/>
      <c r="H32" s="2"/>
      <c r="K32" s="80"/>
      <c r="M32" s="80"/>
      <c r="N32" s="34"/>
      <c r="O32" s="34"/>
    </row>
    <row r="33" spans="1:13" ht="15.75">
      <c r="A33" s="217" t="str">
        <f>SubjectDetails!$A$24</f>
        <v>Dr. Ravi Chourasiya</v>
      </c>
      <c r="B33" s="217"/>
      <c r="C33" s="217"/>
      <c r="D33" s="249" t="str">
        <f>SubjectDetails!$E$24</f>
        <v>Dr. Ashwini Chavan</v>
      </c>
      <c r="E33" s="249"/>
      <c r="F33" s="249"/>
      <c r="G33" s="249"/>
      <c r="H33" s="218" t="str">
        <f>SubjectDetails!$H$24</f>
        <v>Dr. Priyanka Singh</v>
      </c>
      <c r="I33" s="218"/>
      <c r="J33" s="80"/>
      <c r="K33"/>
      <c r="L33" s="80"/>
      <c r="M33" s="47"/>
    </row>
    <row r="34" spans="1:13" ht="15.75">
      <c r="A34" s="217" t="str">
        <f>SubjectDetails!$A$25</f>
        <v>(College Examination Officer)</v>
      </c>
      <c r="B34" s="217"/>
      <c r="C34" s="217"/>
      <c r="D34" s="249" t="str">
        <f>SubjectDetails!$E$25</f>
        <v>HOD (MCA)</v>
      </c>
      <c r="E34" s="249"/>
      <c r="F34" s="249"/>
      <c r="G34" s="249"/>
      <c r="H34" s="218" t="str">
        <f>SubjectDetails!$H$25</f>
        <v>Director</v>
      </c>
      <c r="I34" s="218"/>
      <c r="J34" s="80"/>
      <c r="K34"/>
      <c r="L34" s="80"/>
      <c r="M34" s="47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5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</sheetData>
  <mergeCells count="17">
    <mergeCell ref="H33:I33"/>
    <mergeCell ref="A34:C34"/>
    <mergeCell ref="H34:I34"/>
    <mergeCell ref="D33:G33"/>
    <mergeCell ref="D34:G34"/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opLeftCell="A7" zoomScale="85" zoomScaleNormal="85" workbookViewId="0">
      <selection activeCell="D17" sqref="D17:K17"/>
    </sheetView>
  </sheetViews>
  <sheetFormatPr defaultColWidth="8.85546875" defaultRowHeight="15"/>
  <cols>
    <col min="1" max="1" width="8.85546875" style="34"/>
    <col min="2" max="2" width="21.7109375" style="34" customWidth="1"/>
    <col min="3" max="3" width="12.7109375" style="34" customWidth="1"/>
    <col min="4" max="16384" width="8.85546875" style="34"/>
  </cols>
  <sheetData>
    <row r="1" spans="2:15" s="7" customFormat="1" ht="30" customHeight="1">
      <c r="B1" s="235" t="s">
        <v>71</v>
      </c>
      <c r="C1" s="236"/>
      <c r="D1" s="236"/>
      <c r="E1" s="236"/>
      <c r="F1" s="236"/>
      <c r="G1" s="236"/>
      <c r="H1" s="236"/>
      <c r="I1" s="236"/>
      <c r="J1" s="236"/>
      <c r="K1" s="236"/>
      <c r="L1" s="103"/>
      <c r="M1" s="103"/>
      <c r="N1" s="103"/>
      <c r="O1" s="103"/>
    </row>
    <row r="2" spans="2:15" s="7" customFormat="1" ht="20.45" customHeight="1">
      <c r="B2" s="237" t="s">
        <v>72</v>
      </c>
      <c r="C2" s="238"/>
      <c r="D2" s="238"/>
      <c r="E2" s="238"/>
      <c r="F2" s="238"/>
      <c r="G2" s="238"/>
      <c r="H2" s="238"/>
      <c r="I2" s="238"/>
      <c r="J2" s="238"/>
      <c r="K2" s="238"/>
      <c r="L2" s="104"/>
      <c r="M2" s="104"/>
      <c r="N2" s="104"/>
      <c r="O2" s="104"/>
    </row>
    <row r="3" spans="2:15" s="7" customFormat="1" ht="18" customHeight="1">
      <c r="B3" s="239" t="s">
        <v>73</v>
      </c>
      <c r="C3" s="240"/>
      <c r="D3" s="240"/>
      <c r="E3" s="240"/>
      <c r="F3" s="240"/>
      <c r="G3" s="240"/>
      <c r="H3" s="240"/>
      <c r="I3" s="240"/>
      <c r="J3" s="240"/>
      <c r="K3" s="240"/>
      <c r="L3" s="101"/>
      <c r="M3" s="101"/>
      <c r="N3" s="101"/>
      <c r="O3" s="101"/>
    </row>
    <row r="4" spans="2:15" s="7" customFormat="1" ht="18" customHeight="1">
      <c r="B4" s="239" t="s">
        <v>9</v>
      </c>
      <c r="C4" s="240"/>
      <c r="D4" s="240"/>
      <c r="E4" s="240"/>
      <c r="F4" s="240"/>
      <c r="G4" s="240"/>
      <c r="H4" s="240"/>
      <c r="I4" s="240"/>
      <c r="J4" s="240"/>
      <c r="K4" s="240"/>
      <c r="L4" s="101"/>
      <c r="M4" s="101"/>
      <c r="N4" s="101"/>
      <c r="O4" s="101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84" t="str">
        <f>CONCATENATE("Faculty Name: ", Faculty)</f>
        <v>Faculty Name: Narsareaddy Chude</v>
      </c>
      <c r="C6" s="384"/>
      <c r="D6" s="384"/>
      <c r="E6" s="384"/>
      <c r="F6" s="384"/>
      <c r="G6" s="384"/>
      <c r="H6" s="6"/>
      <c r="I6" s="102"/>
      <c r="J6" s="102"/>
      <c r="K6" s="102"/>
      <c r="L6" s="102"/>
      <c r="M6" s="102"/>
      <c r="N6" s="102"/>
      <c r="O6" s="102"/>
    </row>
    <row r="7" spans="2:15" s="44" customFormat="1" ht="15.75">
      <c r="B7" s="382" t="str">
        <f>CONCATENATE("Subject Name &amp; Code: ", Sub_Code)</f>
        <v>Subject Name &amp; Code: Mini Project</v>
      </c>
      <c r="C7" s="382"/>
      <c r="D7" s="382"/>
      <c r="E7" s="382"/>
      <c r="F7" s="382"/>
      <c r="G7" s="382"/>
      <c r="H7" s="6"/>
      <c r="L7" s="57"/>
      <c r="M7" s="57"/>
      <c r="N7" s="57"/>
      <c r="O7" s="57"/>
    </row>
    <row r="8" spans="2:15" s="46" customFormat="1" ht="15.75">
      <c r="B8" s="383" t="str">
        <f>CONCATENATE("Class: ",Class_AY)</f>
        <v>Class: MCA I SEM I AY 2023-24</v>
      </c>
      <c r="C8" s="383"/>
      <c r="D8" s="383"/>
      <c r="E8" s="383"/>
      <c r="F8" s="383"/>
      <c r="G8" s="383"/>
      <c r="H8" s="6"/>
      <c r="L8" s="57"/>
      <c r="M8" s="57"/>
      <c r="N8" s="57"/>
      <c r="O8" s="57"/>
    </row>
    <row r="9" spans="2:15" s="42" customFormat="1" ht="34.9" customHeight="1">
      <c r="B9" s="381" t="s">
        <v>49</v>
      </c>
      <c r="C9" s="381"/>
      <c r="D9" s="381"/>
      <c r="E9" s="381"/>
      <c r="F9" s="381"/>
      <c r="G9" s="381"/>
      <c r="H9" s="381"/>
      <c r="I9" s="381"/>
      <c r="J9" s="381"/>
      <c r="K9" s="381"/>
      <c r="L9" s="57"/>
      <c r="M9" s="57"/>
      <c r="N9" s="57"/>
      <c r="O9" s="57"/>
    </row>
    <row r="10" spans="2:15" s="42" customFormat="1" ht="34.9" customHeight="1">
      <c r="B10" s="379" t="s">
        <v>48</v>
      </c>
      <c r="C10" s="380"/>
      <c r="D10" s="140" t="s">
        <v>14</v>
      </c>
      <c r="E10" s="140" t="s">
        <v>15</v>
      </c>
      <c r="F10" s="140" t="s">
        <v>16</v>
      </c>
      <c r="G10" s="140" t="s">
        <v>17</v>
      </c>
      <c r="H10" s="140" t="s">
        <v>18</v>
      </c>
      <c r="I10" s="140" t="s">
        <v>19</v>
      </c>
      <c r="J10" s="140" t="s">
        <v>20</v>
      </c>
      <c r="K10" s="140" t="s">
        <v>21</v>
      </c>
      <c r="L10" s="57"/>
      <c r="M10" s="57"/>
      <c r="N10" s="57"/>
      <c r="O10" s="57"/>
    </row>
    <row r="11" spans="2:15" s="42" customFormat="1" ht="34.9" customHeight="1">
      <c r="B11" s="142" t="s">
        <v>23</v>
      </c>
      <c r="C11" s="141"/>
      <c r="D11" s="45">
        <f>'CO Mapping PO '!B18</f>
        <v>3</v>
      </c>
      <c r="E11" s="45">
        <f>'CO Mapping PO '!C18</f>
        <v>3</v>
      </c>
      <c r="F11" s="45">
        <f>'CO Mapping PO '!D18</f>
        <v>3</v>
      </c>
      <c r="G11" s="45">
        <f>'CO Mapping PO '!E18</f>
        <v>3</v>
      </c>
      <c r="H11" s="45">
        <f>'CO Mapping PO '!F18</f>
        <v>3</v>
      </c>
      <c r="I11" s="45">
        <f>'CO Mapping PO '!G18</f>
        <v>3</v>
      </c>
      <c r="J11" s="45">
        <f>'CO Mapping PO '!H18</f>
        <v>3</v>
      </c>
      <c r="K11" s="45">
        <f>'CO Mapping PO '!I18</f>
        <v>3</v>
      </c>
      <c r="L11" s="57"/>
      <c r="M11" s="57"/>
      <c r="N11" s="57"/>
      <c r="O11" s="57"/>
    </row>
    <row r="12" spans="2:15" s="42" customFormat="1" ht="34.9" customHeight="1">
      <c r="B12" s="143" t="s">
        <v>2</v>
      </c>
      <c r="C12" s="144">
        <f>'OverallCO Attainment'!C15</f>
        <v>91</v>
      </c>
      <c r="D12" s="183">
        <v>3</v>
      </c>
      <c r="E12" s="183">
        <v>3</v>
      </c>
      <c r="F12" s="183">
        <v>3</v>
      </c>
      <c r="G12" s="183">
        <v>3</v>
      </c>
      <c r="H12" s="183">
        <v>3</v>
      </c>
      <c r="I12" s="183">
        <v>3</v>
      </c>
      <c r="J12" s="183">
        <v>3</v>
      </c>
      <c r="K12" s="183">
        <v>3</v>
      </c>
      <c r="L12" s="57"/>
      <c r="M12" s="57"/>
      <c r="N12" s="57"/>
      <c r="O12" s="57"/>
    </row>
    <row r="13" spans="2:15" s="42" customFormat="1" ht="34.9" customHeight="1">
      <c r="B13" s="143"/>
      <c r="C13" s="144"/>
      <c r="D13" s="43"/>
      <c r="E13" s="43"/>
      <c r="F13" s="43"/>
      <c r="G13" s="43"/>
      <c r="H13" s="43"/>
      <c r="I13" s="43"/>
      <c r="J13" s="43"/>
      <c r="K13" s="43"/>
      <c r="L13" s="57"/>
      <c r="M13" s="57"/>
      <c r="N13" s="57"/>
      <c r="O13" s="57"/>
    </row>
    <row r="14" spans="2:15" ht="34.9" customHeight="1">
      <c r="B14" s="143"/>
      <c r="C14" s="144"/>
      <c r="D14" s="43"/>
      <c r="E14" s="43"/>
      <c r="F14" s="43"/>
      <c r="G14" s="43"/>
      <c r="H14" s="43"/>
      <c r="I14" s="43"/>
      <c r="J14" s="43"/>
      <c r="K14" s="43"/>
      <c r="L14" s="57"/>
      <c r="M14" s="57"/>
      <c r="N14" s="57"/>
      <c r="O14" s="57"/>
    </row>
    <row r="15" spans="2:15" ht="34.9" customHeight="1">
      <c r="B15" s="143"/>
      <c r="C15" s="144"/>
      <c r="D15" s="43"/>
      <c r="E15" s="43"/>
      <c r="F15" s="43"/>
      <c r="G15" s="43"/>
      <c r="H15" s="43"/>
      <c r="I15" s="43"/>
      <c r="J15" s="43"/>
      <c r="K15" s="43"/>
    </row>
    <row r="16" spans="2:15" ht="34.9" customHeight="1">
      <c r="B16" s="143"/>
      <c r="C16" s="144"/>
      <c r="D16" s="43"/>
      <c r="E16" s="43"/>
      <c r="F16" s="43"/>
      <c r="G16" s="43"/>
      <c r="H16" s="43"/>
      <c r="I16" s="43"/>
      <c r="J16" s="43"/>
      <c r="K16" s="43"/>
    </row>
    <row r="17" spans="2:14" ht="34.9" customHeight="1">
      <c r="C17" s="146" t="s">
        <v>56</v>
      </c>
      <c r="D17" s="214">
        <f>(C12*D12)/(D12)</f>
        <v>91</v>
      </c>
      <c r="E17" s="214">
        <f>(C12*E12)/(E12)</f>
        <v>91</v>
      </c>
      <c r="F17" s="214">
        <f>(C12*F12)/(F12)</f>
        <v>91</v>
      </c>
      <c r="G17" s="214">
        <f>(C12*G12)/(G12)</f>
        <v>91</v>
      </c>
      <c r="H17" s="214">
        <f>(C12*H12)/(H12)</f>
        <v>91</v>
      </c>
      <c r="I17" s="214">
        <f>(C12*I12)/(I12)</f>
        <v>91</v>
      </c>
      <c r="J17" s="214">
        <f>(C12*J12)/(J12)</f>
        <v>91</v>
      </c>
      <c r="K17" s="214">
        <f>(C12*K12)/(K12)</f>
        <v>91</v>
      </c>
      <c r="L17" s="47"/>
      <c r="M17" s="31"/>
      <c r="N17" s="47"/>
    </row>
    <row r="18" spans="2:14" ht="34.9" customHeight="1">
      <c r="C18" s="146" t="s">
        <v>229</v>
      </c>
      <c r="D18" s="215">
        <f>D17/100*3</f>
        <v>2.73</v>
      </c>
      <c r="E18" s="215">
        <f t="shared" ref="E18:K18" si="0">E17/100*3</f>
        <v>2.73</v>
      </c>
      <c r="F18" s="215">
        <f t="shared" si="0"/>
        <v>2.73</v>
      </c>
      <c r="G18" s="215">
        <f t="shared" si="0"/>
        <v>2.73</v>
      </c>
      <c r="H18" s="215">
        <f t="shared" si="0"/>
        <v>2.73</v>
      </c>
      <c r="I18" s="215">
        <f t="shared" si="0"/>
        <v>2.73</v>
      </c>
      <c r="J18" s="215">
        <f t="shared" si="0"/>
        <v>2.73</v>
      </c>
      <c r="K18" s="215">
        <f t="shared" si="0"/>
        <v>2.73</v>
      </c>
      <c r="L18" s="47"/>
      <c r="M18" s="31"/>
      <c r="N18" s="47"/>
    </row>
    <row r="21" spans="2:14" ht="15.75">
      <c r="C21" s="47"/>
      <c r="D21" s="47"/>
      <c r="E21" s="47"/>
      <c r="F21" s="47"/>
      <c r="G21" s="47"/>
      <c r="H21" s="48"/>
      <c r="I21"/>
      <c r="J21"/>
      <c r="K21"/>
      <c r="L21"/>
      <c r="M21"/>
      <c r="N21"/>
    </row>
    <row r="22" spans="2:14" ht="15.75">
      <c r="C22" s="47"/>
      <c r="D22" s="47"/>
      <c r="E22" s="47"/>
      <c r="F22" s="47"/>
      <c r="G22" s="47"/>
      <c r="H22" s="48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78"/>
    </row>
    <row r="24" spans="2:14" ht="18.75">
      <c r="B24" s="49" t="str">
        <f>Faculty</f>
        <v>Narsareaddy Chude</v>
      </c>
      <c r="I24"/>
      <c r="J24"/>
      <c r="K24"/>
      <c r="L24"/>
      <c r="M24"/>
      <c r="N24" s="78"/>
    </row>
    <row r="25" spans="2:14" ht="15.75">
      <c r="B25" s="49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49"/>
      <c r="K26" s="249"/>
      <c r="L26" s="47"/>
      <c r="N26"/>
    </row>
    <row r="27" spans="2:14" ht="15.75">
      <c r="B27"/>
      <c r="C27"/>
      <c r="D27"/>
      <c r="E27"/>
      <c r="F27"/>
      <c r="G27"/>
      <c r="H27"/>
      <c r="I27" s="2"/>
      <c r="J27" s="249"/>
      <c r="K27" s="249"/>
      <c r="L27" s="47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80"/>
      <c r="C30" s="80"/>
      <c r="D30"/>
      <c r="E30" s="217"/>
      <c r="F30" s="217"/>
      <c r="G30" s="217"/>
      <c r="H30" s="2"/>
      <c r="I30"/>
      <c r="J30" s="218"/>
      <c r="K30" s="218"/>
      <c r="L30" s="80"/>
      <c r="M30" s="47"/>
      <c r="N30"/>
    </row>
    <row r="31" spans="2:14" ht="18.75">
      <c r="B31" s="376" t="str">
        <f>SubjectDetails!$A$24</f>
        <v>Dr. Ravi Chourasiya</v>
      </c>
      <c r="C31" s="376"/>
      <c r="D31" s="145"/>
      <c r="E31" s="375" t="str">
        <f>SubjectDetails!$E$24</f>
        <v>Dr. Ashwini Chavan</v>
      </c>
      <c r="F31" s="375"/>
      <c r="G31" s="375"/>
      <c r="H31" s="89"/>
      <c r="I31" s="377" t="str">
        <f>SubjectDetails!$H$24</f>
        <v>Dr. Priyanka Singh</v>
      </c>
      <c r="J31" s="377"/>
      <c r="K31" s="377"/>
      <c r="L31" s="80"/>
      <c r="M31" s="47"/>
      <c r="N31" s="7"/>
    </row>
    <row r="32" spans="2:14" ht="18.75">
      <c r="B32" s="377" t="str">
        <f>SubjectDetails!$A$25</f>
        <v>(College Examination Officer)</v>
      </c>
      <c r="C32" s="377"/>
      <c r="D32" s="145"/>
      <c r="E32" s="377" t="str">
        <f>SubjectDetails!$E$25</f>
        <v>HOD (MCA)</v>
      </c>
      <c r="F32" s="377"/>
      <c r="G32" s="377"/>
      <c r="H32" s="145"/>
      <c r="I32" s="378" t="str">
        <f>SubjectDetails!$H$25</f>
        <v>Director</v>
      </c>
      <c r="J32" s="378"/>
      <c r="K32" s="378"/>
    </row>
    <row r="34" spans="2:8" ht="15.75">
      <c r="B34" s="217"/>
      <c r="C34" s="217"/>
      <c r="D34" s="217"/>
      <c r="E34"/>
      <c r="F34" s="249"/>
      <c r="G34" s="249"/>
      <c r="H34"/>
    </row>
    <row r="35" spans="2:8" ht="15.75">
      <c r="B35" s="217"/>
      <c r="C35" s="217"/>
      <c r="D35" s="217"/>
      <c r="E35"/>
      <c r="F35" s="249"/>
      <c r="G35" s="249"/>
      <c r="H35"/>
    </row>
  </sheetData>
  <mergeCells count="23"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abSelected="1" topLeftCell="A108" workbookViewId="0">
      <selection activeCell="A108" sqref="A1:XFD1048576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2" customWidth="1"/>
    <col min="8" max="11" width="8.28515625" style="182" customWidth="1"/>
    <col min="12" max="12" width="14.5703125" style="3" customWidth="1"/>
    <col min="13" max="16384" width="12.7109375" style="7"/>
  </cols>
  <sheetData>
    <row r="1" spans="1:16" ht="15.75" customHeight="1">
      <c r="A1" s="220" t="s">
        <v>71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spans="1:16" ht="15.75" customHeight="1">
      <c r="A2" s="386" t="s">
        <v>72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</row>
    <row r="3" spans="1:16" ht="15.75" customHeight="1">
      <c r="A3" s="222" t="s">
        <v>73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spans="1:16" ht="15.75" customHeight="1" thickBot="1">
      <c r="A4" s="222" t="s">
        <v>9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</row>
    <row r="5" spans="1:16" s="36" customFormat="1" ht="25.5">
      <c r="A5" s="387" t="s">
        <v>102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9"/>
    </row>
    <row r="6" spans="1:16" s="36" customFormat="1" ht="18" customHeight="1">
      <c r="A6" s="390" t="str">
        <f>CONCATENATE(Class," ", spl)</f>
        <v xml:space="preserve">MCA I SEM I AY 2023-24 </v>
      </c>
      <c r="B6" s="391"/>
      <c r="C6" s="392"/>
      <c r="D6" s="390" t="s">
        <v>227</v>
      </c>
      <c r="E6" s="391"/>
      <c r="F6" s="391"/>
      <c r="G6" s="391"/>
      <c r="H6" s="391"/>
      <c r="I6" s="391"/>
      <c r="J6" s="391"/>
      <c r="K6" s="391"/>
      <c r="L6" s="392"/>
      <c r="P6" s="66"/>
    </row>
    <row r="7" spans="1:16" ht="18" customHeight="1">
      <c r="A7" s="281" t="s">
        <v>0</v>
      </c>
      <c r="B7" s="281" t="s">
        <v>6</v>
      </c>
      <c r="C7" s="281" t="s">
        <v>1</v>
      </c>
      <c r="D7" s="281"/>
      <c r="E7" s="281"/>
      <c r="F7" s="281"/>
      <c r="G7" s="281"/>
      <c r="H7" s="281"/>
      <c r="I7" s="281"/>
      <c r="J7" s="281"/>
      <c r="K7" s="281"/>
      <c r="L7" s="280" t="s">
        <v>47</v>
      </c>
      <c r="M7" s="36"/>
      <c r="N7" s="36"/>
      <c r="P7" s="66"/>
    </row>
    <row r="8" spans="1:16" ht="18" customHeight="1">
      <c r="A8" s="281"/>
      <c r="B8" s="281"/>
      <c r="C8" s="281"/>
      <c r="D8" s="181" t="s">
        <v>2</v>
      </c>
      <c r="E8" s="181"/>
      <c r="F8" s="181"/>
      <c r="G8" s="181"/>
      <c r="H8" s="181"/>
      <c r="I8" s="181"/>
      <c r="J8" s="181"/>
      <c r="K8" s="181"/>
      <c r="L8" s="280"/>
      <c r="M8" s="36"/>
      <c r="N8" s="36"/>
      <c r="P8" s="66"/>
    </row>
    <row r="9" spans="1:16" ht="18" customHeight="1">
      <c r="A9" s="281"/>
      <c r="B9" s="281"/>
      <c r="C9" s="281"/>
      <c r="D9" s="181">
        <v>5</v>
      </c>
      <c r="E9" s="181"/>
      <c r="F9" s="181"/>
      <c r="G9" s="181"/>
      <c r="H9" s="181"/>
      <c r="I9" s="181"/>
      <c r="J9" s="181"/>
      <c r="K9" s="181"/>
      <c r="L9" s="181">
        <f>SUM(D9:K9)</f>
        <v>5</v>
      </c>
      <c r="M9" s="36"/>
      <c r="N9" s="36"/>
      <c r="P9" s="66"/>
    </row>
    <row r="10" spans="1:16" ht="18" customHeight="1">
      <c r="A10" s="180">
        <v>1</v>
      </c>
      <c r="B10" s="157">
        <v>22101</v>
      </c>
      <c r="C10" s="158" t="s">
        <v>107</v>
      </c>
      <c r="D10" s="71">
        <v>3</v>
      </c>
      <c r="E10" s="71"/>
      <c r="F10" s="71"/>
      <c r="G10" s="71"/>
      <c r="H10" s="71"/>
      <c r="I10" s="53"/>
      <c r="J10" s="53"/>
      <c r="K10" s="53"/>
      <c r="L10" s="54">
        <f>IF(F10&lt;&gt;"AB",SUM(D10:K10),"AB")</f>
        <v>3</v>
      </c>
      <c r="M10" s="36"/>
      <c r="N10" s="36"/>
      <c r="P10" s="66"/>
    </row>
    <row r="11" spans="1:16" ht="18" customHeight="1">
      <c r="A11" s="180">
        <v>2</v>
      </c>
      <c r="B11" s="157">
        <v>22102</v>
      </c>
      <c r="C11" s="158" t="s">
        <v>108</v>
      </c>
      <c r="D11" s="71">
        <v>4</v>
      </c>
      <c r="E11" s="53"/>
      <c r="F11" s="53"/>
      <c r="G11" s="53"/>
      <c r="H11" s="53"/>
      <c r="I11" s="53"/>
      <c r="J11" s="53"/>
      <c r="K11" s="53"/>
      <c r="L11" s="54">
        <f t="shared" ref="L11:L74" si="0">IF(F11&lt;&gt;"AB",SUM(D11:K11),"AB")</f>
        <v>4</v>
      </c>
      <c r="M11" s="36"/>
      <c r="N11" s="36"/>
      <c r="P11" s="66"/>
    </row>
    <row r="12" spans="1:16" ht="18" customHeight="1">
      <c r="A12" s="180">
        <v>3</v>
      </c>
      <c r="B12" s="157">
        <v>22103</v>
      </c>
      <c r="C12" s="158" t="s">
        <v>109</v>
      </c>
      <c r="D12" s="71">
        <v>5</v>
      </c>
      <c r="E12" s="53"/>
      <c r="F12" s="53"/>
      <c r="G12" s="53"/>
      <c r="H12" s="53"/>
      <c r="I12" s="53"/>
      <c r="J12" s="53"/>
      <c r="K12" s="53"/>
      <c r="L12" s="54">
        <f t="shared" si="0"/>
        <v>5</v>
      </c>
      <c r="M12" s="36"/>
      <c r="N12" s="36"/>
      <c r="P12" s="66"/>
    </row>
    <row r="13" spans="1:16" ht="18" customHeight="1">
      <c r="A13" s="180">
        <v>4</v>
      </c>
      <c r="B13" s="157">
        <v>22104</v>
      </c>
      <c r="C13" s="158" t="s">
        <v>110</v>
      </c>
      <c r="D13" s="71">
        <v>4</v>
      </c>
      <c r="E13" s="53"/>
      <c r="F13" s="53"/>
      <c r="G13" s="53"/>
      <c r="H13" s="53"/>
      <c r="I13" s="53"/>
      <c r="J13" s="53"/>
      <c r="K13" s="53"/>
      <c r="L13" s="54">
        <f t="shared" si="0"/>
        <v>4</v>
      </c>
      <c r="M13" s="36"/>
      <c r="N13" s="36"/>
      <c r="P13" s="66"/>
    </row>
    <row r="14" spans="1:16" ht="18" customHeight="1">
      <c r="A14" s="180">
        <v>5</v>
      </c>
      <c r="B14" s="157">
        <v>22105</v>
      </c>
      <c r="C14" s="158" t="s">
        <v>111</v>
      </c>
      <c r="D14" s="71">
        <v>4</v>
      </c>
      <c r="E14" s="53"/>
      <c r="F14" s="53"/>
      <c r="G14" s="53"/>
      <c r="H14" s="53"/>
      <c r="I14" s="53"/>
      <c r="J14" s="53"/>
      <c r="K14" s="53"/>
      <c r="L14" s="54">
        <f t="shared" si="0"/>
        <v>4</v>
      </c>
      <c r="M14" s="36"/>
      <c r="N14" s="36"/>
      <c r="P14" s="66"/>
    </row>
    <row r="15" spans="1:16" ht="18" customHeight="1">
      <c r="A15" s="180">
        <v>6</v>
      </c>
      <c r="B15" s="157">
        <v>22106</v>
      </c>
      <c r="C15" s="158" t="s">
        <v>112</v>
      </c>
      <c r="D15" s="71">
        <v>3</v>
      </c>
      <c r="E15" s="53"/>
      <c r="F15" s="53"/>
      <c r="G15" s="53"/>
      <c r="H15" s="53"/>
      <c r="I15" s="53"/>
      <c r="J15" s="53"/>
      <c r="K15" s="53"/>
      <c r="L15" s="54">
        <f t="shared" si="0"/>
        <v>3</v>
      </c>
      <c r="M15" s="36"/>
      <c r="N15" s="36"/>
      <c r="P15" s="66"/>
    </row>
    <row r="16" spans="1:16" ht="18" customHeight="1">
      <c r="A16" s="180">
        <v>7</v>
      </c>
      <c r="B16" s="157">
        <v>22107</v>
      </c>
      <c r="C16" s="158" t="s">
        <v>113</v>
      </c>
      <c r="D16" s="71">
        <v>4</v>
      </c>
      <c r="E16" s="53"/>
      <c r="F16" s="53"/>
      <c r="G16" s="53"/>
      <c r="H16" s="53"/>
      <c r="I16" s="53"/>
      <c r="J16" s="53"/>
      <c r="K16" s="53"/>
      <c r="L16" s="54">
        <f t="shared" si="0"/>
        <v>4</v>
      </c>
      <c r="M16" s="36"/>
      <c r="N16" s="36"/>
      <c r="P16" s="66"/>
    </row>
    <row r="17" spans="1:16" ht="18" customHeight="1">
      <c r="A17" s="180">
        <v>8</v>
      </c>
      <c r="B17" s="157">
        <v>22108</v>
      </c>
      <c r="C17" s="158" t="s">
        <v>114</v>
      </c>
      <c r="D17" s="71">
        <v>4</v>
      </c>
      <c r="E17" s="53"/>
      <c r="F17" s="53"/>
      <c r="G17" s="53"/>
      <c r="H17" s="53"/>
      <c r="I17" s="53"/>
      <c r="J17" s="53"/>
      <c r="K17" s="53"/>
      <c r="L17" s="54">
        <f t="shared" si="0"/>
        <v>4</v>
      </c>
      <c r="M17" s="36"/>
      <c r="N17" s="36"/>
      <c r="P17" s="66"/>
    </row>
    <row r="18" spans="1:16" ht="18" customHeight="1">
      <c r="A18" s="180">
        <v>9</v>
      </c>
      <c r="B18" s="157">
        <v>22109</v>
      </c>
      <c r="C18" s="158" t="s">
        <v>115</v>
      </c>
      <c r="D18" s="53">
        <v>4</v>
      </c>
      <c r="E18" s="53"/>
      <c r="F18" s="71"/>
      <c r="G18" s="71"/>
      <c r="H18" s="53"/>
      <c r="I18" s="53"/>
      <c r="J18" s="53"/>
      <c r="K18" s="53"/>
      <c r="L18" s="54">
        <f t="shared" si="0"/>
        <v>4</v>
      </c>
      <c r="M18" s="36"/>
      <c r="N18" s="36"/>
      <c r="P18" s="66"/>
    </row>
    <row r="19" spans="1:16" ht="18" customHeight="1">
      <c r="A19" s="180">
        <v>10</v>
      </c>
      <c r="B19" s="157">
        <v>22110</v>
      </c>
      <c r="C19" s="158" t="s">
        <v>116</v>
      </c>
      <c r="D19" s="53">
        <v>5</v>
      </c>
      <c r="E19" s="53"/>
      <c r="F19" s="71"/>
      <c r="G19" s="71"/>
      <c r="H19" s="53"/>
      <c r="I19" s="53"/>
      <c r="J19" s="53"/>
      <c r="K19" s="53"/>
      <c r="L19" s="54">
        <f t="shared" si="0"/>
        <v>5</v>
      </c>
      <c r="M19" s="36"/>
      <c r="N19" s="36"/>
      <c r="P19" s="66"/>
    </row>
    <row r="20" spans="1:16" ht="18" customHeight="1">
      <c r="A20" s="180">
        <v>11</v>
      </c>
      <c r="B20" s="157">
        <v>22111</v>
      </c>
      <c r="C20" s="158" t="s">
        <v>117</v>
      </c>
      <c r="D20" s="53">
        <v>4</v>
      </c>
      <c r="E20" s="53"/>
      <c r="F20" s="71"/>
      <c r="G20" s="71"/>
      <c r="H20" s="53"/>
      <c r="I20" s="53"/>
      <c r="J20" s="53"/>
      <c r="K20" s="53"/>
      <c r="L20" s="54">
        <f t="shared" si="0"/>
        <v>4</v>
      </c>
      <c r="M20" s="36"/>
      <c r="N20" s="36"/>
      <c r="P20" s="66"/>
    </row>
    <row r="21" spans="1:16" ht="18" customHeight="1">
      <c r="A21" s="180">
        <v>12</v>
      </c>
      <c r="B21" s="157">
        <v>22112</v>
      </c>
      <c r="C21" s="158" t="s">
        <v>118</v>
      </c>
      <c r="D21" s="53">
        <v>2</v>
      </c>
      <c r="E21" s="53"/>
      <c r="F21" s="71"/>
      <c r="G21" s="71"/>
      <c r="H21" s="53"/>
      <c r="I21" s="53"/>
      <c r="J21" s="53"/>
      <c r="K21" s="53"/>
      <c r="L21" s="54">
        <f t="shared" si="0"/>
        <v>2</v>
      </c>
      <c r="M21" s="36"/>
      <c r="N21" s="36"/>
      <c r="P21" s="66"/>
    </row>
    <row r="22" spans="1:16" ht="18" customHeight="1">
      <c r="A22" s="180">
        <v>13</v>
      </c>
      <c r="B22" s="157">
        <v>22113</v>
      </c>
      <c r="C22" s="158" t="s">
        <v>119</v>
      </c>
      <c r="D22" s="53">
        <v>4</v>
      </c>
      <c r="E22" s="53"/>
      <c r="F22" s="71"/>
      <c r="G22" s="71"/>
      <c r="H22" s="53"/>
      <c r="I22" s="53"/>
      <c r="J22" s="53"/>
      <c r="K22" s="53"/>
      <c r="L22" s="54">
        <f t="shared" si="0"/>
        <v>4</v>
      </c>
      <c r="M22" s="36"/>
      <c r="N22" s="36"/>
      <c r="P22" s="66"/>
    </row>
    <row r="23" spans="1:16" ht="18" customHeight="1">
      <c r="A23" s="180">
        <v>14</v>
      </c>
      <c r="B23" s="157">
        <v>22114</v>
      </c>
      <c r="C23" s="158" t="s">
        <v>120</v>
      </c>
      <c r="D23" s="53">
        <v>4</v>
      </c>
      <c r="E23" s="53"/>
      <c r="F23" s="71"/>
      <c r="G23" s="71"/>
      <c r="H23" s="53"/>
      <c r="I23" s="53"/>
      <c r="J23" s="53"/>
      <c r="K23" s="53"/>
      <c r="L23" s="54">
        <f t="shared" si="0"/>
        <v>4</v>
      </c>
      <c r="M23" s="36"/>
      <c r="N23" s="36"/>
      <c r="P23" s="66"/>
    </row>
    <row r="24" spans="1:16" ht="18" customHeight="1">
      <c r="A24" s="180">
        <v>15</v>
      </c>
      <c r="B24" s="157">
        <v>22115</v>
      </c>
      <c r="C24" s="158" t="s">
        <v>121</v>
      </c>
      <c r="D24" s="53">
        <v>4</v>
      </c>
      <c r="E24" s="53"/>
      <c r="F24" s="71"/>
      <c r="G24" s="71"/>
      <c r="H24" s="53"/>
      <c r="I24" s="53"/>
      <c r="J24" s="53"/>
      <c r="K24" s="53"/>
      <c r="L24" s="54">
        <f t="shared" si="0"/>
        <v>4</v>
      </c>
      <c r="M24" s="36"/>
      <c r="N24" s="36"/>
      <c r="P24" s="66"/>
    </row>
    <row r="25" spans="1:16" ht="18" customHeight="1">
      <c r="A25" s="180">
        <v>16</v>
      </c>
      <c r="B25" s="157">
        <v>22116</v>
      </c>
      <c r="C25" s="158" t="s">
        <v>122</v>
      </c>
      <c r="D25" s="53">
        <v>5</v>
      </c>
      <c r="E25" s="53"/>
      <c r="F25" s="71"/>
      <c r="G25" s="71"/>
      <c r="H25" s="53"/>
      <c r="I25" s="53"/>
      <c r="J25" s="53"/>
      <c r="K25" s="53"/>
      <c r="L25" s="54">
        <f t="shared" si="0"/>
        <v>5</v>
      </c>
      <c r="M25" s="36"/>
      <c r="N25" s="36"/>
      <c r="P25" s="66"/>
    </row>
    <row r="26" spans="1:16" ht="18" customHeight="1">
      <c r="A26" s="180">
        <v>17</v>
      </c>
      <c r="B26" s="157">
        <v>22117</v>
      </c>
      <c r="C26" s="158" t="s">
        <v>123</v>
      </c>
      <c r="D26" s="53">
        <v>4</v>
      </c>
      <c r="E26" s="53"/>
      <c r="F26" s="71"/>
      <c r="G26" s="71"/>
      <c r="H26" s="53"/>
      <c r="I26" s="53"/>
      <c r="J26" s="53"/>
      <c r="K26" s="53"/>
      <c r="L26" s="54">
        <f t="shared" si="0"/>
        <v>4</v>
      </c>
      <c r="M26" s="36"/>
      <c r="N26" s="36"/>
      <c r="P26" s="66"/>
    </row>
    <row r="27" spans="1:16" ht="18" customHeight="1">
      <c r="A27" s="180">
        <v>18</v>
      </c>
      <c r="B27" s="157">
        <v>22118</v>
      </c>
      <c r="C27" s="158" t="s">
        <v>124</v>
      </c>
      <c r="D27" s="53">
        <v>4</v>
      </c>
      <c r="E27" s="53"/>
      <c r="F27" s="71"/>
      <c r="G27" s="71"/>
      <c r="H27" s="53"/>
      <c r="I27" s="53"/>
      <c r="J27" s="53"/>
      <c r="K27" s="53"/>
      <c r="L27" s="54">
        <f t="shared" si="0"/>
        <v>4</v>
      </c>
      <c r="M27" s="36"/>
      <c r="N27" s="36"/>
      <c r="P27" s="66"/>
    </row>
    <row r="28" spans="1:16" ht="18" customHeight="1">
      <c r="A28" s="180">
        <v>19</v>
      </c>
      <c r="B28" s="157">
        <v>22119</v>
      </c>
      <c r="C28" s="158" t="s">
        <v>125</v>
      </c>
      <c r="D28" s="53">
        <v>4</v>
      </c>
      <c r="E28" s="53"/>
      <c r="F28" s="71"/>
      <c r="G28" s="71"/>
      <c r="H28" s="53"/>
      <c r="I28" s="53"/>
      <c r="J28" s="53"/>
      <c r="K28" s="53"/>
      <c r="L28" s="54">
        <f t="shared" si="0"/>
        <v>4</v>
      </c>
      <c r="M28" s="36"/>
      <c r="N28" s="36"/>
      <c r="P28" s="66"/>
    </row>
    <row r="29" spans="1:16" ht="18" customHeight="1">
      <c r="A29" s="180">
        <v>20</v>
      </c>
      <c r="B29" s="157">
        <v>22120</v>
      </c>
      <c r="C29" s="158" t="s">
        <v>126</v>
      </c>
      <c r="D29" s="53">
        <v>4</v>
      </c>
      <c r="E29" s="53"/>
      <c r="F29" s="71"/>
      <c r="G29" s="71"/>
      <c r="H29" s="53"/>
      <c r="I29" s="53"/>
      <c r="J29" s="53"/>
      <c r="K29" s="53"/>
      <c r="L29" s="54">
        <f t="shared" si="0"/>
        <v>4</v>
      </c>
      <c r="M29" s="36"/>
      <c r="N29" s="36"/>
      <c r="P29" s="66"/>
    </row>
    <row r="30" spans="1:16" ht="18" customHeight="1">
      <c r="A30" s="180">
        <v>21</v>
      </c>
      <c r="B30" s="157">
        <v>22121</v>
      </c>
      <c r="C30" s="158" t="s">
        <v>127</v>
      </c>
      <c r="D30" s="53">
        <v>5</v>
      </c>
      <c r="E30" s="53"/>
      <c r="F30" s="71"/>
      <c r="G30" s="71"/>
      <c r="H30" s="53"/>
      <c r="I30" s="53"/>
      <c r="J30" s="53"/>
      <c r="K30" s="53"/>
      <c r="L30" s="54">
        <f t="shared" si="0"/>
        <v>5</v>
      </c>
      <c r="M30" s="36"/>
      <c r="N30" s="36"/>
      <c r="P30" s="66"/>
    </row>
    <row r="31" spans="1:16" ht="18" customHeight="1">
      <c r="A31" s="180">
        <v>22</v>
      </c>
      <c r="B31" s="157">
        <v>22122</v>
      </c>
      <c r="C31" s="158" t="s">
        <v>128</v>
      </c>
      <c r="D31" s="53">
        <v>4</v>
      </c>
      <c r="E31" s="53"/>
      <c r="F31" s="71"/>
      <c r="G31" s="71"/>
      <c r="H31" s="53"/>
      <c r="I31" s="53"/>
      <c r="J31" s="53"/>
      <c r="K31" s="53"/>
      <c r="L31" s="54">
        <f t="shared" si="0"/>
        <v>4</v>
      </c>
      <c r="M31" s="36"/>
      <c r="N31" s="36"/>
      <c r="P31" s="66"/>
    </row>
    <row r="32" spans="1:16" ht="18" customHeight="1">
      <c r="A32" s="180">
        <v>23</v>
      </c>
      <c r="B32" s="157">
        <v>22123</v>
      </c>
      <c r="C32" s="158" t="s">
        <v>129</v>
      </c>
      <c r="D32" s="53">
        <v>2</v>
      </c>
      <c r="E32" s="53"/>
      <c r="F32" s="71"/>
      <c r="G32" s="71"/>
      <c r="H32" s="53"/>
      <c r="I32" s="53"/>
      <c r="J32" s="53"/>
      <c r="K32" s="53"/>
      <c r="L32" s="54">
        <f t="shared" si="0"/>
        <v>2</v>
      </c>
      <c r="M32" s="36"/>
      <c r="N32" s="36"/>
      <c r="P32" s="66"/>
    </row>
    <row r="33" spans="1:16" ht="18" customHeight="1">
      <c r="A33" s="180">
        <v>24</v>
      </c>
      <c r="B33" s="157">
        <v>22124</v>
      </c>
      <c r="C33" s="158" t="s">
        <v>130</v>
      </c>
      <c r="D33" s="53">
        <v>4</v>
      </c>
      <c r="E33" s="53"/>
      <c r="F33" s="71"/>
      <c r="G33" s="71"/>
      <c r="H33" s="53"/>
      <c r="I33" s="53"/>
      <c r="J33" s="53"/>
      <c r="K33" s="53"/>
      <c r="L33" s="54">
        <f t="shared" si="0"/>
        <v>4</v>
      </c>
      <c r="M33" s="36"/>
      <c r="N33" s="36"/>
      <c r="P33" s="66"/>
    </row>
    <row r="34" spans="1:16" ht="18" customHeight="1">
      <c r="A34" s="180">
        <v>25</v>
      </c>
      <c r="B34" s="157">
        <v>22125</v>
      </c>
      <c r="C34" s="158" t="s">
        <v>131</v>
      </c>
      <c r="D34" s="53">
        <v>5</v>
      </c>
      <c r="E34" s="53"/>
      <c r="F34" s="71"/>
      <c r="G34" s="71"/>
      <c r="H34" s="53"/>
      <c r="I34" s="53"/>
      <c r="J34" s="53"/>
      <c r="K34" s="53"/>
      <c r="L34" s="54">
        <f t="shared" si="0"/>
        <v>5</v>
      </c>
      <c r="M34" s="36"/>
      <c r="N34" s="36"/>
      <c r="P34" s="66"/>
    </row>
    <row r="35" spans="1:16" ht="18" customHeight="1">
      <c r="A35" s="180">
        <v>26</v>
      </c>
      <c r="B35" s="157">
        <v>22126</v>
      </c>
      <c r="C35" s="158" t="s">
        <v>132</v>
      </c>
      <c r="D35" s="53">
        <v>4</v>
      </c>
      <c r="E35" s="53"/>
      <c r="F35" s="71"/>
      <c r="G35" s="71"/>
      <c r="H35" s="53"/>
      <c r="I35" s="53"/>
      <c r="J35" s="53"/>
      <c r="K35" s="53"/>
      <c r="L35" s="54">
        <f t="shared" si="0"/>
        <v>4</v>
      </c>
      <c r="M35" s="36"/>
      <c r="N35" s="36"/>
      <c r="P35" s="66"/>
    </row>
    <row r="36" spans="1:16" ht="18" customHeight="1">
      <c r="A36" s="180">
        <v>27</v>
      </c>
      <c r="B36" s="157">
        <v>22127</v>
      </c>
      <c r="C36" s="158" t="s">
        <v>133</v>
      </c>
      <c r="D36" s="53">
        <v>4</v>
      </c>
      <c r="E36" s="53"/>
      <c r="F36" s="71"/>
      <c r="G36" s="71"/>
      <c r="H36" s="53"/>
      <c r="I36" s="53"/>
      <c r="J36" s="53"/>
      <c r="K36" s="53"/>
      <c r="L36" s="54">
        <f t="shared" si="0"/>
        <v>4</v>
      </c>
      <c r="M36" s="36"/>
      <c r="N36" s="36"/>
      <c r="P36" s="66"/>
    </row>
    <row r="37" spans="1:16" ht="18" customHeight="1">
      <c r="A37" s="180">
        <v>28</v>
      </c>
      <c r="B37" s="157">
        <v>22128</v>
      </c>
      <c r="C37" s="158" t="s">
        <v>134</v>
      </c>
      <c r="D37" s="53">
        <v>4</v>
      </c>
      <c r="E37" s="53"/>
      <c r="F37" s="71"/>
      <c r="G37" s="71"/>
      <c r="H37" s="53"/>
      <c r="I37" s="53"/>
      <c r="J37" s="53"/>
      <c r="K37" s="53"/>
      <c r="L37" s="54">
        <f t="shared" si="0"/>
        <v>4</v>
      </c>
      <c r="M37" s="36"/>
      <c r="N37" s="36"/>
      <c r="P37" s="66"/>
    </row>
    <row r="38" spans="1:16" ht="18" customHeight="1">
      <c r="A38" s="180">
        <v>29</v>
      </c>
      <c r="B38" s="157">
        <v>22129</v>
      </c>
      <c r="C38" s="158" t="s">
        <v>135</v>
      </c>
      <c r="D38" s="53">
        <v>5</v>
      </c>
      <c r="E38" s="53"/>
      <c r="F38" s="71"/>
      <c r="G38" s="71"/>
      <c r="H38" s="53"/>
      <c r="I38" s="53"/>
      <c r="J38" s="53"/>
      <c r="K38" s="53"/>
      <c r="L38" s="54">
        <f t="shared" si="0"/>
        <v>5</v>
      </c>
      <c r="M38" s="36"/>
      <c r="N38" s="36"/>
      <c r="P38" s="66"/>
    </row>
    <row r="39" spans="1:16" ht="18" customHeight="1">
      <c r="A39" s="180">
        <v>30</v>
      </c>
      <c r="B39" s="157">
        <v>22130</v>
      </c>
      <c r="C39" s="158" t="s">
        <v>136</v>
      </c>
      <c r="D39" s="53">
        <v>4</v>
      </c>
      <c r="E39" s="53"/>
      <c r="F39" s="71"/>
      <c r="G39" s="71"/>
      <c r="H39" s="53"/>
      <c r="I39" s="53"/>
      <c r="J39" s="53"/>
      <c r="K39" s="53"/>
      <c r="L39" s="54">
        <f t="shared" si="0"/>
        <v>4</v>
      </c>
      <c r="M39" s="36"/>
      <c r="N39" s="36"/>
      <c r="P39" s="66"/>
    </row>
    <row r="40" spans="1:16" ht="18" customHeight="1">
      <c r="A40" s="180">
        <v>31</v>
      </c>
      <c r="B40" s="157">
        <v>22131</v>
      </c>
      <c r="C40" s="158" t="s">
        <v>137</v>
      </c>
      <c r="D40" s="53">
        <v>4</v>
      </c>
      <c r="E40" s="53"/>
      <c r="F40" s="71"/>
      <c r="G40" s="71"/>
      <c r="H40" s="53"/>
      <c r="I40" s="53"/>
      <c r="J40" s="53"/>
      <c r="K40" s="53"/>
      <c r="L40" s="54">
        <f t="shared" si="0"/>
        <v>4</v>
      </c>
      <c r="M40" s="36"/>
      <c r="N40" s="36"/>
      <c r="P40" s="66"/>
    </row>
    <row r="41" spans="1:16" ht="18" customHeight="1">
      <c r="A41" s="180">
        <v>32</v>
      </c>
      <c r="B41" s="157">
        <v>22132</v>
      </c>
      <c r="C41" s="158" t="s">
        <v>138</v>
      </c>
      <c r="D41" s="53">
        <v>4</v>
      </c>
      <c r="E41" s="53"/>
      <c r="F41" s="71"/>
      <c r="G41" s="71"/>
      <c r="H41" s="53"/>
      <c r="I41" s="53"/>
      <c r="J41" s="53"/>
      <c r="K41" s="53"/>
      <c r="L41" s="54">
        <f t="shared" si="0"/>
        <v>4</v>
      </c>
      <c r="M41" s="36"/>
      <c r="N41" s="36"/>
      <c r="P41" s="66"/>
    </row>
    <row r="42" spans="1:16" ht="18" customHeight="1">
      <c r="A42" s="180">
        <v>33</v>
      </c>
      <c r="B42" s="157">
        <v>22133</v>
      </c>
      <c r="C42" s="158" t="s">
        <v>139</v>
      </c>
      <c r="D42" s="53">
        <v>4</v>
      </c>
      <c r="E42" s="53"/>
      <c r="F42" s="71"/>
      <c r="G42" s="71"/>
      <c r="H42" s="53"/>
      <c r="I42" s="53"/>
      <c r="J42" s="53"/>
      <c r="K42" s="53"/>
      <c r="L42" s="54">
        <f t="shared" si="0"/>
        <v>4</v>
      </c>
      <c r="M42" s="36"/>
      <c r="N42" s="36"/>
      <c r="P42" s="66"/>
    </row>
    <row r="43" spans="1:16" ht="18" customHeight="1">
      <c r="A43" s="180">
        <v>34</v>
      </c>
      <c r="B43" s="157">
        <v>22134</v>
      </c>
      <c r="C43" s="158" t="s">
        <v>140</v>
      </c>
      <c r="D43" s="53">
        <v>5</v>
      </c>
      <c r="E43" s="53"/>
      <c r="F43" s="71"/>
      <c r="G43" s="71"/>
      <c r="H43" s="53"/>
      <c r="I43" s="53"/>
      <c r="J43" s="53"/>
      <c r="K43" s="53"/>
      <c r="L43" s="54">
        <f t="shared" si="0"/>
        <v>5</v>
      </c>
      <c r="M43" s="36"/>
      <c r="N43" s="36"/>
      <c r="P43" s="66"/>
    </row>
    <row r="44" spans="1:16" ht="18" customHeight="1">
      <c r="A44" s="180">
        <v>35</v>
      </c>
      <c r="B44" s="157">
        <v>22135</v>
      </c>
      <c r="C44" s="158" t="s">
        <v>141</v>
      </c>
      <c r="D44" s="53">
        <v>4</v>
      </c>
      <c r="E44" s="53"/>
      <c r="F44" s="71"/>
      <c r="G44" s="71"/>
      <c r="H44" s="53"/>
      <c r="I44" s="53"/>
      <c r="J44" s="53"/>
      <c r="K44" s="53"/>
      <c r="L44" s="54">
        <f t="shared" si="0"/>
        <v>4</v>
      </c>
      <c r="M44" s="36"/>
      <c r="N44" s="36"/>
      <c r="P44" s="66"/>
    </row>
    <row r="45" spans="1:16" ht="18" customHeight="1">
      <c r="A45" s="180">
        <v>36</v>
      </c>
      <c r="B45" s="157">
        <v>22136</v>
      </c>
      <c r="C45" s="158" t="s">
        <v>142</v>
      </c>
      <c r="D45" s="53">
        <v>4</v>
      </c>
      <c r="E45" s="53"/>
      <c r="F45" s="71"/>
      <c r="G45" s="71"/>
      <c r="H45" s="53"/>
      <c r="I45" s="53"/>
      <c r="J45" s="53"/>
      <c r="K45" s="53"/>
      <c r="L45" s="54">
        <f t="shared" si="0"/>
        <v>4</v>
      </c>
      <c r="M45" s="36"/>
      <c r="N45" s="36"/>
      <c r="P45" s="66"/>
    </row>
    <row r="46" spans="1:16" ht="18" customHeight="1">
      <c r="A46" s="180">
        <v>37</v>
      </c>
      <c r="B46" s="157">
        <v>22137</v>
      </c>
      <c r="C46" s="158" t="s">
        <v>143</v>
      </c>
      <c r="D46" s="53">
        <v>4</v>
      </c>
      <c r="E46" s="53"/>
      <c r="F46" s="71"/>
      <c r="G46" s="71"/>
      <c r="H46" s="53"/>
      <c r="I46" s="53"/>
      <c r="J46" s="53"/>
      <c r="K46" s="53"/>
      <c r="L46" s="54">
        <f t="shared" si="0"/>
        <v>4</v>
      </c>
      <c r="M46" s="36"/>
      <c r="N46" s="36"/>
      <c r="P46" s="66"/>
    </row>
    <row r="47" spans="1:16" ht="18" customHeight="1">
      <c r="A47" s="180">
        <v>38</v>
      </c>
      <c r="B47" s="157">
        <v>22138</v>
      </c>
      <c r="C47" s="158" t="s">
        <v>144</v>
      </c>
      <c r="D47" s="53">
        <v>4</v>
      </c>
      <c r="E47" s="53"/>
      <c r="F47" s="71"/>
      <c r="G47" s="71"/>
      <c r="H47" s="53"/>
      <c r="I47" s="53"/>
      <c r="J47" s="53"/>
      <c r="K47" s="53"/>
      <c r="L47" s="54">
        <f t="shared" si="0"/>
        <v>4</v>
      </c>
      <c r="M47" s="36"/>
      <c r="N47" s="36"/>
      <c r="P47" s="66"/>
    </row>
    <row r="48" spans="1:16" ht="18" customHeight="1">
      <c r="A48" s="180">
        <v>39</v>
      </c>
      <c r="B48" s="157">
        <v>22139</v>
      </c>
      <c r="C48" s="158" t="s">
        <v>145</v>
      </c>
      <c r="D48" s="53">
        <v>5</v>
      </c>
      <c r="E48" s="53"/>
      <c r="F48" s="71"/>
      <c r="G48" s="71"/>
      <c r="H48" s="53"/>
      <c r="I48" s="53"/>
      <c r="J48" s="53"/>
      <c r="K48" s="53"/>
      <c r="L48" s="54">
        <f t="shared" si="0"/>
        <v>5</v>
      </c>
      <c r="M48" s="36"/>
      <c r="N48" s="36"/>
      <c r="P48" s="66"/>
    </row>
    <row r="49" spans="1:16" ht="18" customHeight="1">
      <c r="A49" s="180">
        <v>40</v>
      </c>
      <c r="B49" s="157">
        <v>22140</v>
      </c>
      <c r="C49" s="158" t="s">
        <v>146</v>
      </c>
      <c r="D49" s="53">
        <v>5</v>
      </c>
      <c r="E49" s="53"/>
      <c r="F49" s="71"/>
      <c r="G49" s="71"/>
      <c r="H49" s="53"/>
      <c r="I49" s="53"/>
      <c r="J49" s="53"/>
      <c r="K49" s="53"/>
      <c r="L49" s="54">
        <f t="shared" si="0"/>
        <v>5</v>
      </c>
      <c r="M49" s="36"/>
      <c r="N49" s="36"/>
      <c r="P49" s="66"/>
    </row>
    <row r="50" spans="1:16" ht="18" customHeight="1">
      <c r="A50" s="180">
        <v>41</v>
      </c>
      <c r="B50" s="157">
        <v>22141</v>
      </c>
      <c r="C50" s="158" t="s">
        <v>147</v>
      </c>
      <c r="D50" s="53">
        <v>5</v>
      </c>
      <c r="E50" s="53"/>
      <c r="F50" s="71"/>
      <c r="G50" s="71"/>
      <c r="H50" s="53"/>
      <c r="I50" s="53"/>
      <c r="J50" s="53"/>
      <c r="K50" s="53"/>
      <c r="L50" s="54">
        <f t="shared" si="0"/>
        <v>5</v>
      </c>
      <c r="M50" s="36"/>
      <c r="N50" s="36"/>
      <c r="P50" s="66"/>
    </row>
    <row r="51" spans="1:16" ht="18" customHeight="1">
      <c r="A51" s="180">
        <v>42</v>
      </c>
      <c r="B51" s="157">
        <v>22142</v>
      </c>
      <c r="C51" s="158" t="s">
        <v>148</v>
      </c>
      <c r="D51" s="53">
        <v>4</v>
      </c>
      <c r="E51" s="53"/>
      <c r="F51" s="71"/>
      <c r="G51" s="71"/>
      <c r="H51" s="53"/>
      <c r="I51" s="53"/>
      <c r="J51" s="53"/>
      <c r="K51" s="53"/>
      <c r="L51" s="54">
        <f t="shared" si="0"/>
        <v>4</v>
      </c>
      <c r="M51" s="36"/>
      <c r="N51" s="36"/>
      <c r="P51" s="66"/>
    </row>
    <row r="52" spans="1:16" ht="18" customHeight="1">
      <c r="A52" s="180">
        <v>43</v>
      </c>
      <c r="B52" s="157">
        <v>22143</v>
      </c>
      <c r="C52" s="158" t="s">
        <v>149</v>
      </c>
      <c r="D52" s="53">
        <v>4</v>
      </c>
      <c r="E52" s="53"/>
      <c r="F52" s="71"/>
      <c r="G52" s="71"/>
      <c r="H52" s="53"/>
      <c r="I52" s="53"/>
      <c r="J52" s="53"/>
      <c r="K52" s="53"/>
      <c r="L52" s="54">
        <f t="shared" si="0"/>
        <v>4</v>
      </c>
      <c r="M52" s="36"/>
      <c r="N52" s="36"/>
      <c r="P52" s="66"/>
    </row>
    <row r="53" spans="1:16" ht="18" customHeight="1">
      <c r="A53" s="180">
        <v>44</v>
      </c>
      <c r="B53" s="157">
        <v>22144</v>
      </c>
      <c r="C53" s="158" t="s">
        <v>150</v>
      </c>
      <c r="D53" s="53">
        <v>5</v>
      </c>
      <c r="E53" s="53"/>
      <c r="F53" s="71"/>
      <c r="G53" s="71"/>
      <c r="H53" s="53"/>
      <c r="I53" s="53"/>
      <c r="J53" s="53"/>
      <c r="K53" s="53"/>
      <c r="L53" s="54">
        <f t="shared" si="0"/>
        <v>5</v>
      </c>
      <c r="M53" s="36"/>
      <c r="N53" s="36"/>
      <c r="P53" s="66"/>
    </row>
    <row r="54" spans="1:16" ht="18" customHeight="1">
      <c r="A54" s="180">
        <v>45</v>
      </c>
      <c r="B54" s="157">
        <v>22145</v>
      </c>
      <c r="C54" s="158" t="s">
        <v>151</v>
      </c>
      <c r="D54" s="53">
        <v>5</v>
      </c>
      <c r="E54" s="53"/>
      <c r="F54" s="71"/>
      <c r="G54" s="71"/>
      <c r="H54" s="53"/>
      <c r="I54" s="53"/>
      <c r="J54" s="53"/>
      <c r="K54" s="53"/>
      <c r="L54" s="54">
        <f t="shared" si="0"/>
        <v>5</v>
      </c>
      <c r="M54" s="36"/>
      <c r="N54" s="36"/>
      <c r="P54" s="66"/>
    </row>
    <row r="55" spans="1:16" ht="18" customHeight="1">
      <c r="A55" s="180">
        <v>46</v>
      </c>
      <c r="B55" s="157">
        <v>22146</v>
      </c>
      <c r="C55" s="158" t="s">
        <v>152</v>
      </c>
      <c r="D55" s="53">
        <v>4</v>
      </c>
      <c r="E55" s="53"/>
      <c r="F55" s="71"/>
      <c r="G55" s="71"/>
      <c r="H55" s="53"/>
      <c r="I55" s="53"/>
      <c r="J55" s="53"/>
      <c r="K55" s="53"/>
      <c r="L55" s="54">
        <f t="shared" si="0"/>
        <v>4</v>
      </c>
      <c r="M55" s="36"/>
      <c r="N55" s="36"/>
      <c r="P55" s="66"/>
    </row>
    <row r="56" spans="1:16" ht="18" customHeight="1">
      <c r="A56" s="180">
        <v>47</v>
      </c>
      <c r="B56" s="157">
        <v>22147</v>
      </c>
      <c r="C56" s="158" t="s">
        <v>153</v>
      </c>
      <c r="D56" s="53">
        <v>4</v>
      </c>
      <c r="E56" s="53"/>
      <c r="F56" s="71"/>
      <c r="G56" s="71"/>
      <c r="H56" s="53"/>
      <c r="I56" s="53"/>
      <c r="J56" s="53"/>
      <c r="K56" s="53"/>
      <c r="L56" s="54">
        <f t="shared" si="0"/>
        <v>4</v>
      </c>
      <c r="M56" s="36"/>
      <c r="N56" s="36"/>
      <c r="P56" s="66"/>
    </row>
    <row r="57" spans="1:16" ht="18" customHeight="1">
      <c r="A57" s="180">
        <v>48</v>
      </c>
      <c r="B57" s="157">
        <v>22148</v>
      </c>
      <c r="C57" s="158" t="s">
        <v>154</v>
      </c>
      <c r="D57" s="53">
        <v>5</v>
      </c>
      <c r="E57" s="53"/>
      <c r="F57" s="71"/>
      <c r="G57" s="71"/>
      <c r="H57" s="53"/>
      <c r="I57" s="53"/>
      <c r="J57" s="53"/>
      <c r="K57" s="53"/>
      <c r="L57" s="54">
        <f t="shared" si="0"/>
        <v>5</v>
      </c>
      <c r="M57" s="36"/>
      <c r="N57" s="36"/>
      <c r="P57" s="66"/>
    </row>
    <row r="58" spans="1:16" ht="18" customHeight="1">
      <c r="A58" s="180">
        <v>49</v>
      </c>
      <c r="B58" s="157">
        <v>22149</v>
      </c>
      <c r="C58" s="158" t="s">
        <v>155</v>
      </c>
      <c r="D58" s="53">
        <v>4</v>
      </c>
      <c r="E58" s="53"/>
      <c r="F58" s="71"/>
      <c r="G58" s="71"/>
      <c r="H58" s="53"/>
      <c r="I58" s="53"/>
      <c r="J58" s="53"/>
      <c r="K58" s="53"/>
      <c r="L58" s="54">
        <f t="shared" si="0"/>
        <v>4</v>
      </c>
      <c r="M58" s="36"/>
      <c r="N58" s="36"/>
      <c r="P58" s="66"/>
    </row>
    <row r="59" spans="1:16" ht="18" customHeight="1">
      <c r="A59" s="180">
        <v>50</v>
      </c>
      <c r="B59" s="157">
        <v>22150</v>
      </c>
      <c r="C59" s="158" t="s">
        <v>156</v>
      </c>
      <c r="D59" s="53">
        <v>3</v>
      </c>
      <c r="E59" s="53"/>
      <c r="F59" s="71"/>
      <c r="G59" s="71"/>
      <c r="H59" s="53"/>
      <c r="I59" s="53"/>
      <c r="J59" s="53"/>
      <c r="K59" s="53"/>
      <c r="L59" s="54">
        <f t="shared" si="0"/>
        <v>3</v>
      </c>
      <c r="M59" s="36"/>
      <c r="N59" s="36"/>
      <c r="P59" s="66"/>
    </row>
    <row r="60" spans="1:16" ht="18" customHeight="1">
      <c r="A60" s="180">
        <v>51</v>
      </c>
      <c r="B60" s="157">
        <v>22151</v>
      </c>
      <c r="C60" s="158" t="s">
        <v>157</v>
      </c>
      <c r="D60" s="53">
        <v>4</v>
      </c>
      <c r="E60" s="53"/>
      <c r="F60" s="71"/>
      <c r="G60" s="71"/>
      <c r="H60" s="53"/>
      <c r="I60" s="53"/>
      <c r="J60" s="53"/>
      <c r="K60" s="53"/>
      <c r="L60" s="54">
        <f t="shared" si="0"/>
        <v>4</v>
      </c>
      <c r="M60" s="36"/>
      <c r="N60" s="36"/>
      <c r="P60" s="66"/>
    </row>
    <row r="61" spans="1:16" ht="18" customHeight="1">
      <c r="A61" s="180">
        <v>52</v>
      </c>
      <c r="B61" s="157">
        <v>22152</v>
      </c>
      <c r="C61" s="158" t="s">
        <v>158</v>
      </c>
      <c r="D61" s="53">
        <v>4</v>
      </c>
      <c r="E61" s="53"/>
      <c r="F61" s="71"/>
      <c r="G61" s="71"/>
      <c r="H61" s="53"/>
      <c r="I61" s="53"/>
      <c r="J61" s="53"/>
      <c r="K61" s="53"/>
      <c r="L61" s="54">
        <f t="shared" si="0"/>
        <v>4</v>
      </c>
      <c r="M61" s="36"/>
      <c r="N61" s="36"/>
      <c r="P61" s="66"/>
    </row>
    <row r="62" spans="1:16" ht="18" customHeight="1">
      <c r="A62" s="180">
        <v>53</v>
      </c>
      <c r="B62" s="157">
        <v>22153</v>
      </c>
      <c r="C62" s="158" t="s">
        <v>159</v>
      </c>
      <c r="D62" s="53">
        <v>4</v>
      </c>
      <c r="E62" s="53"/>
      <c r="F62" s="71"/>
      <c r="G62" s="71"/>
      <c r="H62" s="53"/>
      <c r="I62" s="53"/>
      <c r="J62" s="53"/>
      <c r="K62" s="53"/>
      <c r="L62" s="54">
        <f t="shared" si="0"/>
        <v>4</v>
      </c>
      <c r="M62" s="36"/>
      <c r="N62" s="36"/>
      <c r="P62" s="66"/>
    </row>
    <row r="63" spans="1:16" ht="18" customHeight="1">
      <c r="A63" s="180">
        <v>54</v>
      </c>
      <c r="B63" s="157">
        <v>22154</v>
      </c>
      <c r="C63" s="158" t="s">
        <v>160</v>
      </c>
      <c r="D63" s="53">
        <v>4</v>
      </c>
      <c r="E63" s="53"/>
      <c r="F63" s="71"/>
      <c r="G63" s="71"/>
      <c r="H63" s="53"/>
      <c r="I63" s="53"/>
      <c r="J63" s="53"/>
      <c r="K63" s="53"/>
      <c r="L63" s="54">
        <f t="shared" si="0"/>
        <v>4</v>
      </c>
      <c r="M63" s="36"/>
      <c r="N63" s="36"/>
      <c r="P63" s="66"/>
    </row>
    <row r="64" spans="1:16" ht="18" customHeight="1">
      <c r="A64" s="180">
        <v>55</v>
      </c>
      <c r="B64" s="157">
        <v>22155</v>
      </c>
      <c r="C64" s="158" t="s">
        <v>161</v>
      </c>
      <c r="D64" s="53">
        <v>4</v>
      </c>
      <c r="E64" s="53"/>
      <c r="F64" s="71"/>
      <c r="G64" s="71"/>
      <c r="H64" s="53"/>
      <c r="I64" s="53"/>
      <c r="J64" s="53"/>
      <c r="K64" s="53"/>
      <c r="L64" s="54">
        <f t="shared" si="0"/>
        <v>4</v>
      </c>
      <c r="M64" s="36"/>
      <c r="N64" s="36"/>
      <c r="P64" s="66"/>
    </row>
    <row r="65" spans="1:16" ht="18" customHeight="1">
      <c r="A65" s="180">
        <v>56</v>
      </c>
      <c r="B65" s="157">
        <v>22156</v>
      </c>
      <c r="C65" s="158" t="s">
        <v>162</v>
      </c>
      <c r="D65" s="53">
        <v>5</v>
      </c>
      <c r="E65" s="53"/>
      <c r="F65" s="71"/>
      <c r="G65" s="71"/>
      <c r="H65" s="53"/>
      <c r="I65" s="53"/>
      <c r="J65" s="53"/>
      <c r="K65" s="53"/>
      <c r="L65" s="54">
        <f t="shared" si="0"/>
        <v>5</v>
      </c>
      <c r="M65" s="36"/>
      <c r="N65" s="36"/>
      <c r="P65" s="66"/>
    </row>
    <row r="66" spans="1:16" ht="18" customHeight="1">
      <c r="A66" s="180">
        <v>57</v>
      </c>
      <c r="B66" s="157">
        <v>22157</v>
      </c>
      <c r="C66" s="158" t="s">
        <v>163</v>
      </c>
      <c r="D66" s="53">
        <v>4</v>
      </c>
      <c r="E66" s="53"/>
      <c r="F66" s="71"/>
      <c r="G66" s="71"/>
      <c r="H66" s="53"/>
      <c r="I66" s="53"/>
      <c r="J66" s="53"/>
      <c r="K66" s="53"/>
      <c r="L66" s="54">
        <f t="shared" si="0"/>
        <v>4</v>
      </c>
      <c r="M66" s="36"/>
      <c r="N66" s="36"/>
      <c r="P66" s="66"/>
    </row>
    <row r="67" spans="1:16" ht="15.75" customHeight="1">
      <c r="A67" s="180">
        <v>58</v>
      </c>
      <c r="B67" s="157">
        <v>22158</v>
      </c>
      <c r="C67" s="158" t="s">
        <v>164</v>
      </c>
      <c r="D67" s="53">
        <v>5</v>
      </c>
      <c r="E67" s="53"/>
      <c r="F67" s="71"/>
      <c r="G67" s="71"/>
      <c r="H67" s="53"/>
      <c r="I67" s="53"/>
      <c r="J67" s="53"/>
      <c r="K67" s="53"/>
      <c r="L67" s="54">
        <f t="shared" si="0"/>
        <v>5</v>
      </c>
    </row>
    <row r="68" spans="1:16" ht="15.75" customHeight="1">
      <c r="A68" s="180">
        <v>59</v>
      </c>
      <c r="B68" s="157">
        <v>22159</v>
      </c>
      <c r="C68" s="158" t="s">
        <v>165</v>
      </c>
      <c r="D68" s="53">
        <v>4</v>
      </c>
      <c r="E68" s="53"/>
      <c r="F68" s="71"/>
      <c r="G68" s="71"/>
      <c r="H68" s="53"/>
      <c r="I68" s="53"/>
      <c r="J68" s="53"/>
      <c r="K68" s="53"/>
      <c r="L68" s="54">
        <f t="shared" si="0"/>
        <v>4</v>
      </c>
    </row>
    <row r="69" spans="1:16" ht="15.75" customHeight="1">
      <c r="A69" s="180">
        <v>60</v>
      </c>
      <c r="B69" s="157">
        <v>22160</v>
      </c>
      <c r="C69" s="158" t="s">
        <v>166</v>
      </c>
      <c r="D69" s="53">
        <v>4</v>
      </c>
      <c r="E69" s="53"/>
      <c r="F69" s="71"/>
      <c r="G69" s="71"/>
      <c r="H69" s="53"/>
      <c r="I69" s="53"/>
      <c r="J69" s="53"/>
      <c r="K69" s="53"/>
      <c r="L69" s="54">
        <f t="shared" si="0"/>
        <v>4</v>
      </c>
    </row>
    <row r="70" spans="1:16" ht="15.75" customHeight="1">
      <c r="A70" s="180">
        <v>61</v>
      </c>
      <c r="B70" s="157">
        <v>22161</v>
      </c>
      <c r="C70" s="158" t="s">
        <v>167</v>
      </c>
      <c r="D70" s="71">
        <v>4</v>
      </c>
      <c r="E70" s="53"/>
      <c r="F70" s="71"/>
      <c r="G70" s="71"/>
      <c r="H70" s="53"/>
      <c r="I70" s="53"/>
      <c r="J70" s="53"/>
      <c r="K70" s="53"/>
      <c r="L70" s="54">
        <f t="shared" si="0"/>
        <v>4</v>
      </c>
    </row>
    <row r="71" spans="1:16" ht="15.75" customHeight="1">
      <c r="A71" s="180">
        <v>62</v>
      </c>
      <c r="B71" s="157">
        <v>22162</v>
      </c>
      <c r="C71" s="158" t="s">
        <v>168</v>
      </c>
      <c r="D71" s="71">
        <v>5</v>
      </c>
      <c r="E71" s="53"/>
      <c r="F71" s="53"/>
      <c r="G71" s="53"/>
      <c r="H71" s="53"/>
      <c r="I71" s="53"/>
      <c r="J71" s="53"/>
      <c r="K71" s="53"/>
      <c r="L71" s="54">
        <f t="shared" si="0"/>
        <v>5</v>
      </c>
    </row>
    <row r="72" spans="1:16" ht="15.75" customHeight="1">
      <c r="A72" s="180">
        <v>63</v>
      </c>
      <c r="B72" s="157">
        <v>22163</v>
      </c>
      <c r="C72" s="158" t="s">
        <v>169</v>
      </c>
      <c r="D72" s="71">
        <v>4</v>
      </c>
      <c r="E72" s="53"/>
      <c r="F72" s="53"/>
      <c r="G72" s="53"/>
      <c r="H72" s="53"/>
      <c r="I72" s="53"/>
      <c r="J72" s="53"/>
      <c r="K72" s="53"/>
      <c r="L72" s="54">
        <f t="shared" si="0"/>
        <v>4</v>
      </c>
    </row>
    <row r="73" spans="1:16" ht="15.75" customHeight="1">
      <c r="A73" s="180">
        <v>64</v>
      </c>
      <c r="B73" s="157">
        <v>22164</v>
      </c>
      <c r="C73" s="158" t="s">
        <v>170</v>
      </c>
      <c r="D73" s="53">
        <v>4</v>
      </c>
      <c r="E73" s="53"/>
      <c r="F73" s="71"/>
      <c r="G73" s="71"/>
      <c r="H73" s="53"/>
      <c r="I73" s="53"/>
      <c r="J73" s="53"/>
      <c r="K73" s="53"/>
      <c r="L73" s="54">
        <f t="shared" si="0"/>
        <v>4</v>
      </c>
    </row>
    <row r="74" spans="1:16" ht="15.75" customHeight="1">
      <c r="A74" s="180">
        <v>65</v>
      </c>
      <c r="B74" s="157">
        <v>22165</v>
      </c>
      <c r="C74" s="158" t="s">
        <v>171</v>
      </c>
      <c r="D74" s="53">
        <v>5</v>
      </c>
      <c r="E74" s="53"/>
      <c r="F74" s="71"/>
      <c r="G74" s="71"/>
      <c r="H74" s="53"/>
      <c r="I74" s="71"/>
      <c r="J74" s="71"/>
      <c r="K74" s="71"/>
      <c r="L74" s="54">
        <f t="shared" si="0"/>
        <v>5</v>
      </c>
    </row>
    <row r="75" spans="1:16" ht="15.75" customHeight="1">
      <c r="A75" s="180">
        <v>66</v>
      </c>
      <c r="B75" s="157">
        <v>22166</v>
      </c>
      <c r="C75" s="158" t="s">
        <v>172</v>
      </c>
      <c r="D75" s="71">
        <v>4</v>
      </c>
      <c r="E75" s="53"/>
      <c r="F75" s="53"/>
      <c r="G75" s="53"/>
      <c r="H75" s="53"/>
      <c r="I75" s="53"/>
      <c r="J75" s="53"/>
      <c r="K75" s="53"/>
      <c r="L75" s="54">
        <f t="shared" ref="L75:L117" si="1">IF(F75&lt;&gt;"AB",SUM(D75:K75),"AB")</f>
        <v>4</v>
      </c>
    </row>
    <row r="76" spans="1:16" ht="15.75" customHeight="1">
      <c r="A76" s="180">
        <v>67</v>
      </c>
      <c r="B76" s="157">
        <v>22167</v>
      </c>
      <c r="C76" s="158" t="s">
        <v>173</v>
      </c>
      <c r="D76" s="71">
        <v>5</v>
      </c>
      <c r="E76" s="53"/>
      <c r="F76" s="53"/>
      <c r="G76" s="53"/>
      <c r="H76" s="53"/>
      <c r="I76" s="53"/>
      <c r="J76" s="53"/>
      <c r="K76" s="53"/>
      <c r="L76" s="54">
        <f t="shared" si="1"/>
        <v>5</v>
      </c>
    </row>
    <row r="77" spans="1:16" ht="15.75" customHeight="1">
      <c r="A77" s="180">
        <v>68</v>
      </c>
      <c r="B77" s="157">
        <v>22168</v>
      </c>
      <c r="C77" s="158" t="s">
        <v>174</v>
      </c>
      <c r="D77" s="53">
        <v>4</v>
      </c>
      <c r="E77" s="53"/>
      <c r="F77" s="71"/>
      <c r="G77" s="71"/>
      <c r="H77" s="53"/>
      <c r="I77" s="53"/>
      <c r="J77" s="53"/>
      <c r="K77" s="53"/>
      <c r="L77" s="54">
        <f t="shared" si="1"/>
        <v>4</v>
      </c>
    </row>
    <row r="78" spans="1:16" ht="15.75" customHeight="1">
      <c r="A78" s="180">
        <v>69</v>
      </c>
      <c r="B78" s="157">
        <v>22201</v>
      </c>
      <c r="C78" s="158" t="s">
        <v>175</v>
      </c>
      <c r="D78" s="71">
        <v>5</v>
      </c>
      <c r="E78" s="53"/>
      <c r="F78" s="53"/>
      <c r="G78" s="53"/>
      <c r="H78" s="53"/>
      <c r="I78" s="53"/>
      <c r="J78" s="53"/>
      <c r="K78" s="53"/>
      <c r="L78" s="54">
        <f t="shared" si="1"/>
        <v>5</v>
      </c>
    </row>
    <row r="79" spans="1:16" ht="15.75" customHeight="1">
      <c r="A79" s="180">
        <v>70</v>
      </c>
      <c r="B79" s="157">
        <v>22202</v>
      </c>
      <c r="C79" s="158" t="s">
        <v>176</v>
      </c>
      <c r="D79" s="71">
        <v>5</v>
      </c>
      <c r="E79" s="53"/>
      <c r="F79" s="53"/>
      <c r="G79" s="53"/>
      <c r="H79" s="53"/>
      <c r="I79" s="53"/>
      <c r="J79" s="53"/>
      <c r="K79" s="53"/>
      <c r="L79" s="54">
        <f t="shared" si="1"/>
        <v>5</v>
      </c>
    </row>
    <row r="80" spans="1:16" ht="15.75" customHeight="1">
      <c r="A80" s="180">
        <v>71</v>
      </c>
      <c r="B80" s="157">
        <v>22203</v>
      </c>
      <c r="C80" s="158" t="s">
        <v>177</v>
      </c>
      <c r="D80" s="71">
        <v>5</v>
      </c>
      <c r="E80" s="53"/>
      <c r="F80" s="53"/>
      <c r="G80" s="53"/>
      <c r="H80" s="53"/>
      <c r="I80" s="53"/>
      <c r="J80" s="53"/>
      <c r="K80" s="53"/>
      <c r="L80" s="54">
        <f t="shared" si="1"/>
        <v>5</v>
      </c>
    </row>
    <row r="81" spans="1:12" ht="15.75" customHeight="1">
      <c r="A81" s="180">
        <v>72</v>
      </c>
      <c r="B81" s="157">
        <v>22204</v>
      </c>
      <c r="C81" s="158" t="s">
        <v>178</v>
      </c>
      <c r="D81" s="71">
        <v>4</v>
      </c>
      <c r="E81" s="53"/>
      <c r="F81" s="53"/>
      <c r="G81" s="53"/>
      <c r="H81" s="53"/>
      <c r="I81" s="53"/>
      <c r="J81" s="53"/>
      <c r="K81" s="53"/>
      <c r="L81" s="54">
        <f t="shared" si="1"/>
        <v>4</v>
      </c>
    </row>
    <row r="82" spans="1:12" ht="15.75" customHeight="1">
      <c r="A82" s="180">
        <v>73</v>
      </c>
      <c r="B82" s="157">
        <v>22205</v>
      </c>
      <c r="C82" s="158" t="s">
        <v>179</v>
      </c>
      <c r="D82" s="71">
        <v>4</v>
      </c>
      <c r="E82" s="53"/>
      <c r="F82" s="53"/>
      <c r="G82" s="53"/>
      <c r="H82" s="53"/>
      <c r="I82" s="53"/>
      <c r="J82" s="53"/>
      <c r="K82" s="53"/>
      <c r="L82" s="54">
        <f t="shared" si="1"/>
        <v>4</v>
      </c>
    </row>
    <row r="83" spans="1:12" ht="15.75" customHeight="1">
      <c r="A83" s="180">
        <v>74</v>
      </c>
      <c r="B83" s="157">
        <v>22206</v>
      </c>
      <c r="C83" s="158" t="s">
        <v>180</v>
      </c>
      <c r="D83" s="71">
        <v>4</v>
      </c>
      <c r="E83" s="53"/>
      <c r="F83" s="53"/>
      <c r="G83" s="53"/>
      <c r="H83" s="53"/>
      <c r="I83" s="53"/>
      <c r="J83" s="53"/>
      <c r="K83" s="53"/>
      <c r="L83" s="54">
        <f t="shared" si="1"/>
        <v>4</v>
      </c>
    </row>
    <row r="84" spans="1:12" ht="15.75" customHeight="1">
      <c r="A84" s="180">
        <v>75</v>
      </c>
      <c r="B84" s="157">
        <v>22207</v>
      </c>
      <c r="C84" s="158" t="s">
        <v>181</v>
      </c>
      <c r="D84" s="71">
        <v>5</v>
      </c>
      <c r="E84" s="53"/>
      <c r="F84" s="53"/>
      <c r="G84" s="53"/>
      <c r="H84" s="53"/>
      <c r="I84" s="53"/>
      <c r="J84" s="53"/>
      <c r="K84" s="53"/>
      <c r="L84" s="54">
        <f t="shared" si="1"/>
        <v>5</v>
      </c>
    </row>
    <row r="85" spans="1:12" ht="15.75" customHeight="1">
      <c r="A85" s="180">
        <v>76</v>
      </c>
      <c r="B85" s="157">
        <v>22208</v>
      </c>
      <c r="C85" s="158" t="s">
        <v>182</v>
      </c>
      <c r="D85" s="71">
        <v>5</v>
      </c>
      <c r="E85" s="53"/>
      <c r="F85" s="53"/>
      <c r="G85" s="53"/>
      <c r="H85" s="53"/>
      <c r="I85" s="53"/>
      <c r="J85" s="53"/>
      <c r="K85" s="53"/>
      <c r="L85" s="54">
        <f t="shared" si="1"/>
        <v>5</v>
      </c>
    </row>
    <row r="86" spans="1:12" ht="15.75" customHeight="1">
      <c r="A86" s="180">
        <v>77</v>
      </c>
      <c r="B86" s="157">
        <v>22209</v>
      </c>
      <c r="C86" s="158" t="s">
        <v>183</v>
      </c>
      <c r="D86" s="71">
        <v>5</v>
      </c>
      <c r="E86" s="53"/>
      <c r="F86" s="53"/>
      <c r="G86" s="53"/>
      <c r="H86" s="53"/>
      <c r="I86" s="53"/>
      <c r="J86" s="53"/>
      <c r="K86" s="53"/>
      <c r="L86" s="54">
        <f t="shared" si="1"/>
        <v>5</v>
      </c>
    </row>
    <row r="87" spans="1:12" ht="15.75" customHeight="1">
      <c r="A87" s="180">
        <v>78</v>
      </c>
      <c r="B87" s="157">
        <v>22210</v>
      </c>
      <c r="C87" s="158" t="s">
        <v>184</v>
      </c>
      <c r="D87" s="71">
        <v>5</v>
      </c>
      <c r="E87" s="71"/>
      <c r="F87" s="71"/>
      <c r="G87" s="71"/>
      <c r="H87" s="71"/>
      <c r="I87" s="71"/>
      <c r="J87" s="71"/>
      <c r="K87" s="71"/>
      <c r="L87" s="54">
        <f t="shared" si="1"/>
        <v>5</v>
      </c>
    </row>
    <row r="88" spans="1:12" ht="15.75" customHeight="1">
      <c r="A88" s="180">
        <v>79</v>
      </c>
      <c r="B88" s="157">
        <v>22211</v>
      </c>
      <c r="C88" s="158" t="s">
        <v>185</v>
      </c>
      <c r="D88" s="71">
        <v>5</v>
      </c>
      <c r="E88" s="53"/>
      <c r="F88" s="53"/>
      <c r="G88" s="53"/>
      <c r="H88" s="53"/>
      <c r="I88" s="53"/>
      <c r="J88" s="53"/>
      <c r="K88" s="53"/>
      <c r="L88" s="54">
        <f t="shared" si="1"/>
        <v>5</v>
      </c>
    </row>
    <row r="89" spans="1:12" ht="15.75" customHeight="1">
      <c r="A89" s="180">
        <v>80</v>
      </c>
      <c r="B89" s="157">
        <v>22212</v>
      </c>
      <c r="C89" s="158" t="s">
        <v>186</v>
      </c>
      <c r="D89" s="71">
        <v>2</v>
      </c>
      <c r="E89" s="53"/>
      <c r="F89" s="53"/>
      <c r="G89" s="53"/>
      <c r="H89" s="53"/>
      <c r="I89" s="53"/>
      <c r="J89" s="53"/>
      <c r="K89" s="53"/>
      <c r="L89" s="54">
        <f t="shared" si="1"/>
        <v>2</v>
      </c>
    </row>
    <row r="90" spans="1:12" ht="15.75" customHeight="1">
      <c r="A90" s="180">
        <v>81</v>
      </c>
      <c r="B90" s="157">
        <v>22213</v>
      </c>
      <c r="C90" s="158" t="s">
        <v>187</v>
      </c>
      <c r="D90" s="71">
        <v>5</v>
      </c>
      <c r="E90" s="53"/>
      <c r="F90" s="53"/>
      <c r="G90" s="53"/>
      <c r="H90" s="53"/>
      <c r="I90" s="53"/>
      <c r="J90" s="53"/>
      <c r="K90" s="53"/>
      <c r="L90" s="54">
        <f t="shared" si="1"/>
        <v>5</v>
      </c>
    </row>
    <row r="91" spans="1:12" ht="15.75" customHeight="1">
      <c r="A91" s="180">
        <v>82</v>
      </c>
      <c r="B91" s="157">
        <v>22214</v>
      </c>
      <c r="C91" s="158" t="s">
        <v>188</v>
      </c>
      <c r="D91" s="71">
        <v>5</v>
      </c>
      <c r="E91" s="71"/>
      <c r="F91" s="71"/>
      <c r="G91" s="71"/>
      <c r="H91" s="71"/>
      <c r="I91" s="71"/>
      <c r="J91" s="71"/>
      <c r="K91" s="71"/>
      <c r="L91" s="54">
        <f t="shared" si="1"/>
        <v>5</v>
      </c>
    </row>
    <row r="92" spans="1:12" ht="15.75" customHeight="1">
      <c r="A92" s="180">
        <v>83</v>
      </c>
      <c r="B92" s="157">
        <v>22215</v>
      </c>
      <c r="C92" s="158" t="s">
        <v>189</v>
      </c>
      <c r="D92" s="71">
        <v>4</v>
      </c>
      <c r="E92" s="53"/>
      <c r="F92" s="53"/>
      <c r="G92" s="53"/>
      <c r="H92" s="53"/>
      <c r="I92" s="53"/>
      <c r="J92" s="53"/>
      <c r="K92" s="53"/>
      <c r="L92" s="54">
        <f t="shared" si="1"/>
        <v>4</v>
      </c>
    </row>
    <row r="93" spans="1:12" ht="15.75" customHeight="1">
      <c r="A93" s="180">
        <v>84</v>
      </c>
      <c r="B93" s="157">
        <v>22216</v>
      </c>
      <c r="C93" s="158" t="s">
        <v>190</v>
      </c>
      <c r="D93" s="71">
        <v>5</v>
      </c>
      <c r="E93" s="53"/>
      <c r="F93" s="53"/>
      <c r="G93" s="53"/>
      <c r="H93" s="53"/>
      <c r="I93" s="53"/>
      <c r="J93" s="53"/>
      <c r="K93" s="53"/>
      <c r="L93" s="54">
        <f t="shared" si="1"/>
        <v>5</v>
      </c>
    </row>
    <row r="94" spans="1:12" ht="15.75" customHeight="1">
      <c r="A94" s="180">
        <v>85</v>
      </c>
      <c r="B94" s="157">
        <v>22217</v>
      </c>
      <c r="C94" s="158" t="s">
        <v>191</v>
      </c>
      <c r="D94" s="71">
        <v>4</v>
      </c>
      <c r="E94" s="53"/>
      <c r="F94" s="53"/>
      <c r="G94" s="53"/>
      <c r="H94" s="53"/>
      <c r="I94" s="53"/>
      <c r="J94" s="53"/>
      <c r="K94" s="53"/>
      <c r="L94" s="54">
        <f t="shared" si="1"/>
        <v>4</v>
      </c>
    </row>
    <row r="95" spans="1:12" ht="15.75" customHeight="1">
      <c r="A95" s="180">
        <v>86</v>
      </c>
      <c r="B95" s="157">
        <v>22218</v>
      </c>
      <c r="C95" s="158" t="s">
        <v>192</v>
      </c>
      <c r="D95" s="71">
        <v>4</v>
      </c>
      <c r="E95" s="53"/>
      <c r="F95" s="53"/>
      <c r="G95" s="53"/>
      <c r="H95" s="53"/>
      <c r="I95" s="53"/>
      <c r="J95" s="53"/>
      <c r="K95" s="53"/>
      <c r="L95" s="54">
        <f t="shared" si="1"/>
        <v>4</v>
      </c>
    </row>
    <row r="96" spans="1:12" ht="15.75" customHeight="1">
      <c r="A96" s="180">
        <v>87</v>
      </c>
      <c r="B96" s="157">
        <v>22219</v>
      </c>
      <c r="C96" s="158" t="s">
        <v>193</v>
      </c>
      <c r="D96" s="71">
        <v>3</v>
      </c>
      <c r="E96" s="53"/>
      <c r="F96" s="53"/>
      <c r="G96" s="53"/>
      <c r="H96" s="53"/>
      <c r="I96" s="53"/>
      <c r="J96" s="53"/>
      <c r="K96" s="53"/>
      <c r="L96" s="54">
        <f t="shared" si="1"/>
        <v>3</v>
      </c>
    </row>
    <row r="97" spans="1:12" ht="15.75" customHeight="1">
      <c r="A97" s="180">
        <v>88</v>
      </c>
      <c r="B97" s="157">
        <v>22220</v>
      </c>
      <c r="C97" s="158" t="s">
        <v>194</v>
      </c>
      <c r="D97" s="71">
        <v>4</v>
      </c>
      <c r="E97" s="53"/>
      <c r="F97" s="53"/>
      <c r="G97" s="53"/>
      <c r="H97" s="53"/>
      <c r="I97" s="53"/>
      <c r="J97" s="53"/>
      <c r="K97" s="53"/>
      <c r="L97" s="54">
        <f t="shared" si="1"/>
        <v>4</v>
      </c>
    </row>
    <row r="98" spans="1:12" ht="15.75" customHeight="1">
      <c r="A98" s="180">
        <v>89</v>
      </c>
      <c r="B98" s="157">
        <v>22221</v>
      </c>
      <c r="C98" s="158" t="s">
        <v>195</v>
      </c>
      <c r="D98" s="71">
        <v>4</v>
      </c>
      <c r="E98" s="53"/>
      <c r="F98" s="53"/>
      <c r="G98" s="53"/>
      <c r="H98" s="53"/>
      <c r="I98" s="53"/>
      <c r="J98" s="53"/>
      <c r="K98" s="53"/>
      <c r="L98" s="54">
        <f t="shared" si="1"/>
        <v>4</v>
      </c>
    </row>
    <row r="99" spans="1:12" ht="15.75" customHeight="1">
      <c r="A99" s="180">
        <v>90</v>
      </c>
      <c r="B99" s="157">
        <v>22222</v>
      </c>
      <c r="C99" s="158" t="s">
        <v>196</v>
      </c>
      <c r="D99" s="71">
        <v>3</v>
      </c>
      <c r="E99" s="53"/>
      <c r="F99" s="53"/>
      <c r="G99" s="53"/>
      <c r="H99" s="53"/>
      <c r="I99" s="53"/>
      <c r="J99" s="53"/>
      <c r="K99" s="53"/>
      <c r="L99" s="54">
        <f t="shared" si="1"/>
        <v>3</v>
      </c>
    </row>
    <row r="100" spans="1:12" ht="15.75" customHeight="1">
      <c r="A100" s="180">
        <v>91</v>
      </c>
      <c r="B100" s="157">
        <v>22223</v>
      </c>
      <c r="C100" s="158" t="s">
        <v>197</v>
      </c>
      <c r="D100" s="71">
        <v>4</v>
      </c>
      <c r="E100" s="53"/>
      <c r="F100" s="53"/>
      <c r="G100" s="53"/>
      <c r="H100" s="53"/>
      <c r="I100" s="53"/>
      <c r="J100" s="53"/>
      <c r="K100" s="53"/>
      <c r="L100" s="54">
        <f t="shared" si="1"/>
        <v>4</v>
      </c>
    </row>
    <row r="101" spans="1:12" ht="15.75" customHeight="1">
      <c r="A101" s="180">
        <v>92</v>
      </c>
      <c r="B101" s="157">
        <v>22224</v>
      </c>
      <c r="C101" s="158" t="s">
        <v>198</v>
      </c>
      <c r="D101" s="71">
        <v>4</v>
      </c>
      <c r="E101" s="53"/>
      <c r="F101" s="53"/>
      <c r="G101" s="53"/>
      <c r="H101" s="53"/>
      <c r="I101" s="53"/>
      <c r="J101" s="53"/>
      <c r="K101" s="53"/>
      <c r="L101" s="54">
        <f t="shared" si="1"/>
        <v>4</v>
      </c>
    </row>
    <row r="102" spans="1:12" ht="15.75" customHeight="1">
      <c r="A102" s="180">
        <v>93</v>
      </c>
      <c r="B102" s="157">
        <v>22225</v>
      </c>
      <c r="C102" s="158" t="s">
        <v>199</v>
      </c>
      <c r="D102" s="71">
        <v>4</v>
      </c>
      <c r="E102" s="53"/>
      <c r="F102" s="53"/>
      <c r="G102" s="53"/>
      <c r="H102" s="53"/>
      <c r="I102" s="53"/>
      <c r="J102" s="53"/>
      <c r="K102" s="53"/>
      <c r="L102" s="54">
        <f t="shared" si="1"/>
        <v>4</v>
      </c>
    </row>
    <row r="103" spans="1:12" ht="15.75" customHeight="1">
      <c r="A103" s="180">
        <v>94</v>
      </c>
      <c r="B103" s="157">
        <v>22226</v>
      </c>
      <c r="C103" s="158" t="s">
        <v>200</v>
      </c>
      <c r="D103" s="71">
        <v>4</v>
      </c>
      <c r="E103" s="53"/>
      <c r="F103" s="53"/>
      <c r="G103" s="53"/>
      <c r="H103" s="53"/>
      <c r="I103" s="53"/>
      <c r="J103" s="53"/>
      <c r="K103" s="53"/>
      <c r="L103" s="54">
        <f t="shared" si="1"/>
        <v>4</v>
      </c>
    </row>
    <row r="104" spans="1:12" ht="15.75" customHeight="1">
      <c r="A104" s="180">
        <v>95</v>
      </c>
      <c r="B104" s="157">
        <v>22227</v>
      </c>
      <c r="C104" s="158" t="s">
        <v>201</v>
      </c>
      <c r="D104" s="71">
        <v>4</v>
      </c>
      <c r="E104" s="53"/>
      <c r="F104" s="53"/>
      <c r="G104" s="53"/>
      <c r="H104" s="53"/>
      <c r="I104" s="53"/>
      <c r="J104" s="53"/>
      <c r="K104" s="53"/>
      <c r="L104" s="54">
        <f t="shared" si="1"/>
        <v>4</v>
      </c>
    </row>
    <row r="105" spans="1:12" ht="15.75" customHeight="1">
      <c r="A105" s="180">
        <v>96</v>
      </c>
      <c r="B105" s="157">
        <v>22228</v>
      </c>
      <c r="C105" s="158" t="s">
        <v>202</v>
      </c>
      <c r="D105" s="71">
        <v>4</v>
      </c>
      <c r="E105" s="71"/>
      <c r="F105" s="71"/>
      <c r="G105" s="71"/>
      <c r="H105" s="71"/>
      <c r="I105" s="71"/>
      <c r="J105" s="71"/>
      <c r="K105" s="71"/>
      <c r="L105" s="54">
        <f t="shared" si="1"/>
        <v>4</v>
      </c>
    </row>
    <row r="106" spans="1:12" ht="15.75" customHeight="1">
      <c r="A106" s="180">
        <v>97</v>
      </c>
      <c r="B106" s="157">
        <v>22229</v>
      </c>
      <c r="C106" s="158" t="s">
        <v>203</v>
      </c>
      <c r="D106" s="71">
        <v>4</v>
      </c>
      <c r="E106" s="53"/>
      <c r="F106" s="53"/>
      <c r="G106" s="53"/>
      <c r="H106" s="53"/>
      <c r="I106" s="53"/>
      <c r="J106" s="53"/>
      <c r="K106" s="53"/>
      <c r="L106" s="54">
        <f t="shared" si="1"/>
        <v>4</v>
      </c>
    </row>
    <row r="107" spans="1:12" ht="15.75" customHeight="1">
      <c r="A107" s="180">
        <v>98</v>
      </c>
      <c r="B107" s="157">
        <v>22230</v>
      </c>
      <c r="C107" s="158" t="s">
        <v>204</v>
      </c>
      <c r="D107" s="53">
        <v>5</v>
      </c>
      <c r="E107" s="53"/>
      <c r="F107" s="53"/>
      <c r="G107" s="53"/>
      <c r="H107" s="53"/>
      <c r="I107" s="53"/>
      <c r="J107" s="53"/>
      <c r="K107" s="53"/>
      <c r="L107" s="54">
        <f t="shared" si="1"/>
        <v>5</v>
      </c>
    </row>
    <row r="108" spans="1:12" ht="15.75" customHeight="1">
      <c r="A108" s="180">
        <v>99</v>
      </c>
      <c r="B108" s="157">
        <v>22231</v>
      </c>
      <c r="C108" s="158" t="s">
        <v>205</v>
      </c>
      <c r="D108" s="53">
        <v>4</v>
      </c>
      <c r="E108" s="53"/>
      <c r="F108" s="53"/>
      <c r="G108" s="53"/>
      <c r="H108" s="53"/>
      <c r="I108" s="53"/>
      <c r="J108" s="53"/>
      <c r="K108" s="53"/>
      <c r="L108" s="54">
        <f t="shared" si="1"/>
        <v>4</v>
      </c>
    </row>
    <row r="109" spans="1:12" ht="15.75" customHeight="1">
      <c r="A109" s="180">
        <v>100</v>
      </c>
      <c r="B109" s="157">
        <v>22232</v>
      </c>
      <c r="C109" s="158" t="s">
        <v>206</v>
      </c>
      <c r="D109" s="53">
        <v>5</v>
      </c>
      <c r="E109" s="53"/>
      <c r="F109" s="53"/>
      <c r="G109" s="53"/>
      <c r="H109" s="53"/>
      <c r="I109" s="53"/>
      <c r="J109" s="53"/>
      <c r="K109" s="53"/>
      <c r="L109" s="54">
        <f t="shared" si="1"/>
        <v>5</v>
      </c>
    </row>
    <row r="110" spans="1:12" ht="15.75" customHeight="1">
      <c r="A110" s="180">
        <v>101</v>
      </c>
      <c r="B110" s="157">
        <v>22233</v>
      </c>
      <c r="C110" s="158" t="s">
        <v>207</v>
      </c>
      <c r="D110" s="71">
        <v>5</v>
      </c>
      <c r="E110" s="71"/>
      <c r="F110" s="71"/>
      <c r="G110" s="71"/>
      <c r="H110" s="71"/>
      <c r="I110" s="53"/>
      <c r="J110" s="53"/>
      <c r="K110" s="53"/>
      <c r="L110" s="54">
        <f t="shared" si="1"/>
        <v>5</v>
      </c>
    </row>
    <row r="111" spans="1:12" ht="15.75" customHeight="1">
      <c r="A111" s="180">
        <v>102</v>
      </c>
      <c r="B111" s="157">
        <v>22234</v>
      </c>
      <c r="C111" s="158" t="s">
        <v>208</v>
      </c>
      <c r="D111" s="71">
        <v>4</v>
      </c>
      <c r="E111" s="53"/>
      <c r="F111" s="53"/>
      <c r="G111" s="53"/>
      <c r="H111" s="53"/>
      <c r="I111" s="53"/>
      <c r="J111" s="53"/>
      <c r="K111" s="53"/>
      <c r="L111" s="54">
        <f t="shared" si="1"/>
        <v>4</v>
      </c>
    </row>
    <row r="112" spans="1:12" ht="15.75" customHeight="1">
      <c r="A112" s="180">
        <v>103</v>
      </c>
      <c r="B112" s="157">
        <v>22235</v>
      </c>
      <c r="C112" s="158" t="s">
        <v>209</v>
      </c>
      <c r="D112" s="71">
        <v>5</v>
      </c>
      <c r="E112" s="53"/>
      <c r="F112" s="53"/>
      <c r="G112" s="53"/>
      <c r="H112" s="53"/>
      <c r="I112" s="53"/>
      <c r="J112" s="53"/>
      <c r="K112" s="53"/>
      <c r="L112" s="54">
        <f t="shared" si="1"/>
        <v>5</v>
      </c>
    </row>
    <row r="113" spans="1:22" ht="15.75" customHeight="1">
      <c r="A113" s="180">
        <v>104</v>
      </c>
      <c r="B113" s="157">
        <v>22236</v>
      </c>
      <c r="C113" s="158" t="s">
        <v>210</v>
      </c>
      <c r="D113" s="71">
        <v>4</v>
      </c>
      <c r="E113" s="53"/>
      <c r="F113" s="53"/>
      <c r="G113" s="53"/>
      <c r="H113" s="53"/>
      <c r="I113" s="53"/>
      <c r="J113" s="53"/>
      <c r="K113" s="53"/>
      <c r="L113" s="54">
        <f t="shared" si="1"/>
        <v>4</v>
      </c>
    </row>
    <row r="114" spans="1:22" ht="15.75" customHeight="1">
      <c r="A114" s="180">
        <v>105</v>
      </c>
      <c r="B114" s="157">
        <v>22237</v>
      </c>
      <c r="C114" s="158" t="s">
        <v>211</v>
      </c>
      <c r="D114" s="71">
        <v>4</v>
      </c>
      <c r="E114" s="53"/>
      <c r="F114" s="53"/>
      <c r="G114" s="53"/>
      <c r="H114" s="53"/>
      <c r="I114" s="53"/>
      <c r="J114" s="53"/>
      <c r="K114" s="53"/>
      <c r="L114" s="54">
        <f t="shared" si="1"/>
        <v>4</v>
      </c>
    </row>
    <row r="115" spans="1:22" ht="15.75" customHeight="1">
      <c r="A115" s="180">
        <v>106</v>
      </c>
      <c r="B115" s="157">
        <v>22238</v>
      </c>
      <c r="C115" s="158" t="s">
        <v>212</v>
      </c>
      <c r="D115" s="71">
        <v>3</v>
      </c>
      <c r="E115" s="53"/>
      <c r="F115" s="53"/>
      <c r="G115" s="53"/>
      <c r="H115" s="53"/>
      <c r="I115" s="53"/>
      <c r="J115" s="53"/>
      <c r="K115" s="53"/>
      <c r="L115" s="54">
        <f t="shared" si="1"/>
        <v>3</v>
      </c>
    </row>
    <row r="116" spans="1:22" ht="15.75" customHeight="1">
      <c r="A116" s="180">
        <v>107</v>
      </c>
      <c r="B116" s="157">
        <v>22239</v>
      </c>
      <c r="C116" s="158" t="s">
        <v>213</v>
      </c>
      <c r="D116" s="71">
        <v>4</v>
      </c>
      <c r="E116" s="53"/>
      <c r="F116" s="53"/>
      <c r="G116" s="53"/>
      <c r="H116" s="53"/>
      <c r="I116" s="53"/>
      <c r="J116" s="53"/>
      <c r="K116" s="53"/>
      <c r="L116" s="54">
        <f t="shared" si="1"/>
        <v>4</v>
      </c>
    </row>
    <row r="117" spans="1:22" ht="15.75" customHeight="1">
      <c r="A117" s="180">
        <v>108</v>
      </c>
      <c r="B117" s="157">
        <v>22240</v>
      </c>
      <c r="C117" s="158" t="s">
        <v>214</v>
      </c>
      <c r="D117" s="71">
        <v>4</v>
      </c>
      <c r="E117" s="53"/>
      <c r="F117" s="53"/>
      <c r="G117" s="53"/>
      <c r="H117" s="53"/>
      <c r="I117" s="53"/>
      <c r="J117" s="53"/>
      <c r="K117" s="53"/>
      <c r="L117" s="54">
        <f t="shared" si="1"/>
        <v>4</v>
      </c>
    </row>
    <row r="118" spans="1:22" ht="15.75" customHeight="1">
      <c r="A118" s="4"/>
      <c r="C118" s="72" t="s">
        <v>22</v>
      </c>
      <c r="D118" s="73">
        <f>AVERAGE(D10:D117)</f>
        <v>4.1944444444444446</v>
      </c>
      <c r="E118" s="73"/>
      <c r="F118" s="73"/>
      <c r="G118" s="73"/>
      <c r="H118" s="73"/>
      <c r="I118" s="73"/>
      <c r="J118" s="73"/>
      <c r="K118" s="73"/>
      <c r="L118" s="73">
        <f t="shared" ref="L118" si="2">AVERAGE(L10:L117)</f>
        <v>4.1944444444444446</v>
      </c>
    </row>
    <row r="119" spans="1:22" ht="15.75" customHeight="1">
      <c r="A119" s="4"/>
      <c r="C119" s="74" t="s">
        <v>55</v>
      </c>
      <c r="D119" s="75">
        <f>D118/5*100</f>
        <v>83.888888888888886</v>
      </c>
      <c r="E119" s="75"/>
      <c r="F119" s="75"/>
      <c r="G119" s="75"/>
      <c r="H119" s="75"/>
      <c r="I119" s="75"/>
      <c r="J119" s="75"/>
      <c r="K119" s="75"/>
      <c r="L119" s="75">
        <f>L118/25*100</f>
        <v>16.777777777777779</v>
      </c>
    </row>
    <row r="120" spans="1:22" ht="15.75" customHeight="1">
      <c r="A120" s="4"/>
      <c r="C120" s="5"/>
      <c r="M120" s="385" t="s">
        <v>68</v>
      </c>
      <c r="N120" s="385"/>
    </row>
    <row r="121" spans="1:22" ht="15.75" customHeight="1">
      <c r="A121" s="4" t="s">
        <v>13</v>
      </c>
      <c r="C121" s="5">
        <f>COUNT(A10:A117)</f>
        <v>108</v>
      </c>
      <c r="M121" s="385"/>
      <c r="N121" s="385"/>
    </row>
    <row r="122" spans="1:22" ht="15.75" customHeight="1">
      <c r="A122" s="4"/>
      <c r="C122" s="5"/>
      <c r="M122" s="385"/>
      <c r="N122" s="385"/>
      <c r="O122"/>
      <c r="P122" s="77"/>
      <c r="Q122"/>
      <c r="R122"/>
      <c r="S122"/>
      <c r="T122" s="78"/>
      <c r="U122" s="78"/>
      <c r="V122" s="78"/>
    </row>
    <row r="123" spans="1:22" ht="15.75" customHeight="1">
      <c r="M123" s="385"/>
      <c r="N123" s="385"/>
      <c r="O123"/>
      <c r="P123" s="77"/>
      <c r="Q123"/>
      <c r="R123"/>
      <c r="S123"/>
      <c r="T123"/>
      <c r="U123"/>
      <c r="V123"/>
    </row>
    <row r="124" spans="1:22" ht="15.75" customHeight="1">
      <c r="M124" s="385"/>
      <c r="N124" s="385"/>
      <c r="O124"/>
      <c r="P124" s="77"/>
      <c r="Q124"/>
      <c r="R124"/>
      <c r="S124"/>
      <c r="U124"/>
      <c r="V124"/>
    </row>
    <row r="125" spans="1:22" ht="15.75" customHeight="1">
      <c r="M125" s="385"/>
      <c r="N125" s="385"/>
      <c r="O125"/>
      <c r="P125" s="77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85"/>
      <c r="N126" s="385"/>
      <c r="O126"/>
      <c r="P126" s="77"/>
      <c r="Q126"/>
      <c r="R126"/>
      <c r="S126"/>
      <c r="T126"/>
      <c r="U126"/>
      <c r="V126"/>
    </row>
    <row r="127" spans="1:22" s="34" customFormat="1">
      <c r="A127" s="1"/>
      <c r="B127" s="298" t="str">
        <f>[1]SubjectDetails!$A$24</f>
        <v>Dr. Ravi Chourasiya</v>
      </c>
      <c r="C127" s="298"/>
      <c r="D127" s="298" t="str">
        <f>[1]SubjectDetails!$E$24</f>
        <v>Dr. Ashwini Chavan</v>
      </c>
      <c r="E127" s="298"/>
      <c r="F127" s="298"/>
      <c r="G127" s="298"/>
      <c r="H127" s="1"/>
      <c r="I127" s="1"/>
      <c r="J127" s="298" t="str">
        <f>[1]SubjectDetails!$H$24</f>
        <v>Dr. Priyanka Singh</v>
      </c>
      <c r="K127" s="298"/>
      <c r="L127" s="298"/>
      <c r="M127" s="1"/>
    </row>
    <row r="128" spans="1:22" s="34" customFormat="1">
      <c r="A128" s="80"/>
      <c r="B128" s="249" t="str">
        <f>[1]SubjectDetails!$A$25</f>
        <v>(College Examination Officer)</v>
      </c>
      <c r="C128" s="249"/>
      <c r="D128" s="217" t="str">
        <f>[1]SubjectDetails!$E$25</f>
        <v>HOD (MCA)</v>
      </c>
      <c r="E128" s="217"/>
      <c r="F128" s="217"/>
      <c r="G128" s="217"/>
      <c r="H128" s="182"/>
      <c r="I128" s="249" t="str">
        <f>[1]SubjectDetails!$H$25</f>
        <v>Director</v>
      </c>
      <c r="J128" s="249"/>
      <c r="K128" s="249"/>
      <c r="L128" s="249"/>
      <c r="M128" s="1"/>
    </row>
    <row r="129" spans="1:22" ht="15.75" customHeight="1">
      <c r="A129" s="80"/>
      <c r="B129" s="80"/>
      <c r="C129" s="178"/>
      <c r="D129" s="178"/>
      <c r="E129" s="178"/>
      <c r="F129" s="178"/>
      <c r="G129" s="1"/>
      <c r="I129" s="249"/>
      <c r="J129" s="249"/>
      <c r="K129" s="80"/>
      <c r="L129" s="179"/>
      <c r="M129" s="80"/>
      <c r="N129" s="78"/>
      <c r="O129"/>
      <c r="P129" s="77"/>
      <c r="Q129" s="79"/>
      <c r="R129" s="79"/>
      <c r="S129" s="79"/>
      <c r="T129" s="78"/>
      <c r="U129" s="78"/>
      <c r="V129" s="78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217"/>
      <c r="B131" s="217"/>
      <c r="C131" s="217"/>
      <c r="D131" s="249"/>
      <c r="E131" s="249"/>
      <c r="F131" s="249"/>
      <c r="G131" s="249"/>
      <c r="H131" s="218"/>
      <c r="I131" s="218"/>
      <c r="J131" s="218"/>
      <c r="K131" s="218"/>
      <c r="L131" s="47"/>
      <c r="M131" s="1"/>
    </row>
    <row r="132" spans="1:22" ht="15.75" customHeight="1">
      <c r="A132" s="375"/>
      <c r="B132" s="375"/>
      <c r="C132" s="375"/>
      <c r="D132" s="376"/>
      <c r="E132" s="376"/>
      <c r="F132" s="376"/>
      <c r="G132" s="376"/>
      <c r="H132" s="378"/>
      <c r="I132" s="378"/>
      <c r="J132" s="378"/>
      <c r="K132" s="78"/>
      <c r="L132" s="47"/>
    </row>
    <row r="133" spans="1:22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/>
    </row>
  </sheetData>
  <mergeCells count="26">
    <mergeCell ref="M120:N126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  <mergeCell ref="B127:C127"/>
    <mergeCell ref="D127:G127"/>
    <mergeCell ref="J127:L127"/>
    <mergeCell ref="B128:C128"/>
    <mergeCell ref="D128:G128"/>
    <mergeCell ref="I128:L128"/>
    <mergeCell ref="I129:J129"/>
    <mergeCell ref="A131:C131"/>
    <mergeCell ref="D131:G131"/>
    <mergeCell ref="H131:K131"/>
    <mergeCell ref="A132:C132"/>
    <mergeCell ref="D132:G132"/>
    <mergeCell ref="H132:J132"/>
  </mergeCells>
  <hyperlinks>
    <hyperlink ref="M120:N126" r:id="rId1" display="Overall  Semester wise  Attainme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Sheet1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2026-01-15T09:55:18Z</cp:lastPrinted>
  <dcterms:created xsi:type="dcterms:W3CDTF">2024-11-30T04:33:13Z</dcterms:created>
  <dcterms:modified xsi:type="dcterms:W3CDTF">2026-02-26T05:20:42Z</dcterms:modified>
</cp:coreProperties>
</file>