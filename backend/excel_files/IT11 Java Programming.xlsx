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shweta DYPIMED\A.Y. 2025-26\Session I\NBA\New Supportive -1-26\final PO attainments\2023-25\SEM I\"/>
    </mc:Choice>
  </mc:AlternateContent>
  <bookViews>
    <workbookView xWindow="0" yWindow="0" windowWidth="20490" windowHeight="7650" tabRatio="853" firstSheet="2" activeTab="10"/>
  </bookViews>
  <sheets>
    <sheet name="SubjectDetails" sheetId="25" r:id="rId1"/>
    <sheet name="Rubrics" sheetId="31" r:id="rId2"/>
    <sheet name="CO Mapping PO " sheetId="21" r:id="rId3"/>
    <sheet name="CCE1" sheetId="15" r:id="rId4"/>
    <sheet name="CCE2" sheetId="18" r:id="rId5"/>
    <sheet name="CCE3" sheetId="28" r:id="rId6"/>
    <sheet name="CCE" sheetId="19" r:id="rId7"/>
    <sheet name="CO Int. Attn" sheetId="24" r:id="rId8"/>
    <sheet name="CO Ext. Attn" sheetId="26" r:id="rId9"/>
    <sheet name="OverallCO Attainment" sheetId="20" r:id="rId10"/>
    <sheet name="CO PO Attainment" sheetId="23" r:id="rId11"/>
    <sheet name="Course Exit" sheetId="32" r:id="rId12"/>
    <sheet name="In Direct" sheetId="29" r:id="rId13"/>
  </sheets>
  <definedNames>
    <definedName name="_xlnm._FilterDatabase" localSheetId="5" hidden="1">'CCE3'!$A$72:$N$118</definedName>
    <definedName name="_xlnm._FilterDatabase" localSheetId="8" hidden="1">'CO Ext. Attn'!$A$14:$P$120</definedName>
    <definedName name="_xlnm._FilterDatabase" localSheetId="7" hidden="1">'CO Int. Attn'!$A$90:$U$121</definedName>
    <definedName name="Class">SubjectDetails!$B$10</definedName>
    <definedName name="Class_AY">SubjectDetails!$B$10</definedName>
    <definedName name="Designation">SubjectDetails!$B$7</definedName>
    <definedName name="dir_wt">SubjectDetails!$B$17</definedName>
    <definedName name="ext_wt">SubjectDetails!$B$15</definedName>
    <definedName name="Faculty">SubjectDetails!$B$6</definedName>
    <definedName name="ind_wt">SubjectDetails!$B$18</definedName>
    <definedName name="int_wt">SubjectDetails!$B$14</definedName>
    <definedName name="spl">SubjectDetails!$B$11</definedName>
    <definedName name="Sub_Code">SubjectDetails!$B$8</definedName>
    <definedName name="Target">60%</definedName>
    <definedName name="Type">SubjectDetails!$B$9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8" l="1"/>
  <c r="D14" i="20" l="1"/>
  <c r="E14" i="20"/>
  <c r="F14" i="20"/>
  <c r="G14" i="20"/>
  <c r="E104" i="32"/>
  <c r="E105" i="32" s="1"/>
  <c r="F104" i="32"/>
  <c r="F105" i="32" s="1"/>
  <c r="G104" i="32"/>
  <c r="G105" i="32" s="1"/>
  <c r="H104" i="32"/>
  <c r="H105" i="32"/>
  <c r="D104" i="32"/>
  <c r="H103" i="32"/>
  <c r="G103" i="32"/>
  <c r="F103" i="32"/>
  <c r="E103" i="32"/>
  <c r="D103" i="32"/>
  <c r="H102" i="32"/>
  <c r="G102" i="32"/>
  <c r="F102" i="32"/>
  <c r="E102" i="32"/>
  <c r="D102" i="32"/>
  <c r="H101" i="32"/>
  <c r="G101" i="32"/>
  <c r="F101" i="32"/>
  <c r="E101" i="32"/>
  <c r="D101" i="32"/>
  <c r="H100" i="32"/>
  <c r="G100" i="32"/>
  <c r="F100" i="32"/>
  <c r="E100" i="32"/>
  <c r="D100" i="32"/>
  <c r="H99" i="32"/>
  <c r="G99" i="32"/>
  <c r="F99" i="32"/>
  <c r="E99" i="32"/>
  <c r="D99" i="32"/>
  <c r="C12" i="20"/>
  <c r="D127" i="26"/>
  <c r="D126" i="26"/>
  <c r="D125" i="26"/>
  <c r="D124" i="26"/>
  <c r="D123" i="26"/>
  <c r="D122" i="26"/>
  <c r="C125" i="26"/>
  <c r="C124" i="26"/>
  <c r="C123" i="26"/>
  <c r="H128" i="28"/>
  <c r="G128" i="28"/>
  <c r="F128" i="28"/>
  <c r="E128" i="28"/>
  <c r="D128" i="28"/>
  <c r="H127" i="28"/>
  <c r="G127" i="28"/>
  <c r="F127" i="28"/>
  <c r="E127" i="28"/>
  <c r="D127" i="28"/>
  <c r="H126" i="28"/>
  <c r="G126" i="28"/>
  <c r="F126" i="28"/>
  <c r="E126" i="28"/>
  <c r="D126" i="28"/>
  <c r="H125" i="28"/>
  <c r="G125" i="28"/>
  <c r="F125" i="28"/>
  <c r="E125" i="28"/>
  <c r="D125" i="28"/>
  <c r="H124" i="28"/>
  <c r="G124" i="28"/>
  <c r="F124" i="28"/>
  <c r="E124" i="28"/>
  <c r="D124" i="28"/>
  <c r="H123" i="28"/>
  <c r="G123" i="28"/>
  <c r="F123" i="28"/>
  <c r="E123" i="28"/>
  <c r="D123" i="28"/>
  <c r="H122" i="28"/>
  <c r="G122" i="28"/>
  <c r="F122" i="28"/>
  <c r="E122" i="28"/>
  <c r="D122" i="28"/>
  <c r="C126" i="28"/>
  <c r="C125" i="28"/>
  <c r="C124" i="28"/>
  <c r="E122" i="18"/>
  <c r="F122" i="18"/>
  <c r="G122" i="18"/>
  <c r="H122" i="18"/>
  <c r="E123" i="18"/>
  <c r="F123" i="18"/>
  <c r="G123" i="18"/>
  <c r="H123" i="18"/>
  <c r="E124" i="18"/>
  <c r="F124" i="18"/>
  <c r="G124" i="18"/>
  <c r="H124" i="18"/>
  <c r="E125" i="18"/>
  <c r="F125" i="18"/>
  <c r="F129" i="18" s="1"/>
  <c r="F130" i="18" s="1"/>
  <c r="G125" i="18"/>
  <c r="H125" i="18"/>
  <c r="E126" i="18"/>
  <c r="E129" i="18" s="1"/>
  <c r="F126" i="18"/>
  <c r="G126" i="18"/>
  <c r="H126" i="18"/>
  <c r="E127" i="18"/>
  <c r="F127" i="18"/>
  <c r="G127" i="18"/>
  <c r="H127" i="18"/>
  <c r="E128" i="18"/>
  <c r="F128" i="18"/>
  <c r="G128" i="18"/>
  <c r="H128" i="18"/>
  <c r="G129" i="18"/>
  <c r="G130" i="18" s="1"/>
  <c r="D128" i="18"/>
  <c r="D127" i="18"/>
  <c r="D126" i="18"/>
  <c r="C126" i="18"/>
  <c r="D125" i="18"/>
  <c r="C125" i="18"/>
  <c r="D124" i="18"/>
  <c r="C124" i="18"/>
  <c r="D123" i="18"/>
  <c r="D122" i="18"/>
  <c r="E122" i="15"/>
  <c r="F122" i="15"/>
  <c r="G122" i="15"/>
  <c r="E123" i="15"/>
  <c r="F123" i="15"/>
  <c r="G123" i="15"/>
  <c r="E124" i="15"/>
  <c r="F124" i="15"/>
  <c r="F129" i="15" s="1"/>
  <c r="F130" i="15" s="1"/>
  <c r="G124" i="15"/>
  <c r="E125" i="15"/>
  <c r="F125" i="15"/>
  <c r="G125" i="15"/>
  <c r="E126" i="15"/>
  <c r="F126" i="15"/>
  <c r="G126" i="15"/>
  <c r="E127" i="15"/>
  <c r="F127" i="15"/>
  <c r="G127" i="15"/>
  <c r="E128" i="15"/>
  <c r="F128" i="15"/>
  <c r="G128" i="15"/>
  <c r="E129" i="15"/>
  <c r="G129" i="15"/>
  <c r="G130" i="15" s="1"/>
  <c r="E130" i="15"/>
  <c r="D128" i="15"/>
  <c r="D127" i="15"/>
  <c r="D126" i="15"/>
  <c r="D125" i="15"/>
  <c r="D124" i="15"/>
  <c r="D122" i="15"/>
  <c r="C126" i="15"/>
  <c r="C125" i="15"/>
  <c r="C124" i="15"/>
  <c r="D123" i="15"/>
  <c r="F15" i="24"/>
  <c r="G15" i="24"/>
  <c r="H15" i="24"/>
  <c r="I15" i="24"/>
  <c r="J15" i="24"/>
  <c r="F16" i="24"/>
  <c r="G16" i="24"/>
  <c r="H16" i="24"/>
  <c r="I16" i="24"/>
  <c r="J16" i="24"/>
  <c r="F17" i="24"/>
  <c r="G17" i="24"/>
  <c r="H17" i="24"/>
  <c r="I17" i="24"/>
  <c r="J17" i="24"/>
  <c r="F18" i="24"/>
  <c r="G18" i="24"/>
  <c r="H18" i="24"/>
  <c r="I18" i="24"/>
  <c r="J18" i="24"/>
  <c r="F19" i="24"/>
  <c r="G19" i="24"/>
  <c r="H19" i="24"/>
  <c r="I19" i="24"/>
  <c r="J19" i="24"/>
  <c r="F20" i="24"/>
  <c r="G20" i="24"/>
  <c r="H20" i="24"/>
  <c r="I20" i="24"/>
  <c r="J20" i="24"/>
  <c r="F21" i="24"/>
  <c r="G21" i="24"/>
  <c r="H21" i="24"/>
  <c r="I21" i="24"/>
  <c r="J21" i="24"/>
  <c r="F22" i="24"/>
  <c r="G22" i="24"/>
  <c r="H22" i="24"/>
  <c r="I22" i="24"/>
  <c r="J22" i="24"/>
  <c r="F23" i="24"/>
  <c r="G23" i="24"/>
  <c r="H23" i="24"/>
  <c r="I23" i="24"/>
  <c r="J23" i="24"/>
  <c r="F24" i="24"/>
  <c r="G24" i="24"/>
  <c r="H24" i="24"/>
  <c r="I24" i="24"/>
  <c r="J24" i="24"/>
  <c r="F25" i="24"/>
  <c r="G25" i="24"/>
  <c r="H25" i="24"/>
  <c r="I25" i="24"/>
  <c r="J25" i="24"/>
  <c r="F26" i="24"/>
  <c r="G26" i="24"/>
  <c r="H26" i="24"/>
  <c r="I26" i="24"/>
  <c r="J26" i="24"/>
  <c r="F27" i="24"/>
  <c r="G27" i="24"/>
  <c r="H27" i="24"/>
  <c r="I27" i="24"/>
  <c r="J27" i="24"/>
  <c r="F28" i="24"/>
  <c r="G28" i="24"/>
  <c r="H28" i="24"/>
  <c r="I28" i="24"/>
  <c r="J28" i="24"/>
  <c r="F29" i="24"/>
  <c r="G29" i="24"/>
  <c r="H29" i="24"/>
  <c r="I29" i="24"/>
  <c r="J29" i="24"/>
  <c r="F30" i="24"/>
  <c r="G30" i="24"/>
  <c r="H30" i="24"/>
  <c r="I30" i="24"/>
  <c r="J30" i="24"/>
  <c r="F31" i="24"/>
  <c r="G31" i="24"/>
  <c r="H31" i="24"/>
  <c r="I31" i="24"/>
  <c r="J31" i="24"/>
  <c r="F32" i="24"/>
  <c r="G32" i="24"/>
  <c r="H32" i="24"/>
  <c r="I32" i="24"/>
  <c r="J32" i="24"/>
  <c r="F33" i="24"/>
  <c r="G33" i="24"/>
  <c r="H33" i="24"/>
  <c r="I33" i="24"/>
  <c r="J33" i="24"/>
  <c r="F34" i="24"/>
  <c r="G34" i="24"/>
  <c r="H34" i="24"/>
  <c r="I34" i="24"/>
  <c r="J34" i="24"/>
  <c r="F35" i="24"/>
  <c r="G35" i="24"/>
  <c r="H35" i="24"/>
  <c r="I35" i="24"/>
  <c r="J35" i="24"/>
  <c r="F36" i="24"/>
  <c r="G36" i="24"/>
  <c r="H36" i="24"/>
  <c r="I36" i="24"/>
  <c r="J36" i="24"/>
  <c r="F37" i="24"/>
  <c r="G37" i="24"/>
  <c r="H37" i="24"/>
  <c r="I37" i="24"/>
  <c r="J37" i="24"/>
  <c r="F38" i="24"/>
  <c r="G38" i="24"/>
  <c r="H38" i="24"/>
  <c r="I38" i="24"/>
  <c r="J38" i="24"/>
  <c r="F39" i="24"/>
  <c r="G39" i="24"/>
  <c r="H39" i="24"/>
  <c r="I39" i="24"/>
  <c r="J39" i="24"/>
  <c r="F40" i="24"/>
  <c r="G40" i="24"/>
  <c r="H40" i="24"/>
  <c r="I40" i="24"/>
  <c r="J40" i="24"/>
  <c r="F41" i="24"/>
  <c r="G41" i="24"/>
  <c r="H41" i="24"/>
  <c r="I41" i="24"/>
  <c r="J41" i="24"/>
  <c r="F42" i="24"/>
  <c r="G42" i="24"/>
  <c r="H42" i="24"/>
  <c r="I42" i="24"/>
  <c r="J42" i="24"/>
  <c r="F43" i="24"/>
  <c r="G43" i="24"/>
  <c r="H43" i="24"/>
  <c r="I43" i="24"/>
  <c r="J43" i="24"/>
  <c r="F44" i="24"/>
  <c r="G44" i="24"/>
  <c r="H44" i="24"/>
  <c r="I44" i="24"/>
  <c r="J44" i="24"/>
  <c r="F45" i="24"/>
  <c r="G45" i="24"/>
  <c r="H45" i="24"/>
  <c r="I45" i="24"/>
  <c r="J45" i="24"/>
  <c r="F46" i="24"/>
  <c r="G46" i="24"/>
  <c r="H46" i="24"/>
  <c r="I46" i="24"/>
  <c r="J46" i="24"/>
  <c r="F47" i="24"/>
  <c r="G47" i="24"/>
  <c r="H47" i="24"/>
  <c r="I47" i="24"/>
  <c r="J47" i="24"/>
  <c r="F48" i="24"/>
  <c r="G48" i="24"/>
  <c r="H48" i="24"/>
  <c r="I48" i="24"/>
  <c r="J48" i="24"/>
  <c r="F49" i="24"/>
  <c r="G49" i="24"/>
  <c r="H49" i="24"/>
  <c r="I49" i="24"/>
  <c r="J49" i="24"/>
  <c r="F50" i="24"/>
  <c r="G50" i="24"/>
  <c r="H50" i="24"/>
  <c r="I50" i="24"/>
  <c r="J50" i="24"/>
  <c r="F51" i="24"/>
  <c r="G51" i="24"/>
  <c r="H51" i="24"/>
  <c r="I51" i="24"/>
  <c r="J51" i="24"/>
  <c r="F52" i="24"/>
  <c r="G52" i="24"/>
  <c r="H52" i="24"/>
  <c r="I52" i="24"/>
  <c r="J52" i="24"/>
  <c r="F53" i="24"/>
  <c r="G53" i="24"/>
  <c r="H53" i="24"/>
  <c r="I53" i="24"/>
  <c r="J53" i="24"/>
  <c r="F54" i="24"/>
  <c r="G54" i="24"/>
  <c r="H54" i="24"/>
  <c r="I54" i="24"/>
  <c r="J54" i="24"/>
  <c r="F55" i="24"/>
  <c r="G55" i="24"/>
  <c r="H55" i="24"/>
  <c r="I55" i="24"/>
  <c r="J55" i="24"/>
  <c r="F56" i="24"/>
  <c r="G56" i="24"/>
  <c r="H56" i="24"/>
  <c r="I56" i="24"/>
  <c r="J56" i="24"/>
  <c r="F57" i="24"/>
  <c r="G57" i="24"/>
  <c r="H57" i="24"/>
  <c r="I57" i="24"/>
  <c r="J57" i="24"/>
  <c r="F58" i="24"/>
  <c r="G58" i="24"/>
  <c r="H58" i="24"/>
  <c r="I58" i="24"/>
  <c r="J58" i="24"/>
  <c r="F59" i="24"/>
  <c r="G59" i="24"/>
  <c r="H59" i="24"/>
  <c r="I59" i="24"/>
  <c r="J59" i="24"/>
  <c r="F60" i="24"/>
  <c r="G60" i="24"/>
  <c r="H60" i="24"/>
  <c r="I60" i="24"/>
  <c r="J60" i="24"/>
  <c r="F61" i="24"/>
  <c r="G61" i="24"/>
  <c r="H61" i="24"/>
  <c r="I61" i="24"/>
  <c r="J61" i="24"/>
  <c r="F62" i="24"/>
  <c r="G62" i="24"/>
  <c r="H62" i="24"/>
  <c r="I62" i="24"/>
  <c r="J62" i="24"/>
  <c r="F63" i="24"/>
  <c r="G63" i="24"/>
  <c r="H63" i="24"/>
  <c r="I63" i="24"/>
  <c r="J63" i="24"/>
  <c r="F64" i="24"/>
  <c r="G64" i="24"/>
  <c r="H64" i="24"/>
  <c r="I64" i="24"/>
  <c r="J64" i="24"/>
  <c r="F65" i="24"/>
  <c r="G65" i="24"/>
  <c r="H65" i="24"/>
  <c r="I65" i="24"/>
  <c r="J65" i="24"/>
  <c r="F66" i="24"/>
  <c r="G66" i="24"/>
  <c r="H66" i="24"/>
  <c r="I66" i="24"/>
  <c r="J66" i="24"/>
  <c r="F67" i="24"/>
  <c r="G67" i="24"/>
  <c r="H67" i="24"/>
  <c r="I67" i="24"/>
  <c r="J67" i="24"/>
  <c r="F68" i="24"/>
  <c r="G68" i="24"/>
  <c r="H68" i="24"/>
  <c r="I68" i="24"/>
  <c r="J68" i="24"/>
  <c r="F69" i="24"/>
  <c r="G69" i="24"/>
  <c r="H69" i="24"/>
  <c r="I69" i="24"/>
  <c r="J69" i="24"/>
  <c r="F70" i="24"/>
  <c r="G70" i="24"/>
  <c r="H70" i="24"/>
  <c r="I70" i="24"/>
  <c r="J70" i="24"/>
  <c r="F71" i="24"/>
  <c r="G71" i="24"/>
  <c r="H71" i="24"/>
  <c r="I71" i="24"/>
  <c r="J71" i="24"/>
  <c r="F72" i="24"/>
  <c r="G72" i="24"/>
  <c r="H72" i="24"/>
  <c r="I72" i="24"/>
  <c r="J72" i="24"/>
  <c r="F73" i="24"/>
  <c r="G73" i="24"/>
  <c r="H73" i="24"/>
  <c r="I73" i="24"/>
  <c r="J73" i="24"/>
  <c r="F74" i="24"/>
  <c r="G74" i="24"/>
  <c r="H74" i="24"/>
  <c r="I74" i="24"/>
  <c r="J74" i="24"/>
  <c r="F75" i="24"/>
  <c r="G75" i="24"/>
  <c r="H75" i="24"/>
  <c r="I75" i="24"/>
  <c r="J75" i="24"/>
  <c r="F76" i="24"/>
  <c r="G76" i="24"/>
  <c r="H76" i="24"/>
  <c r="I76" i="24"/>
  <c r="J76" i="24"/>
  <c r="F77" i="24"/>
  <c r="G77" i="24"/>
  <c r="H77" i="24"/>
  <c r="I77" i="24"/>
  <c r="J77" i="24"/>
  <c r="F78" i="24"/>
  <c r="G78" i="24"/>
  <c r="H78" i="24"/>
  <c r="I78" i="24"/>
  <c r="J78" i="24"/>
  <c r="F79" i="24"/>
  <c r="G79" i="24"/>
  <c r="H79" i="24"/>
  <c r="I79" i="24"/>
  <c r="J79" i="24"/>
  <c r="F80" i="24"/>
  <c r="G80" i="24"/>
  <c r="H80" i="24"/>
  <c r="I80" i="24"/>
  <c r="J80" i="24"/>
  <c r="F81" i="24"/>
  <c r="G81" i="24"/>
  <c r="H81" i="24"/>
  <c r="I81" i="24"/>
  <c r="J81" i="24"/>
  <c r="F82" i="24"/>
  <c r="G82" i="24"/>
  <c r="H82" i="24"/>
  <c r="I82" i="24"/>
  <c r="J82" i="24"/>
  <c r="F83" i="24"/>
  <c r="G83" i="24"/>
  <c r="H83" i="24"/>
  <c r="I83" i="24"/>
  <c r="J83" i="24"/>
  <c r="F84" i="24"/>
  <c r="G84" i="24"/>
  <c r="H84" i="24"/>
  <c r="I84" i="24"/>
  <c r="J84" i="24"/>
  <c r="F85" i="24"/>
  <c r="G85" i="24"/>
  <c r="H85" i="24"/>
  <c r="I85" i="24"/>
  <c r="J85" i="24"/>
  <c r="F86" i="24"/>
  <c r="G86" i="24"/>
  <c r="H86" i="24"/>
  <c r="I86" i="24"/>
  <c r="J86" i="24"/>
  <c r="F87" i="24"/>
  <c r="G87" i="24"/>
  <c r="H87" i="24"/>
  <c r="I87" i="24"/>
  <c r="J87" i="24"/>
  <c r="F88" i="24"/>
  <c r="G88" i="24"/>
  <c r="H88" i="24"/>
  <c r="I88" i="24"/>
  <c r="J88" i="24"/>
  <c r="F89" i="24"/>
  <c r="G89" i="24"/>
  <c r="H89" i="24"/>
  <c r="I89" i="24"/>
  <c r="J89" i="24"/>
  <c r="F90" i="24"/>
  <c r="G90" i="24"/>
  <c r="H90" i="24"/>
  <c r="I90" i="24"/>
  <c r="J90" i="24"/>
  <c r="F91" i="24"/>
  <c r="G91" i="24"/>
  <c r="H91" i="24"/>
  <c r="I91" i="24"/>
  <c r="J91" i="24"/>
  <c r="F92" i="24"/>
  <c r="G92" i="24"/>
  <c r="H92" i="24"/>
  <c r="I92" i="24"/>
  <c r="J92" i="24"/>
  <c r="F93" i="24"/>
  <c r="G93" i="24"/>
  <c r="H93" i="24"/>
  <c r="I93" i="24"/>
  <c r="J93" i="24"/>
  <c r="F94" i="24"/>
  <c r="G94" i="24"/>
  <c r="H94" i="24"/>
  <c r="I94" i="24"/>
  <c r="J94" i="24"/>
  <c r="F95" i="24"/>
  <c r="G95" i="24"/>
  <c r="H95" i="24"/>
  <c r="I95" i="24"/>
  <c r="J95" i="24"/>
  <c r="F96" i="24"/>
  <c r="G96" i="24"/>
  <c r="H96" i="24"/>
  <c r="I96" i="24"/>
  <c r="J96" i="24"/>
  <c r="F97" i="24"/>
  <c r="G97" i="24"/>
  <c r="H97" i="24"/>
  <c r="I97" i="24"/>
  <c r="J97" i="24"/>
  <c r="F98" i="24"/>
  <c r="G98" i="24"/>
  <c r="H98" i="24"/>
  <c r="I98" i="24"/>
  <c r="J98" i="24"/>
  <c r="F99" i="24"/>
  <c r="G99" i="24"/>
  <c r="H99" i="24"/>
  <c r="I99" i="24"/>
  <c r="J99" i="24"/>
  <c r="F100" i="24"/>
  <c r="G100" i="24"/>
  <c r="H100" i="24"/>
  <c r="I100" i="24"/>
  <c r="J100" i="24"/>
  <c r="F101" i="24"/>
  <c r="G101" i="24"/>
  <c r="H101" i="24"/>
  <c r="I101" i="24"/>
  <c r="J101" i="24"/>
  <c r="F102" i="24"/>
  <c r="G102" i="24"/>
  <c r="H102" i="24"/>
  <c r="I102" i="24"/>
  <c r="J102" i="24"/>
  <c r="F103" i="24"/>
  <c r="G103" i="24"/>
  <c r="H103" i="24"/>
  <c r="I103" i="24"/>
  <c r="J103" i="24"/>
  <c r="F104" i="24"/>
  <c r="G104" i="24"/>
  <c r="H104" i="24"/>
  <c r="I104" i="24"/>
  <c r="J104" i="24"/>
  <c r="F105" i="24"/>
  <c r="G105" i="24"/>
  <c r="H105" i="24"/>
  <c r="I105" i="24"/>
  <c r="J105" i="24"/>
  <c r="F106" i="24"/>
  <c r="G106" i="24"/>
  <c r="H106" i="24"/>
  <c r="I106" i="24"/>
  <c r="J106" i="24"/>
  <c r="F107" i="24"/>
  <c r="G107" i="24"/>
  <c r="H107" i="24"/>
  <c r="I107" i="24"/>
  <c r="J107" i="24"/>
  <c r="F108" i="24"/>
  <c r="G108" i="24"/>
  <c r="H108" i="24"/>
  <c r="I108" i="24"/>
  <c r="J108" i="24"/>
  <c r="F109" i="24"/>
  <c r="G109" i="24"/>
  <c r="H109" i="24"/>
  <c r="I109" i="24"/>
  <c r="J109" i="24"/>
  <c r="F110" i="24"/>
  <c r="G110" i="24"/>
  <c r="H110" i="24"/>
  <c r="I110" i="24"/>
  <c r="J110" i="24"/>
  <c r="F111" i="24"/>
  <c r="G111" i="24"/>
  <c r="H111" i="24"/>
  <c r="I111" i="24"/>
  <c r="J111" i="24"/>
  <c r="F112" i="24"/>
  <c r="G112" i="24"/>
  <c r="H112" i="24"/>
  <c r="I112" i="24"/>
  <c r="J112" i="24"/>
  <c r="F113" i="24"/>
  <c r="G113" i="24"/>
  <c r="H113" i="24"/>
  <c r="I113" i="24"/>
  <c r="J113" i="24"/>
  <c r="F114" i="24"/>
  <c r="G114" i="24"/>
  <c r="H114" i="24"/>
  <c r="I114" i="24"/>
  <c r="J114" i="24"/>
  <c r="F115" i="24"/>
  <c r="G115" i="24"/>
  <c r="H115" i="24"/>
  <c r="I115" i="24"/>
  <c r="J115" i="24"/>
  <c r="F116" i="24"/>
  <c r="G116" i="24"/>
  <c r="H116" i="24"/>
  <c r="I116" i="24"/>
  <c r="J116" i="24"/>
  <c r="F117" i="24"/>
  <c r="G117" i="24"/>
  <c r="H117" i="24"/>
  <c r="I117" i="24"/>
  <c r="J117" i="24"/>
  <c r="F118" i="24"/>
  <c r="G118" i="24"/>
  <c r="H118" i="24"/>
  <c r="I118" i="24"/>
  <c r="J118" i="24"/>
  <c r="F119" i="24"/>
  <c r="G119" i="24"/>
  <c r="H119" i="24"/>
  <c r="I119" i="24"/>
  <c r="J119" i="24"/>
  <c r="F120" i="24"/>
  <c r="G120" i="24"/>
  <c r="H120" i="24"/>
  <c r="I120" i="24"/>
  <c r="J120" i="24"/>
  <c r="F121" i="24"/>
  <c r="G121" i="24"/>
  <c r="H121" i="24"/>
  <c r="I121" i="24"/>
  <c r="J121" i="24"/>
  <c r="G14" i="24"/>
  <c r="H14" i="24"/>
  <c r="I14" i="24"/>
  <c r="J14" i="24"/>
  <c r="F14" i="24"/>
  <c r="G13" i="24"/>
  <c r="H13" i="24"/>
  <c r="I13" i="24"/>
  <c r="J13" i="24"/>
  <c r="F13" i="24"/>
  <c r="E13" i="24"/>
  <c r="I119" i="18"/>
  <c r="I120" i="18"/>
  <c r="I121" i="18"/>
  <c r="G119" i="15"/>
  <c r="G120" i="15"/>
  <c r="G121" i="15"/>
  <c r="E130" i="18" l="1"/>
  <c r="D11" i="20"/>
  <c r="D13" i="20" s="1"/>
  <c r="H129" i="18"/>
  <c r="E11" i="20"/>
  <c r="E13" i="20" s="1"/>
  <c r="F11" i="20"/>
  <c r="F13" i="20" s="1"/>
  <c r="D129" i="18"/>
  <c r="D128" i="26"/>
  <c r="D129" i="26" s="1"/>
  <c r="H129" i="28"/>
  <c r="H130" i="28" s="1"/>
  <c r="G129" i="28"/>
  <c r="G130" i="28" s="1"/>
  <c r="F129" i="28"/>
  <c r="F130" i="28" s="1"/>
  <c r="E129" i="28"/>
  <c r="E130" i="28" s="1"/>
  <c r="D129" i="28"/>
  <c r="D130" i="28" s="1"/>
  <c r="D129" i="15"/>
  <c r="D130" i="15" s="1"/>
  <c r="D130" i="18" l="1"/>
  <c r="C11" i="20"/>
  <c r="C13" i="20" s="1"/>
  <c r="H130" i="18"/>
  <c r="G11" i="20"/>
  <c r="G13" i="20" s="1"/>
  <c r="L10" i="32"/>
  <c r="L11" i="32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28" i="32"/>
  <c r="L29" i="32"/>
  <c r="L30" i="32"/>
  <c r="L31" i="32"/>
  <c r="L32" i="32"/>
  <c r="L33" i="32"/>
  <c r="L34" i="32"/>
  <c r="L35" i="32"/>
  <c r="L36" i="32"/>
  <c r="L37" i="32"/>
  <c r="L38" i="32"/>
  <c r="L39" i="32"/>
  <c r="L40" i="32"/>
  <c r="L41" i="32"/>
  <c r="L42" i="32"/>
  <c r="L43" i="32"/>
  <c r="L44" i="32"/>
  <c r="L45" i="32"/>
  <c r="L46" i="32"/>
  <c r="L47" i="32"/>
  <c r="L48" i="32"/>
  <c r="L49" i="32"/>
  <c r="L50" i="32"/>
  <c r="L51" i="32"/>
  <c r="L52" i="32"/>
  <c r="L53" i="32"/>
  <c r="L54" i="32"/>
  <c r="L55" i="32"/>
  <c r="L56" i="32"/>
  <c r="L57" i="32"/>
  <c r="L58" i="32"/>
  <c r="L59" i="32"/>
  <c r="L60" i="32"/>
  <c r="L61" i="32"/>
  <c r="L62" i="32"/>
  <c r="L63" i="32"/>
  <c r="L64" i="32"/>
  <c r="L65" i="32"/>
  <c r="L66" i="32"/>
  <c r="L67" i="32"/>
  <c r="L68" i="32"/>
  <c r="L69" i="32"/>
  <c r="L70" i="32"/>
  <c r="L71" i="32"/>
  <c r="L72" i="32"/>
  <c r="L73" i="32"/>
  <c r="L74" i="32"/>
  <c r="L75" i="32"/>
  <c r="L76" i="32"/>
  <c r="L77" i="32"/>
  <c r="L78" i="32"/>
  <c r="L79" i="32"/>
  <c r="L80" i="32"/>
  <c r="L81" i="32"/>
  <c r="L82" i="32"/>
  <c r="L83" i="32"/>
  <c r="L84" i="32"/>
  <c r="L85" i="32"/>
  <c r="L86" i="32"/>
  <c r="L87" i="32"/>
  <c r="L88" i="32"/>
  <c r="L89" i="32"/>
  <c r="L90" i="32"/>
  <c r="L91" i="32"/>
  <c r="L92" i="32"/>
  <c r="L93" i="32"/>
  <c r="L94" i="32"/>
  <c r="L95" i="32"/>
  <c r="L96" i="32"/>
  <c r="I114" i="32"/>
  <c r="D114" i="32"/>
  <c r="B114" i="32"/>
  <c r="J113" i="32"/>
  <c r="D113" i="32"/>
  <c r="B113" i="32"/>
  <c r="D105" i="32"/>
  <c r="C14" i="20" s="1"/>
  <c r="L9" i="32"/>
  <c r="A6" i="32"/>
  <c r="L104" i="32" l="1"/>
  <c r="L105" i="32" s="1"/>
  <c r="C18" i="21" l="1"/>
  <c r="D18" i="21"/>
  <c r="E18" i="21"/>
  <c r="F18" i="21"/>
  <c r="G18" i="21"/>
  <c r="H18" i="21"/>
  <c r="I18" i="21"/>
  <c r="B18" i="21"/>
  <c r="L31" i="29" l="1"/>
  <c r="L32" i="29"/>
  <c r="L33" i="29"/>
  <c r="L13" i="29"/>
  <c r="L14" i="29"/>
  <c r="L15" i="29"/>
  <c r="L16" i="29"/>
  <c r="L17" i="29"/>
  <c r="L18" i="29"/>
  <c r="L19" i="29"/>
  <c r="E118" i="29"/>
  <c r="F118" i="29"/>
  <c r="G118" i="29"/>
  <c r="H118" i="29"/>
  <c r="I118" i="29"/>
  <c r="J118" i="29"/>
  <c r="K118" i="29"/>
  <c r="D118" i="29"/>
  <c r="D119" i="29" s="1"/>
  <c r="L71" i="29"/>
  <c r="L72" i="29"/>
  <c r="L73" i="29"/>
  <c r="L74" i="29"/>
  <c r="L75" i="29"/>
  <c r="L76" i="29"/>
  <c r="L77" i="29"/>
  <c r="L78" i="29"/>
  <c r="L79" i="29"/>
  <c r="L80" i="29"/>
  <c r="L81" i="29"/>
  <c r="L82" i="29"/>
  <c r="L83" i="29"/>
  <c r="L84" i="29"/>
  <c r="L85" i="29"/>
  <c r="L86" i="29"/>
  <c r="L87" i="29"/>
  <c r="L88" i="29"/>
  <c r="L89" i="29"/>
  <c r="L90" i="29"/>
  <c r="L91" i="29"/>
  <c r="L92" i="29"/>
  <c r="L93" i="29"/>
  <c r="L94" i="29"/>
  <c r="L95" i="29"/>
  <c r="L96" i="29"/>
  <c r="L97" i="29"/>
  <c r="L98" i="29"/>
  <c r="L99" i="29"/>
  <c r="L100" i="29"/>
  <c r="L101" i="29"/>
  <c r="L102" i="29"/>
  <c r="L103" i="29"/>
  <c r="L104" i="29"/>
  <c r="L105" i="29"/>
  <c r="L106" i="29"/>
  <c r="L107" i="29"/>
  <c r="L108" i="29"/>
  <c r="L109" i="29"/>
  <c r="L110" i="29"/>
  <c r="L111" i="29"/>
  <c r="L112" i="29"/>
  <c r="L113" i="29"/>
  <c r="L114" i="29"/>
  <c r="L115" i="29"/>
  <c r="L116" i="29"/>
  <c r="L117" i="29"/>
  <c r="C121" i="29"/>
  <c r="I12" i="18" l="1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" i="18"/>
  <c r="O15" i="24" l="1"/>
  <c r="T15" i="24" s="1"/>
  <c r="O16" i="24"/>
  <c r="T16" i="24" s="1"/>
  <c r="O17" i="24"/>
  <c r="T17" i="24" s="1"/>
  <c r="O18" i="24"/>
  <c r="T18" i="24" s="1"/>
  <c r="O19" i="24"/>
  <c r="T19" i="24" s="1"/>
  <c r="O20" i="24"/>
  <c r="T20" i="24" s="1"/>
  <c r="O21" i="24"/>
  <c r="T21" i="24" s="1"/>
  <c r="O22" i="24"/>
  <c r="T22" i="24" s="1"/>
  <c r="O23" i="24"/>
  <c r="T23" i="24" s="1"/>
  <c r="O24" i="24"/>
  <c r="T24" i="24" s="1"/>
  <c r="O25" i="24"/>
  <c r="T25" i="24" s="1"/>
  <c r="O26" i="24"/>
  <c r="T26" i="24" s="1"/>
  <c r="O27" i="24"/>
  <c r="T27" i="24" s="1"/>
  <c r="O28" i="24"/>
  <c r="T28" i="24" s="1"/>
  <c r="O29" i="24"/>
  <c r="T29" i="24" s="1"/>
  <c r="O30" i="24"/>
  <c r="T30" i="24" s="1"/>
  <c r="O31" i="24"/>
  <c r="T31" i="24" s="1"/>
  <c r="O32" i="24"/>
  <c r="T32" i="24" s="1"/>
  <c r="O33" i="24"/>
  <c r="T33" i="24" s="1"/>
  <c r="O34" i="24"/>
  <c r="T34" i="24" s="1"/>
  <c r="O35" i="24"/>
  <c r="T35" i="24" s="1"/>
  <c r="O36" i="24"/>
  <c r="T36" i="24" s="1"/>
  <c r="O37" i="24"/>
  <c r="T37" i="24" s="1"/>
  <c r="O38" i="24"/>
  <c r="T38" i="24" s="1"/>
  <c r="O39" i="24"/>
  <c r="T39" i="24" s="1"/>
  <c r="O40" i="24"/>
  <c r="T40" i="24" s="1"/>
  <c r="O41" i="24"/>
  <c r="T41" i="24" s="1"/>
  <c r="O42" i="24"/>
  <c r="T42" i="24" s="1"/>
  <c r="O43" i="24"/>
  <c r="T43" i="24" s="1"/>
  <c r="O44" i="24"/>
  <c r="T44" i="24" s="1"/>
  <c r="O45" i="24"/>
  <c r="T45" i="24" s="1"/>
  <c r="O46" i="24"/>
  <c r="T46" i="24" s="1"/>
  <c r="O47" i="24"/>
  <c r="T47" i="24" s="1"/>
  <c r="O48" i="24"/>
  <c r="T48" i="24" s="1"/>
  <c r="O49" i="24"/>
  <c r="T49" i="24" s="1"/>
  <c r="O50" i="24"/>
  <c r="T50" i="24" s="1"/>
  <c r="O51" i="24"/>
  <c r="T51" i="24" s="1"/>
  <c r="O52" i="24"/>
  <c r="T52" i="24" s="1"/>
  <c r="O53" i="24"/>
  <c r="T53" i="24" s="1"/>
  <c r="O54" i="24"/>
  <c r="T54" i="24" s="1"/>
  <c r="O55" i="24"/>
  <c r="T55" i="24" s="1"/>
  <c r="O56" i="24"/>
  <c r="T56" i="24" s="1"/>
  <c r="O57" i="24"/>
  <c r="T57" i="24" s="1"/>
  <c r="O58" i="24"/>
  <c r="T58" i="24" s="1"/>
  <c r="O59" i="24"/>
  <c r="T59" i="24" s="1"/>
  <c r="O60" i="24"/>
  <c r="T60" i="24" s="1"/>
  <c r="O61" i="24"/>
  <c r="T61" i="24" s="1"/>
  <c r="O62" i="24"/>
  <c r="T62" i="24" s="1"/>
  <c r="O63" i="24"/>
  <c r="T63" i="24" s="1"/>
  <c r="O64" i="24"/>
  <c r="T64" i="24" s="1"/>
  <c r="O65" i="24"/>
  <c r="T65" i="24" s="1"/>
  <c r="O66" i="24"/>
  <c r="T66" i="24" s="1"/>
  <c r="O67" i="24"/>
  <c r="T67" i="24" s="1"/>
  <c r="O68" i="24"/>
  <c r="T68" i="24" s="1"/>
  <c r="O69" i="24"/>
  <c r="T69" i="24" s="1"/>
  <c r="O70" i="24"/>
  <c r="T70" i="24" s="1"/>
  <c r="O71" i="24"/>
  <c r="T71" i="24" s="1"/>
  <c r="O72" i="24"/>
  <c r="T72" i="24" s="1"/>
  <c r="O73" i="24"/>
  <c r="T73" i="24" s="1"/>
  <c r="O74" i="24"/>
  <c r="T74" i="24" s="1"/>
  <c r="O75" i="24"/>
  <c r="T75" i="24" s="1"/>
  <c r="O76" i="24"/>
  <c r="T76" i="24" s="1"/>
  <c r="O77" i="24"/>
  <c r="T77" i="24" s="1"/>
  <c r="O78" i="24"/>
  <c r="T78" i="24" s="1"/>
  <c r="O79" i="24"/>
  <c r="T79" i="24" s="1"/>
  <c r="O80" i="24"/>
  <c r="T80" i="24" s="1"/>
  <c r="O81" i="24"/>
  <c r="T81" i="24" s="1"/>
  <c r="O82" i="24"/>
  <c r="T82" i="24" s="1"/>
  <c r="O83" i="24"/>
  <c r="T83" i="24" s="1"/>
  <c r="O84" i="24"/>
  <c r="T84" i="24" s="1"/>
  <c r="O85" i="24"/>
  <c r="T85" i="24" s="1"/>
  <c r="O86" i="24"/>
  <c r="T86" i="24" s="1"/>
  <c r="O87" i="24"/>
  <c r="T87" i="24" s="1"/>
  <c r="O88" i="24"/>
  <c r="T88" i="24" s="1"/>
  <c r="O89" i="24"/>
  <c r="T89" i="24" s="1"/>
  <c r="O90" i="24"/>
  <c r="T90" i="24" s="1"/>
  <c r="O91" i="24"/>
  <c r="T91" i="24" s="1"/>
  <c r="O92" i="24"/>
  <c r="T92" i="24" s="1"/>
  <c r="O93" i="24"/>
  <c r="T93" i="24" s="1"/>
  <c r="O94" i="24"/>
  <c r="T94" i="24" s="1"/>
  <c r="O95" i="24"/>
  <c r="T95" i="24" s="1"/>
  <c r="O96" i="24"/>
  <c r="T96" i="24" s="1"/>
  <c r="O97" i="24"/>
  <c r="T97" i="24" s="1"/>
  <c r="O98" i="24"/>
  <c r="T98" i="24" s="1"/>
  <c r="O99" i="24"/>
  <c r="T99" i="24" s="1"/>
  <c r="O100" i="24"/>
  <c r="T100" i="24" s="1"/>
  <c r="O101" i="24"/>
  <c r="T101" i="24" s="1"/>
  <c r="O102" i="24"/>
  <c r="T102" i="24" s="1"/>
  <c r="O103" i="24"/>
  <c r="T103" i="24" s="1"/>
  <c r="O104" i="24"/>
  <c r="T104" i="24" s="1"/>
  <c r="O105" i="24"/>
  <c r="T105" i="24" s="1"/>
  <c r="O106" i="24"/>
  <c r="T106" i="24" s="1"/>
  <c r="O107" i="24"/>
  <c r="T107" i="24" s="1"/>
  <c r="O108" i="24"/>
  <c r="T108" i="24" s="1"/>
  <c r="O109" i="24"/>
  <c r="T109" i="24" s="1"/>
  <c r="O110" i="24"/>
  <c r="T110" i="24" s="1"/>
  <c r="O111" i="24"/>
  <c r="T111" i="24" s="1"/>
  <c r="O112" i="24"/>
  <c r="T112" i="24" s="1"/>
  <c r="O113" i="24"/>
  <c r="T113" i="24" s="1"/>
  <c r="O114" i="24"/>
  <c r="T114" i="24" s="1"/>
  <c r="O115" i="24"/>
  <c r="T115" i="24" s="1"/>
  <c r="O116" i="24"/>
  <c r="T116" i="24" s="1"/>
  <c r="O117" i="24"/>
  <c r="T117" i="24" s="1"/>
  <c r="O118" i="24"/>
  <c r="T118" i="24" s="1"/>
  <c r="O119" i="24"/>
  <c r="T119" i="24" s="1"/>
  <c r="O120" i="24"/>
  <c r="T120" i="24" s="1"/>
  <c r="O121" i="24"/>
  <c r="T121" i="24" s="1"/>
  <c r="O14" i="24"/>
  <c r="T14" i="24" s="1"/>
  <c r="H129" i="24"/>
  <c r="I129" i="24"/>
  <c r="J129" i="24"/>
  <c r="N15" i="24"/>
  <c r="S15" i="24" s="1"/>
  <c r="N16" i="24"/>
  <c r="S16" i="24" s="1"/>
  <c r="N17" i="24"/>
  <c r="S17" i="24" s="1"/>
  <c r="N18" i="24"/>
  <c r="S18" i="24" s="1"/>
  <c r="N19" i="24"/>
  <c r="S19" i="24" s="1"/>
  <c r="N20" i="24"/>
  <c r="S20" i="24" s="1"/>
  <c r="N21" i="24"/>
  <c r="S21" i="24" s="1"/>
  <c r="N22" i="24"/>
  <c r="S22" i="24" s="1"/>
  <c r="N23" i="24"/>
  <c r="S23" i="24" s="1"/>
  <c r="N24" i="24"/>
  <c r="S24" i="24" s="1"/>
  <c r="N25" i="24"/>
  <c r="S25" i="24" s="1"/>
  <c r="N26" i="24"/>
  <c r="S26" i="24" s="1"/>
  <c r="N27" i="24"/>
  <c r="S27" i="24" s="1"/>
  <c r="N28" i="24"/>
  <c r="S28" i="24" s="1"/>
  <c r="N29" i="24"/>
  <c r="S29" i="24" s="1"/>
  <c r="N30" i="24"/>
  <c r="S30" i="24" s="1"/>
  <c r="N31" i="24"/>
  <c r="S31" i="24" s="1"/>
  <c r="N32" i="24"/>
  <c r="S32" i="24" s="1"/>
  <c r="N33" i="24"/>
  <c r="S33" i="24" s="1"/>
  <c r="N34" i="24"/>
  <c r="S34" i="24" s="1"/>
  <c r="N35" i="24"/>
  <c r="S35" i="24" s="1"/>
  <c r="N36" i="24"/>
  <c r="S36" i="24" s="1"/>
  <c r="N37" i="24"/>
  <c r="S37" i="24" s="1"/>
  <c r="N38" i="24"/>
  <c r="S38" i="24" s="1"/>
  <c r="N39" i="24"/>
  <c r="S39" i="24" s="1"/>
  <c r="N40" i="24"/>
  <c r="S40" i="24" s="1"/>
  <c r="N41" i="24"/>
  <c r="S41" i="24" s="1"/>
  <c r="N42" i="24"/>
  <c r="S42" i="24" s="1"/>
  <c r="N43" i="24"/>
  <c r="S43" i="24" s="1"/>
  <c r="N44" i="24"/>
  <c r="S44" i="24" s="1"/>
  <c r="N45" i="24"/>
  <c r="S45" i="24" s="1"/>
  <c r="N46" i="24"/>
  <c r="S46" i="24" s="1"/>
  <c r="N47" i="24"/>
  <c r="S47" i="24" s="1"/>
  <c r="N48" i="24"/>
  <c r="S48" i="24" s="1"/>
  <c r="N49" i="24"/>
  <c r="S49" i="24" s="1"/>
  <c r="N50" i="24"/>
  <c r="S50" i="24" s="1"/>
  <c r="N51" i="24"/>
  <c r="S51" i="24" s="1"/>
  <c r="N52" i="24"/>
  <c r="S52" i="24" s="1"/>
  <c r="N53" i="24"/>
  <c r="S53" i="24" s="1"/>
  <c r="N54" i="24"/>
  <c r="S54" i="24" s="1"/>
  <c r="N55" i="24"/>
  <c r="S55" i="24" s="1"/>
  <c r="N56" i="24"/>
  <c r="S56" i="24" s="1"/>
  <c r="N57" i="24"/>
  <c r="S57" i="24" s="1"/>
  <c r="N58" i="24"/>
  <c r="S58" i="24" s="1"/>
  <c r="N59" i="24"/>
  <c r="S59" i="24" s="1"/>
  <c r="N60" i="24"/>
  <c r="S60" i="24" s="1"/>
  <c r="N61" i="24"/>
  <c r="S61" i="24" s="1"/>
  <c r="N62" i="24"/>
  <c r="S62" i="24" s="1"/>
  <c r="N63" i="24"/>
  <c r="S63" i="24" s="1"/>
  <c r="N64" i="24"/>
  <c r="S64" i="24" s="1"/>
  <c r="N65" i="24"/>
  <c r="S65" i="24" s="1"/>
  <c r="N66" i="24"/>
  <c r="S66" i="24" s="1"/>
  <c r="N67" i="24"/>
  <c r="S67" i="24" s="1"/>
  <c r="N68" i="24"/>
  <c r="S68" i="24" s="1"/>
  <c r="N69" i="24"/>
  <c r="S69" i="24" s="1"/>
  <c r="N70" i="24"/>
  <c r="S70" i="24" s="1"/>
  <c r="N71" i="24"/>
  <c r="S71" i="24" s="1"/>
  <c r="N72" i="24"/>
  <c r="S72" i="24" s="1"/>
  <c r="N73" i="24"/>
  <c r="S73" i="24" s="1"/>
  <c r="N74" i="24"/>
  <c r="S74" i="24" s="1"/>
  <c r="N75" i="24"/>
  <c r="S75" i="24" s="1"/>
  <c r="N76" i="24"/>
  <c r="S76" i="24" s="1"/>
  <c r="N77" i="24"/>
  <c r="S77" i="24" s="1"/>
  <c r="N78" i="24"/>
  <c r="S78" i="24" s="1"/>
  <c r="N79" i="24"/>
  <c r="S79" i="24" s="1"/>
  <c r="N80" i="24"/>
  <c r="S80" i="24" s="1"/>
  <c r="N81" i="24"/>
  <c r="S81" i="24" s="1"/>
  <c r="N82" i="24"/>
  <c r="S82" i="24" s="1"/>
  <c r="N83" i="24"/>
  <c r="S83" i="24" s="1"/>
  <c r="N84" i="24"/>
  <c r="S84" i="24" s="1"/>
  <c r="N85" i="24"/>
  <c r="S85" i="24" s="1"/>
  <c r="N86" i="24"/>
  <c r="S86" i="24" s="1"/>
  <c r="N87" i="24"/>
  <c r="S87" i="24" s="1"/>
  <c r="N88" i="24"/>
  <c r="S88" i="24" s="1"/>
  <c r="N89" i="24"/>
  <c r="S89" i="24" s="1"/>
  <c r="N90" i="24"/>
  <c r="S90" i="24" s="1"/>
  <c r="N91" i="24"/>
  <c r="S91" i="24" s="1"/>
  <c r="N92" i="24"/>
  <c r="S92" i="24" s="1"/>
  <c r="N93" i="24"/>
  <c r="S93" i="24" s="1"/>
  <c r="N94" i="24"/>
  <c r="S94" i="24" s="1"/>
  <c r="N95" i="24"/>
  <c r="S95" i="24" s="1"/>
  <c r="N96" i="24"/>
  <c r="S96" i="24" s="1"/>
  <c r="N97" i="24"/>
  <c r="S97" i="24" s="1"/>
  <c r="N98" i="24"/>
  <c r="S98" i="24" s="1"/>
  <c r="N99" i="24"/>
  <c r="S99" i="24" s="1"/>
  <c r="N100" i="24"/>
  <c r="S100" i="24" s="1"/>
  <c r="N101" i="24"/>
  <c r="S101" i="24" s="1"/>
  <c r="N102" i="24"/>
  <c r="S102" i="24" s="1"/>
  <c r="N103" i="24"/>
  <c r="S103" i="24" s="1"/>
  <c r="N104" i="24"/>
  <c r="S104" i="24" s="1"/>
  <c r="N105" i="24"/>
  <c r="S105" i="24" s="1"/>
  <c r="N106" i="24"/>
  <c r="S106" i="24" s="1"/>
  <c r="N107" i="24"/>
  <c r="S107" i="24" s="1"/>
  <c r="N108" i="24"/>
  <c r="S108" i="24" s="1"/>
  <c r="N109" i="24"/>
  <c r="S109" i="24" s="1"/>
  <c r="N110" i="24"/>
  <c r="S110" i="24" s="1"/>
  <c r="N111" i="24"/>
  <c r="S111" i="24" s="1"/>
  <c r="N112" i="24"/>
  <c r="S112" i="24" s="1"/>
  <c r="N113" i="24"/>
  <c r="S113" i="24" s="1"/>
  <c r="N114" i="24"/>
  <c r="S114" i="24" s="1"/>
  <c r="N115" i="24"/>
  <c r="S115" i="24" s="1"/>
  <c r="N116" i="24"/>
  <c r="S116" i="24" s="1"/>
  <c r="N117" i="24"/>
  <c r="S117" i="24" s="1"/>
  <c r="N118" i="24"/>
  <c r="S118" i="24" s="1"/>
  <c r="N119" i="24"/>
  <c r="S119" i="24" s="1"/>
  <c r="N120" i="24"/>
  <c r="S120" i="24" s="1"/>
  <c r="N121" i="24"/>
  <c r="S121" i="24" s="1"/>
  <c r="N14" i="24"/>
  <c r="M15" i="24"/>
  <c r="M16" i="24"/>
  <c r="R16" i="24" s="1"/>
  <c r="M17" i="24"/>
  <c r="R17" i="24" s="1"/>
  <c r="M18" i="24"/>
  <c r="M19" i="24"/>
  <c r="M20" i="24"/>
  <c r="M21" i="24"/>
  <c r="R21" i="24" s="1"/>
  <c r="M22" i="24"/>
  <c r="M23" i="24"/>
  <c r="M24" i="24"/>
  <c r="R24" i="24" s="1"/>
  <c r="M25" i="24"/>
  <c r="R25" i="24" s="1"/>
  <c r="M26" i="24"/>
  <c r="M27" i="24"/>
  <c r="M28" i="24"/>
  <c r="M29" i="24"/>
  <c r="R29" i="24" s="1"/>
  <c r="M30" i="24"/>
  <c r="M31" i="24"/>
  <c r="M32" i="24"/>
  <c r="R32" i="24" s="1"/>
  <c r="M33" i="24"/>
  <c r="R33" i="24" s="1"/>
  <c r="M34" i="24"/>
  <c r="M35" i="24"/>
  <c r="M36" i="24"/>
  <c r="M37" i="24"/>
  <c r="R37" i="24" s="1"/>
  <c r="M38" i="24"/>
  <c r="R38" i="24" s="1"/>
  <c r="M39" i="24"/>
  <c r="M40" i="24"/>
  <c r="R40" i="24" s="1"/>
  <c r="M41" i="24"/>
  <c r="R41" i="24" s="1"/>
  <c r="M42" i="24"/>
  <c r="M43" i="24"/>
  <c r="M44" i="24"/>
  <c r="M45" i="24"/>
  <c r="M46" i="24"/>
  <c r="M47" i="24"/>
  <c r="M48" i="24"/>
  <c r="R48" i="24" s="1"/>
  <c r="M49" i="24"/>
  <c r="R49" i="24" s="1"/>
  <c r="M50" i="24"/>
  <c r="M51" i="24"/>
  <c r="M52" i="24"/>
  <c r="M53" i="24"/>
  <c r="M54" i="24"/>
  <c r="R54" i="24" s="1"/>
  <c r="M55" i="24"/>
  <c r="M56" i="24"/>
  <c r="M57" i="24"/>
  <c r="R57" i="24" s="1"/>
  <c r="M58" i="24"/>
  <c r="M59" i="24"/>
  <c r="M60" i="24"/>
  <c r="M61" i="24"/>
  <c r="M62" i="24"/>
  <c r="M63" i="24"/>
  <c r="M64" i="24"/>
  <c r="R64" i="24" s="1"/>
  <c r="M65" i="24"/>
  <c r="R65" i="24" s="1"/>
  <c r="M66" i="24"/>
  <c r="M67" i="24"/>
  <c r="M68" i="24"/>
  <c r="M69" i="24"/>
  <c r="M70" i="24"/>
  <c r="R70" i="24" s="1"/>
  <c r="M71" i="24"/>
  <c r="M72" i="24"/>
  <c r="R72" i="24" s="1"/>
  <c r="M73" i="24"/>
  <c r="R73" i="24" s="1"/>
  <c r="M74" i="24"/>
  <c r="M75" i="24"/>
  <c r="M76" i="24"/>
  <c r="M77" i="24"/>
  <c r="R77" i="24" s="1"/>
  <c r="M78" i="24"/>
  <c r="M79" i="24"/>
  <c r="M80" i="24"/>
  <c r="M81" i="24"/>
  <c r="R81" i="24" s="1"/>
  <c r="M82" i="24"/>
  <c r="M83" i="24"/>
  <c r="M84" i="24"/>
  <c r="M85" i="24"/>
  <c r="R85" i="24" s="1"/>
  <c r="M86" i="24"/>
  <c r="R86" i="24" s="1"/>
  <c r="M87" i="24"/>
  <c r="M88" i="24"/>
  <c r="R88" i="24" s="1"/>
  <c r="M89" i="24"/>
  <c r="R89" i="24" s="1"/>
  <c r="M90" i="24"/>
  <c r="M91" i="24"/>
  <c r="M92" i="24"/>
  <c r="M93" i="24"/>
  <c r="M94" i="24"/>
  <c r="R94" i="24" s="1"/>
  <c r="M95" i="24"/>
  <c r="M96" i="24"/>
  <c r="R96" i="24" s="1"/>
  <c r="M97" i="24"/>
  <c r="R97" i="24" s="1"/>
  <c r="M98" i="24"/>
  <c r="M99" i="24"/>
  <c r="M100" i="24"/>
  <c r="M101" i="24"/>
  <c r="R101" i="24" s="1"/>
  <c r="M102" i="24"/>
  <c r="R102" i="24" s="1"/>
  <c r="M103" i="24"/>
  <c r="M104" i="24"/>
  <c r="R104" i="24" s="1"/>
  <c r="M105" i="24"/>
  <c r="R105" i="24" s="1"/>
  <c r="M106" i="24"/>
  <c r="M107" i="24"/>
  <c r="M108" i="24"/>
  <c r="M109" i="24"/>
  <c r="R109" i="24" s="1"/>
  <c r="M110" i="24"/>
  <c r="R110" i="24" s="1"/>
  <c r="M111" i="24"/>
  <c r="M112" i="24"/>
  <c r="R112" i="24" s="1"/>
  <c r="M113" i="24"/>
  <c r="R113" i="24" s="1"/>
  <c r="M114" i="24"/>
  <c r="M115" i="24"/>
  <c r="M116" i="24"/>
  <c r="M117" i="24"/>
  <c r="R117" i="24" s="1"/>
  <c r="M118" i="24"/>
  <c r="R118" i="24" s="1"/>
  <c r="M119" i="24"/>
  <c r="M120" i="24"/>
  <c r="M121" i="24"/>
  <c r="R121" i="24" s="1"/>
  <c r="M14" i="24"/>
  <c r="L15" i="24"/>
  <c r="L16" i="24"/>
  <c r="L17" i="24"/>
  <c r="L18" i="24"/>
  <c r="L19" i="24"/>
  <c r="L20" i="24"/>
  <c r="L21" i="24"/>
  <c r="L22" i="24"/>
  <c r="L23" i="24"/>
  <c r="L24" i="24"/>
  <c r="L25" i="24"/>
  <c r="L26" i="24"/>
  <c r="L27" i="24"/>
  <c r="L28" i="24"/>
  <c r="L29" i="24"/>
  <c r="L30" i="24"/>
  <c r="L31" i="24"/>
  <c r="L32" i="24"/>
  <c r="L33" i="24"/>
  <c r="L34" i="24"/>
  <c r="L35" i="24"/>
  <c r="L36" i="24"/>
  <c r="L37" i="24"/>
  <c r="L38" i="24"/>
  <c r="L39" i="24"/>
  <c r="L40" i="24"/>
  <c r="L41" i="24"/>
  <c r="L42" i="24"/>
  <c r="L43" i="24"/>
  <c r="L44" i="24"/>
  <c r="L45" i="24"/>
  <c r="L46" i="24"/>
  <c r="L47" i="24"/>
  <c r="L48" i="24"/>
  <c r="L49" i="24"/>
  <c r="L50" i="24"/>
  <c r="L51" i="24"/>
  <c r="L52" i="24"/>
  <c r="L53" i="24"/>
  <c r="L54" i="24"/>
  <c r="L55" i="24"/>
  <c r="L56" i="24"/>
  <c r="L57" i="24"/>
  <c r="L58" i="24"/>
  <c r="L59" i="24"/>
  <c r="L60" i="24"/>
  <c r="L61" i="24"/>
  <c r="L62" i="24"/>
  <c r="L63" i="24"/>
  <c r="L64" i="24"/>
  <c r="L65" i="24"/>
  <c r="L66" i="24"/>
  <c r="L67" i="24"/>
  <c r="L68" i="24"/>
  <c r="L69" i="24"/>
  <c r="L70" i="24"/>
  <c r="L71" i="24"/>
  <c r="L72" i="24"/>
  <c r="L73" i="24"/>
  <c r="L74" i="24"/>
  <c r="L75" i="24"/>
  <c r="L76" i="24"/>
  <c r="L77" i="24"/>
  <c r="L78" i="24"/>
  <c r="L79" i="24"/>
  <c r="L80" i="24"/>
  <c r="L81" i="24"/>
  <c r="L82" i="24"/>
  <c r="L83" i="24"/>
  <c r="L84" i="24"/>
  <c r="L85" i="24"/>
  <c r="L86" i="24"/>
  <c r="L87" i="24"/>
  <c r="L88" i="24"/>
  <c r="L89" i="24"/>
  <c r="L90" i="24"/>
  <c r="L91" i="24"/>
  <c r="L92" i="24"/>
  <c r="L93" i="24"/>
  <c r="L94" i="24"/>
  <c r="L95" i="24"/>
  <c r="L96" i="24"/>
  <c r="L97" i="24"/>
  <c r="L98" i="24"/>
  <c r="L99" i="24"/>
  <c r="L100" i="24"/>
  <c r="L101" i="24"/>
  <c r="L102" i="24"/>
  <c r="L103" i="24"/>
  <c r="L104" i="24"/>
  <c r="L105" i="24"/>
  <c r="L106" i="24"/>
  <c r="L107" i="24"/>
  <c r="L108" i="24"/>
  <c r="L109" i="24"/>
  <c r="L110" i="24"/>
  <c r="L111" i="24"/>
  <c r="L112" i="24"/>
  <c r="L113" i="24"/>
  <c r="L114" i="24"/>
  <c r="L115" i="24"/>
  <c r="L116" i="24"/>
  <c r="L117" i="24"/>
  <c r="L118" i="24"/>
  <c r="L119" i="24"/>
  <c r="L120" i="24"/>
  <c r="L121" i="24"/>
  <c r="L14" i="24"/>
  <c r="K15" i="24"/>
  <c r="K16" i="24"/>
  <c r="K17" i="24"/>
  <c r="K18" i="24"/>
  <c r="K19" i="24"/>
  <c r="K20" i="24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K34" i="24"/>
  <c r="K35" i="24"/>
  <c r="K36" i="24"/>
  <c r="K37" i="24"/>
  <c r="K38" i="24"/>
  <c r="K39" i="24"/>
  <c r="K40" i="24"/>
  <c r="K41" i="24"/>
  <c r="K42" i="24"/>
  <c r="K43" i="24"/>
  <c r="K44" i="24"/>
  <c r="K45" i="24"/>
  <c r="K46" i="24"/>
  <c r="K47" i="24"/>
  <c r="K48" i="24"/>
  <c r="K49" i="24"/>
  <c r="K50" i="24"/>
  <c r="K51" i="24"/>
  <c r="K52" i="24"/>
  <c r="K53" i="24"/>
  <c r="K54" i="24"/>
  <c r="K55" i="24"/>
  <c r="K56" i="24"/>
  <c r="K57" i="24"/>
  <c r="K58" i="24"/>
  <c r="K59" i="24"/>
  <c r="K60" i="24"/>
  <c r="K61" i="24"/>
  <c r="K62" i="24"/>
  <c r="K63" i="24"/>
  <c r="K64" i="24"/>
  <c r="K65" i="24"/>
  <c r="K66" i="24"/>
  <c r="K67" i="24"/>
  <c r="K68" i="24"/>
  <c r="K69" i="24"/>
  <c r="K70" i="24"/>
  <c r="K71" i="24"/>
  <c r="K72" i="24"/>
  <c r="K73" i="24"/>
  <c r="K74" i="24"/>
  <c r="K75" i="24"/>
  <c r="K76" i="24"/>
  <c r="K77" i="24"/>
  <c r="K78" i="24"/>
  <c r="K79" i="24"/>
  <c r="K80" i="24"/>
  <c r="K81" i="24"/>
  <c r="K82" i="24"/>
  <c r="K83" i="24"/>
  <c r="K84" i="24"/>
  <c r="K85" i="24"/>
  <c r="K86" i="24"/>
  <c r="K87" i="24"/>
  <c r="K88" i="24"/>
  <c r="K89" i="24"/>
  <c r="K90" i="24"/>
  <c r="K91" i="24"/>
  <c r="K92" i="24"/>
  <c r="K93" i="24"/>
  <c r="K94" i="24"/>
  <c r="K95" i="24"/>
  <c r="K96" i="24"/>
  <c r="K97" i="24"/>
  <c r="K98" i="24"/>
  <c r="K99" i="24"/>
  <c r="K100" i="24"/>
  <c r="K101" i="24"/>
  <c r="K102" i="24"/>
  <c r="K103" i="24"/>
  <c r="K104" i="24"/>
  <c r="K105" i="24"/>
  <c r="K106" i="24"/>
  <c r="K107" i="24"/>
  <c r="K108" i="24"/>
  <c r="K109" i="24"/>
  <c r="K110" i="24"/>
  <c r="K111" i="24"/>
  <c r="K112" i="24"/>
  <c r="K113" i="24"/>
  <c r="K114" i="24"/>
  <c r="K115" i="24"/>
  <c r="K116" i="24"/>
  <c r="K117" i="24"/>
  <c r="K118" i="24"/>
  <c r="K119" i="24"/>
  <c r="K120" i="24"/>
  <c r="K121" i="24"/>
  <c r="K14" i="24"/>
  <c r="R20" i="24"/>
  <c r="R28" i="24"/>
  <c r="R30" i="24"/>
  <c r="R34" i="24"/>
  <c r="R36" i="24"/>
  <c r="R42" i="24"/>
  <c r="R44" i="24"/>
  <c r="R45" i="24"/>
  <c r="R46" i="24"/>
  <c r="R50" i="24"/>
  <c r="R52" i="24"/>
  <c r="R53" i="24"/>
  <c r="R56" i="24"/>
  <c r="R58" i="24"/>
  <c r="R60" i="24"/>
  <c r="R61" i="24"/>
  <c r="R62" i="24"/>
  <c r="R66" i="24"/>
  <c r="R68" i="24"/>
  <c r="R69" i="24"/>
  <c r="R74" i="24"/>
  <c r="R76" i="24"/>
  <c r="R78" i="24"/>
  <c r="R80" i="24"/>
  <c r="R82" i="24"/>
  <c r="R84" i="24"/>
  <c r="R90" i="24"/>
  <c r="R92" i="24"/>
  <c r="R93" i="24"/>
  <c r="R98" i="24"/>
  <c r="R100" i="24"/>
  <c r="R106" i="24"/>
  <c r="R108" i="24"/>
  <c r="R114" i="24"/>
  <c r="R116" i="24"/>
  <c r="R120" i="24"/>
  <c r="R14" i="24"/>
  <c r="H131" i="24"/>
  <c r="I131" i="24"/>
  <c r="J131" i="24"/>
  <c r="K129" i="24" l="1"/>
  <c r="R111" i="24"/>
  <c r="R99" i="24"/>
  <c r="R87" i="24"/>
  <c r="R75" i="24"/>
  <c r="R63" i="24"/>
  <c r="R51" i="24"/>
  <c r="R43" i="24"/>
  <c r="R31" i="24"/>
  <c r="R15" i="24"/>
  <c r="R115" i="24"/>
  <c r="R103" i="24"/>
  <c r="R91" i="24"/>
  <c r="R79" i="24"/>
  <c r="R67" i="24"/>
  <c r="R55" i="24"/>
  <c r="R39" i="24"/>
  <c r="R23" i="24"/>
  <c r="R26" i="24"/>
  <c r="R22" i="24"/>
  <c r="R18" i="24"/>
  <c r="R119" i="24"/>
  <c r="R107" i="24"/>
  <c r="R95" i="24"/>
  <c r="R83" i="24"/>
  <c r="R71" i="24"/>
  <c r="R59" i="24"/>
  <c r="R47" i="24"/>
  <c r="R35" i="24"/>
  <c r="R27" i="24"/>
  <c r="R19" i="24"/>
  <c r="L129" i="24"/>
  <c r="G129" i="24"/>
  <c r="F129" i="24"/>
  <c r="S14" i="24"/>
  <c r="S129" i="24" s="1"/>
  <c r="N129" i="24"/>
  <c r="M129" i="24"/>
  <c r="O129" i="24"/>
  <c r="R129" i="24" l="1"/>
  <c r="D52" i="24"/>
  <c r="P52" i="24" s="1"/>
  <c r="D53" i="24"/>
  <c r="P53" i="24" s="1"/>
  <c r="D54" i="24"/>
  <c r="P54" i="24" s="1"/>
  <c r="D55" i="24"/>
  <c r="P55" i="24" s="1"/>
  <c r="D56" i="24"/>
  <c r="P56" i="24" s="1"/>
  <c r="D57" i="24"/>
  <c r="P57" i="24" s="1"/>
  <c r="D58" i="24"/>
  <c r="P58" i="24" s="1"/>
  <c r="D59" i="24"/>
  <c r="P59" i="24" s="1"/>
  <c r="D60" i="24"/>
  <c r="P60" i="24" s="1"/>
  <c r="D61" i="24"/>
  <c r="P61" i="24" s="1"/>
  <c r="D62" i="24"/>
  <c r="P62" i="24" s="1"/>
  <c r="D63" i="24"/>
  <c r="P63" i="24" s="1"/>
  <c r="D64" i="24"/>
  <c r="P64" i="24" s="1"/>
  <c r="D65" i="24"/>
  <c r="P65" i="24" s="1"/>
  <c r="D66" i="24"/>
  <c r="P66" i="24" s="1"/>
  <c r="D67" i="24"/>
  <c r="P67" i="24" s="1"/>
  <c r="D68" i="24"/>
  <c r="P68" i="24" s="1"/>
  <c r="D69" i="24"/>
  <c r="P69" i="24" s="1"/>
  <c r="D70" i="24"/>
  <c r="P70" i="24" s="1"/>
  <c r="D71" i="24"/>
  <c r="P71" i="24" s="1"/>
  <c r="D72" i="24"/>
  <c r="P72" i="24" s="1"/>
  <c r="D73" i="24"/>
  <c r="P73" i="24" s="1"/>
  <c r="D74" i="24"/>
  <c r="P74" i="24" s="1"/>
  <c r="D75" i="24"/>
  <c r="P75" i="24" s="1"/>
  <c r="D76" i="24"/>
  <c r="P76" i="24" s="1"/>
  <c r="D77" i="24"/>
  <c r="P77" i="24" s="1"/>
  <c r="D78" i="24"/>
  <c r="P78" i="24" s="1"/>
  <c r="D79" i="24"/>
  <c r="P79" i="24" s="1"/>
  <c r="D80" i="24"/>
  <c r="P80" i="24" s="1"/>
  <c r="D81" i="24"/>
  <c r="P81" i="24" s="1"/>
  <c r="D82" i="24"/>
  <c r="P82" i="24" s="1"/>
  <c r="D83" i="24"/>
  <c r="P83" i="24" s="1"/>
  <c r="D84" i="24"/>
  <c r="P84" i="24" s="1"/>
  <c r="D85" i="24"/>
  <c r="P85" i="24" s="1"/>
  <c r="D86" i="24"/>
  <c r="P86" i="24" s="1"/>
  <c r="D87" i="24"/>
  <c r="P87" i="24" s="1"/>
  <c r="D88" i="24"/>
  <c r="P88" i="24" s="1"/>
  <c r="D89" i="24"/>
  <c r="P89" i="24" s="1"/>
  <c r="D90" i="24"/>
  <c r="P90" i="24" s="1"/>
  <c r="D91" i="24"/>
  <c r="P91" i="24" s="1"/>
  <c r="D92" i="24"/>
  <c r="P92" i="24" s="1"/>
  <c r="D93" i="24"/>
  <c r="P93" i="24" s="1"/>
  <c r="D94" i="24"/>
  <c r="P94" i="24" s="1"/>
  <c r="D95" i="24"/>
  <c r="P95" i="24" s="1"/>
  <c r="D96" i="24"/>
  <c r="P96" i="24" s="1"/>
  <c r="D97" i="24"/>
  <c r="P97" i="24" s="1"/>
  <c r="D98" i="24"/>
  <c r="P98" i="24" s="1"/>
  <c r="D99" i="24"/>
  <c r="P99" i="24" s="1"/>
  <c r="D100" i="24"/>
  <c r="P100" i="24" s="1"/>
  <c r="D101" i="24"/>
  <c r="P101" i="24" s="1"/>
  <c r="D102" i="24"/>
  <c r="P102" i="24" s="1"/>
  <c r="D103" i="24"/>
  <c r="P103" i="24" s="1"/>
  <c r="D104" i="24"/>
  <c r="P104" i="24" s="1"/>
  <c r="D105" i="24"/>
  <c r="P105" i="24" s="1"/>
  <c r="D106" i="24"/>
  <c r="P106" i="24" s="1"/>
  <c r="D107" i="24"/>
  <c r="P107" i="24" s="1"/>
  <c r="D108" i="24"/>
  <c r="P108" i="24" s="1"/>
  <c r="D109" i="24"/>
  <c r="P109" i="24" s="1"/>
  <c r="D110" i="24"/>
  <c r="P110" i="24" s="1"/>
  <c r="D111" i="24"/>
  <c r="P111" i="24" s="1"/>
  <c r="D112" i="24"/>
  <c r="P112" i="24" s="1"/>
  <c r="D113" i="24"/>
  <c r="P113" i="24" s="1"/>
  <c r="D114" i="24"/>
  <c r="P114" i="24" s="1"/>
  <c r="D115" i="24"/>
  <c r="P115" i="24" s="1"/>
  <c r="D116" i="24"/>
  <c r="P116" i="24" s="1"/>
  <c r="D117" i="24"/>
  <c r="P117" i="24" s="1"/>
  <c r="D118" i="24"/>
  <c r="P118" i="24" s="1"/>
  <c r="D119" i="24"/>
  <c r="P119" i="24" s="1"/>
  <c r="D120" i="24"/>
  <c r="P120" i="24" s="1"/>
  <c r="D121" i="24"/>
  <c r="P121" i="24" s="1"/>
  <c r="D47" i="24"/>
  <c r="P47" i="24" s="1"/>
  <c r="D48" i="24"/>
  <c r="P48" i="24" s="1"/>
  <c r="D49" i="24"/>
  <c r="P49" i="24" s="1"/>
  <c r="D50" i="24"/>
  <c r="P50" i="24" s="1"/>
  <c r="D51" i="24"/>
  <c r="P51" i="24" s="1"/>
  <c r="E15" i="24"/>
  <c r="Q15" i="24" s="1"/>
  <c r="E16" i="24"/>
  <c r="Q16" i="24" s="1"/>
  <c r="E17" i="24"/>
  <c r="Q17" i="24" s="1"/>
  <c r="E18" i="24"/>
  <c r="Q18" i="24" s="1"/>
  <c r="E19" i="24"/>
  <c r="Q19" i="24" s="1"/>
  <c r="E20" i="24"/>
  <c r="Q20" i="24" s="1"/>
  <c r="E21" i="24"/>
  <c r="Q21" i="24" s="1"/>
  <c r="E22" i="24"/>
  <c r="Q22" i="24" s="1"/>
  <c r="E23" i="24"/>
  <c r="Q23" i="24" s="1"/>
  <c r="E24" i="24"/>
  <c r="Q24" i="24" s="1"/>
  <c r="E25" i="24"/>
  <c r="Q25" i="24" s="1"/>
  <c r="E26" i="24"/>
  <c r="Q26" i="24" s="1"/>
  <c r="E27" i="24"/>
  <c r="Q27" i="24" s="1"/>
  <c r="E28" i="24"/>
  <c r="Q28" i="24" s="1"/>
  <c r="E29" i="24"/>
  <c r="Q29" i="24" s="1"/>
  <c r="E30" i="24"/>
  <c r="Q30" i="24" s="1"/>
  <c r="E31" i="24"/>
  <c r="Q31" i="24" s="1"/>
  <c r="E32" i="24"/>
  <c r="Q32" i="24" s="1"/>
  <c r="E33" i="24"/>
  <c r="Q33" i="24" s="1"/>
  <c r="E34" i="24"/>
  <c r="Q34" i="24" s="1"/>
  <c r="E35" i="24"/>
  <c r="Q35" i="24" s="1"/>
  <c r="E36" i="24"/>
  <c r="Q36" i="24" s="1"/>
  <c r="E37" i="24"/>
  <c r="Q37" i="24" s="1"/>
  <c r="E38" i="24"/>
  <c r="Q38" i="24" s="1"/>
  <c r="E39" i="24"/>
  <c r="Q39" i="24" s="1"/>
  <c r="E40" i="24"/>
  <c r="Q40" i="24" s="1"/>
  <c r="E41" i="24"/>
  <c r="Q41" i="24" s="1"/>
  <c r="E42" i="24"/>
  <c r="Q42" i="24" s="1"/>
  <c r="E43" i="24"/>
  <c r="Q43" i="24" s="1"/>
  <c r="E44" i="24"/>
  <c r="Q44" i="24" s="1"/>
  <c r="E45" i="24"/>
  <c r="Q45" i="24" s="1"/>
  <c r="E46" i="24"/>
  <c r="Q46" i="24" s="1"/>
  <c r="E47" i="24"/>
  <c r="Q47" i="24" s="1"/>
  <c r="E48" i="24"/>
  <c r="Q48" i="24" s="1"/>
  <c r="E49" i="24"/>
  <c r="Q49" i="24" s="1"/>
  <c r="E50" i="24"/>
  <c r="Q50" i="24" s="1"/>
  <c r="E51" i="24"/>
  <c r="Q51" i="24" s="1"/>
  <c r="E52" i="24"/>
  <c r="Q52" i="24" s="1"/>
  <c r="E53" i="24"/>
  <c r="Q53" i="24" s="1"/>
  <c r="E54" i="24"/>
  <c r="Q54" i="24" s="1"/>
  <c r="E55" i="24"/>
  <c r="Q55" i="24" s="1"/>
  <c r="E56" i="24"/>
  <c r="Q56" i="24" s="1"/>
  <c r="E57" i="24"/>
  <c r="Q57" i="24" s="1"/>
  <c r="E58" i="24"/>
  <c r="Q58" i="24" s="1"/>
  <c r="E59" i="24"/>
  <c r="Q59" i="24" s="1"/>
  <c r="E60" i="24"/>
  <c r="Q60" i="24" s="1"/>
  <c r="E61" i="24"/>
  <c r="Q61" i="24" s="1"/>
  <c r="E62" i="24"/>
  <c r="Q62" i="24" s="1"/>
  <c r="E63" i="24"/>
  <c r="Q63" i="24" s="1"/>
  <c r="E64" i="24"/>
  <c r="Q64" i="24" s="1"/>
  <c r="E65" i="24"/>
  <c r="Q65" i="24" s="1"/>
  <c r="E66" i="24"/>
  <c r="Q66" i="24" s="1"/>
  <c r="E67" i="24"/>
  <c r="Q67" i="24" s="1"/>
  <c r="E68" i="24"/>
  <c r="Q68" i="24" s="1"/>
  <c r="E69" i="24"/>
  <c r="Q69" i="24" s="1"/>
  <c r="E70" i="24"/>
  <c r="Q70" i="24" s="1"/>
  <c r="E71" i="24"/>
  <c r="Q71" i="24" s="1"/>
  <c r="E72" i="24"/>
  <c r="Q72" i="24" s="1"/>
  <c r="E73" i="24"/>
  <c r="Q73" i="24" s="1"/>
  <c r="E74" i="24"/>
  <c r="Q74" i="24" s="1"/>
  <c r="E75" i="24"/>
  <c r="Q75" i="24" s="1"/>
  <c r="E76" i="24"/>
  <c r="Q76" i="24" s="1"/>
  <c r="E77" i="24"/>
  <c r="Q77" i="24" s="1"/>
  <c r="E78" i="24"/>
  <c r="Q78" i="24" s="1"/>
  <c r="E79" i="24"/>
  <c r="Q79" i="24" s="1"/>
  <c r="E80" i="24"/>
  <c r="Q80" i="24" s="1"/>
  <c r="E81" i="24"/>
  <c r="Q81" i="24" s="1"/>
  <c r="E82" i="24"/>
  <c r="Q82" i="24" s="1"/>
  <c r="E83" i="24"/>
  <c r="Q83" i="24" s="1"/>
  <c r="E84" i="24"/>
  <c r="Q84" i="24" s="1"/>
  <c r="E85" i="24"/>
  <c r="Q85" i="24" s="1"/>
  <c r="E86" i="24"/>
  <c r="Q86" i="24" s="1"/>
  <c r="E87" i="24"/>
  <c r="Q87" i="24" s="1"/>
  <c r="E88" i="24"/>
  <c r="Q88" i="24" s="1"/>
  <c r="E89" i="24"/>
  <c r="Q89" i="24" s="1"/>
  <c r="E90" i="24"/>
  <c r="Q90" i="24" s="1"/>
  <c r="E91" i="24"/>
  <c r="Q91" i="24" s="1"/>
  <c r="E92" i="24"/>
  <c r="Q92" i="24" s="1"/>
  <c r="E93" i="24"/>
  <c r="Q93" i="24" s="1"/>
  <c r="E94" i="24"/>
  <c r="Q94" i="24" s="1"/>
  <c r="E95" i="24"/>
  <c r="Q95" i="24" s="1"/>
  <c r="E96" i="24"/>
  <c r="Q96" i="24" s="1"/>
  <c r="E97" i="24"/>
  <c r="Q97" i="24" s="1"/>
  <c r="E98" i="24"/>
  <c r="Q98" i="24" s="1"/>
  <c r="E99" i="24"/>
  <c r="Q99" i="24" s="1"/>
  <c r="E100" i="24"/>
  <c r="Q100" i="24" s="1"/>
  <c r="E101" i="24"/>
  <c r="Q101" i="24" s="1"/>
  <c r="E102" i="24"/>
  <c r="Q102" i="24" s="1"/>
  <c r="E103" i="24"/>
  <c r="Q103" i="24" s="1"/>
  <c r="E104" i="24"/>
  <c r="Q104" i="24" s="1"/>
  <c r="E105" i="24"/>
  <c r="Q105" i="24" s="1"/>
  <c r="E106" i="24"/>
  <c r="Q106" i="24" s="1"/>
  <c r="E107" i="24"/>
  <c r="Q107" i="24" s="1"/>
  <c r="E108" i="24"/>
  <c r="Q108" i="24" s="1"/>
  <c r="E109" i="24"/>
  <c r="Q109" i="24" s="1"/>
  <c r="E110" i="24"/>
  <c r="Q110" i="24" s="1"/>
  <c r="E111" i="24"/>
  <c r="Q111" i="24" s="1"/>
  <c r="E112" i="24"/>
  <c r="Q112" i="24" s="1"/>
  <c r="E113" i="24"/>
  <c r="Q113" i="24" s="1"/>
  <c r="E114" i="24"/>
  <c r="Q114" i="24" s="1"/>
  <c r="E115" i="24"/>
  <c r="Q115" i="24" s="1"/>
  <c r="E116" i="24"/>
  <c r="Q116" i="24" s="1"/>
  <c r="E117" i="24"/>
  <c r="Q117" i="24" s="1"/>
  <c r="E118" i="24"/>
  <c r="Q118" i="24" s="1"/>
  <c r="E119" i="24"/>
  <c r="Q119" i="24" s="1"/>
  <c r="E120" i="24"/>
  <c r="Q120" i="24" s="1"/>
  <c r="E121" i="24"/>
  <c r="Q121" i="24" s="1"/>
  <c r="E14" i="24"/>
  <c r="D24" i="24"/>
  <c r="P24" i="24" s="1"/>
  <c r="D25" i="24"/>
  <c r="P25" i="24" s="1"/>
  <c r="D26" i="24"/>
  <c r="P26" i="24" s="1"/>
  <c r="D27" i="24"/>
  <c r="P27" i="24" s="1"/>
  <c r="D28" i="24"/>
  <c r="P28" i="24" s="1"/>
  <c r="D29" i="24"/>
  <c r="P29" i="24" s="1"/>
  <c r="D30" i="24"/>
  <c r="P30" i="24" s="1"/>
  <c r="D31" i="24"/>
  <c r="P31" i="24" s="1"/>
  <c r="D32" i="24"/>
  <c r="P32" i="24" s="1"/>
  <c r="D33" i="24"/>
  <c r="P33" i="24" s="1"/>
  <c r="D34" i="24"/>
  <c r="P34" i="24" s="1"/>
  <c r="D35" i="24"/>
  <c r="P35" i="24" s="1"/>
  <c r="D36" i="24"/>
  <c r="P36" i="24" s="1"/>
  <c r="D37" i="24"/>
  <c r="P37" i="24" s="1"/>
  <c r="D38" i="24"/>
  <c r="P38" i="24" s="1"/>
  <c r="D39" i="24"/>
  <c r="P39" i="24" s="1"/>
  <c r="D40" i="24"/>
  <c r="P40" i="24" s="1"/>
  <c r="D41" i="24"/>
  <c r="P41" i="24" s="1"/>
  <c r="D42" i="24"/>
  <c r="P42" i="24" s="1"/>
  <c r="D43" i="24"/>
  <c r="P43" i="24" s="1"/>
  <c r="D44" i="24"/>
  <c r="P44" i="24" s="1"/>
  <c r="D45" i="24"/>
  <c r="P45" i="24" s="1"/>
  <c r="D46" i="24"/>
  <c r="P46" i="24" s="1"/>
  <c r="D17" i="24"/>
  <c r="P17" i="24" s="1"/>
  <c r="D18" i="24"/>
  <c r="P18" i="24" s="1"/>
  <c r="D19" i="24"/>
  <c r="P19" i="24" s="1"/>
  <c r="D20" i="24"/>
  <c r="P20" i="24" s="1"/>
  <c r="D21" i="24"/>
  <c r="P21" i="24" s="1"/>
  <c r="D22" i="24"/>
  <c r="P22" i="24" s="1"/>
  <c r="D23" i="24"/>
  <c r="P23" i="24" s="1"/>
  <c r="D15" i="24"/>
  <c r="P15" i="24" s="1"/>
  <c r="D16" i="24"/>
  <c r="P16" i="24" s="1"/>
  <c r="D14" i="24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01" i="19"/>
  <c r="E80" i="19"/>
  <c r="E81" i="19"/>
  <c r="E82" i="19"/>
  <c r="E84" i="19"/>
  <c r="E85" i="19"/>
  <c r="E86" i="19"/>
  <c r="E87" i="19"/>
  <c r="E88" i="19"/>
  <c r="E89" i="19"/>
  <c r="E90" i="19"/>
  <c r="E92" i="19"/>
  <c r="E93" i="19"/>
  <c r="E94" i="19"/>
  <c r="E96" i="19"/>
  <c r="E97" i="19"/>
  <c r="E98" i="19"/>
  <c r="E99" i="19"/>
  <c r="E100" i="19"/>
  <c r="E65" i="19"/>
  <c r="E66" i="19"/>
  <c r="E68" i="19"/>
  <c r="E69" i="19"/>
  <c r="E70" i="19"/>
  <c r="E72" i="19"/>
  <c r="E76" i="19"/>
  <c r="E77" i="19"/>
  <c r="E78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7" i="19"/>
  <c r="E71" i="19"/>
  <c r="E73" i="19"/>
  <c r="E74" i="19"/>
  <c r="E75" i="19"/>
  <c r="E79" i="19"/>
  <c r="E83" i="19"/>
  <c r="E91" i="19"/>
  <c r="E95" i="19"/>
  <c r="N72" i="28"/>
  <c r="F69" i="19" s="1"/>
  <c r="N73" i="28"/>
  <c r="F70" i="19" s="1"/>
  <c r="N74" i="28"/>
  <c r="F71" i="19" s="1"/>
  <c r="N75" i="28"/>
  <c r="F72" i="19" s="1"/>
  <c r="N76" i="28"/>
  <c r="F73" i="19" s="1"/>
  <c r="N77" i="28"/>
  <c r="F74" i="19" s="1"/>
  <c r="N78" i="28"/>
  <c r="F75" i="19" s="1"/>
  <c r="N79" i="28"/>
  <c r="F76" i="19" s="1"/>
  <c r="N80" i="28"/>
  <c r="F77" i="19" s="1"/>
  <c r="N81" i="28"/>
  <c r="F78" i="19" s="1"/>
  <c r="N82" i="28"/>
  <c r="F79" i="19" s="1"/>
  <c r="N83" i="28"/>
  <c r="F80" i="19" s="1"/>
  <c r="N84" i="28"/>
  <c r="F81" i="19" s="1"/>
  <c r="N85" i="28"/>
  <c r="F82" i="19" s="1"/>
  <c r="N86" i="28"/>
  <c r="F83" i="19" s="1"/>
  <c r="N87" i="28"/>
  <c r="F84" i="19" s="1"/>
  <c r="N88" i="28"/>
  <c r="F85" i="19" s="1"/>
  <c r="N89" i="28"/>
  <c r="F86" i="19" s="1"/>
  <c r="N90" i="28"/>
  <c r="F87" i="19" s="1"/>
  <c r="N91" i="28"/>
  <c r="F88" i="19" s="1"/>
  <c r="N92" i="28"/>
  <c r="F89" i="19" s="1"/>
  <c r="N93" i="28"/>
  <c r="F90" i="19" s="1"/>
  <c r="N94" i="28"/>
  <c r="F91" i="19" s="1"/>
  <c r="N95" i="28"/>
  <c r="F92" i="19" s="1"/>
  <c r="N96" i="28"/>
  <c r="F93" i="19" s="1"/>
  <c r="N97" i="28"/>
  <c r="F94" i="19" s="1"/>
  <c r="N98" i="28"/>
  <c r="F95" i="19" s="1"/>
  <c r="N99" i="28"/>
  <c r="F96" i="19" s="1"/>
  <c r="N100" i="28"/>
  <c r="F97" i="19" s="1"/>
  <c r="N101" i="28"/>
  <c r="F98" i="19" s="1"/>
  <c r="N102" i="28"/>
  <c r="F99" i="19" s="1"/>
  <c r="N103" i="28"/>
  <c r="F100" i="19" s="1"/>
  <c r="N104" i="28"/>
  <c r="F101" i="19" s="1"/>
  <c r="N105" i="28"/>
  <c r="F102" i="19" s="1"/>
  <c r="N106" i="28"/>
  <c r="F103" i="19" s="1"/>
  <c r="N107" i="28"/>
  <c r="F104" i="19" s="1"/>
  <c r="N108" i="28"/>
  <c r="F105" i="19" s="1"/>
  <c r="N109" i="28"/>
  <c r="F106" i="19" s="1"/>
  <c r="N110" i="28"/>
  <c r="F107" i="19" s="1"/>
  <c r="N111" i="28"/>
  <c r="F108" i="19" s="1"/>
  <c r="N112" i="28"/>
  <c r="F109" i="19" s="1"/>
  <c r="N113" i="28"/>
  <c r="F110" i="19" s="1"/>
  <c r="N114" i="28"/>
  <c r="F111" i="19" s="1"/>
  <c r="N115" i="28"/>
  <c r="F112" i="19" s="1"/>
  <c r="N116" i="28"/>
  <c r="F113" i="19" s="1"/>
  <c r="N117" i="28"/>
  <c r="F114" i="19" s="1"/>
  <c r="N118" i="28"/>
  <c r="F115" i="19" s="1"/>
  <c r="N12" i="28"/>
  <c r="F9" i="19" s="1"/>
  <c r="N13" i="28"/>
  <c r="F10" i="19" s="1"/>
  <c r="N14" i="28"/>
  <c r="F11" i="19" s="1"/>
  <c r="N15" i="28"/>
  <c r="F12" i="19" s="1"/>
  <c r="N16" i="28"/>
  <c r="F13" i="19" s="1"/>
  <c r="N17" i="28"/>
  <c r="F14" i="19" s="1"/>
  <c r="N18" i="28"/>
  <c r="F15" i="19" s="1"/>
  <c r="N19" i="28"/>
  <c r="F16" i="19" s="1"/>
  <c r="N20" i="28"/>
  <c r="F17" i="19" s="1"/>
  <c r="N21" i="28"/>
  <c r="F18" i="19" s="1"/>
  <c r="N22" i="28"/>
  <c r="F19" i="19" s="1"/>
  <c r="N23" i="28"/>
  <c r="F20" i="19" s="1"/>
  <c r="N24" i="28"/>
  <c r="F21" i="19" s="1"/>
  <c r="N25" i="28"/>
  <c r="F22" i="19" s="1"/>
  <c r="N26" i="28"/>
  <c r="F23" i="19" s="1"/>
  <c r="N27" i="28"/>
  <c r="F24" i="19" s="1"/>
  <c r="N28" i="28"/>
  <c r="F25" i="19" s="1"/>
  <c r="N29" i="28"/>
  <c r="F26" i="19" s="1"/>
  <c r="N30" i="28"/>
  <c r="F27" i="19" s="1"/>
  <c r="N31" i="28"/>
  <c r="F28" i="19" s="1"/>
  <c r="N32" i="28"/>
  <c r="F29" i="19" s="1"/>
  <c r="N33" i="28"/>
  <c r="F30" i="19" s="1"/>
  <c r="N34" i="28"/>
  <c r="F31" i="19" s="1"/>
  <c r="N35" i="28"/>
  <c r="F32" i="19" s="1"/>
  <c r="N36" i="28"/>
  <c r="F33" i="19" s="1"/>
  <c r="N37" i="28"/>
  <c r="F34" i="19" s="1"/>
  <c r="N38" i="28"/>
  <c r="F35" i="19" s="1"/>
  <c r="N39" i="28"/>
  <c r="F36" i="19" s="1"/>
  <c r="N40" i="28"/>
  <c r="F37" i="19" s="1"/>
  <c r="N41" i="28"/>
  <c r="F38" i="19" s="1"/>
  <c r="N42" i="28"/>
  <c r="F39" i="19" s="1"/>
  <c r="N43" i="28"/>
  <c r="F40" i="19" s="1"/>
  <c r="N44" i="28"/>
  <c r="F41" i="19" s="1"/>
  <c r="N45" i="28"/>
  <c r="F42" i="19" s="1"/>
  <c r="N46" i="28"/>
  <c r="F43" i="19" s="1"/>
  <c r="N47" i="28"/>
  <c r="F44" i="19" s="1"/>
  <c r="N48" i="28"/>
  <c r="F45" i="19" s="1"/>
  <c r="N49" i="28"/>
  <c r="F46" i="19" s="1"/>
  <c r="N50" i="28"/>
  <c r="F47" i="19" s="1"/>
  <c r="N51" i="28"/>
  <c r="F48" i="19" s="1"/>
  <c r="N52" i="28"/>
  <c r="F49" i="19" s="1"/>
  <c r="N53" i="28"/>
  <c r="F50" i="19" s="1"/>
  <c r="N54" i="28"/>
  <c r="F51" i="19" s="1"/>
  <c r="N55" i="28"/>
  <c r="F52" i="19" s="1"/>
  <c r="N56" i="28"/>
  <c r="F53" i="19" s="1"/>
  <c r="N57" i="28"/>
  <c r="F54" i="19" s="1"/>
  <c r="N58" i="28"/>
  <c r="F55" i="19" s="1"/>
  <c r="N59" i="28"/>
  <c r="F56" i="19" s="1"/>
  <c r="N60" i="28"/>
  <c r="F57" i="19" s="1"/>
  <c r="N61" i="28"/>
  <c r="F58" i="19" s="1"/>
  <c r="N62" i="28"/>
  <c r="F59" i="19" s="1"/>
  <c r="N63" i="28"/>
  <c r="F60" i="19" s="1"/>
  <c r="N64" i="28"/>
  <c r="F61" i="19" s="1"/>
  <c r="N65" i="28"/>
  <c r="F62" i="19" s="1"/>
  <c r="N66" i="28"/>
  <c r="F63" i="19" s="1"/>
  <c r="N67" i="28"/>
  <c r="F64" i="19" s="1"/>
  <c r="N68" i="28"/>
  <c r="F65" i="19" s="1"/>
  <c r="N69" i="28"/>
  <c r="F66" i="19" s="1"/>
  <c r="N70" i="28"/>
  <c r="F67" i="19" s="1"/>
  <c r="N71" i="28"/>
  <c r="F68" i="19" s="1"/>
  <c r="N11" i="28"/>
  <c r="F8" i="19" s="1"/>
  <c r="G44" i="15"/>
  <c r="D59" i="19" s="1"/>
  <c r="G45" i="15"/>
  <c r="D60" i="19" s="1"/>
  <c r="G46" i="15"/>
  <c r="D61" i="19" s="1"/>
  <c r="G61" i="19" s="1"/>
  <c r="H61" i="19" s="1"/>
  <c r="G47" i="15"/>
  <c r="D62" i="19" s="1"/>
  <c r="G48" i="15"/>
  <c r="D63" i="19" s="1"/>
  <c r="G49" i="15"/>
  <c r="D64" i="19" s="1"/>
  <c r="G50" i="15"/>
  <c r="D65" i="19" s="1"/>
  <c r="G51" i="15"/>
  <c r="D66" i="19" s="1"/>
  <c r="G52" i="15"/>
  <c r="D67" i="19" s="1"/>
  <c r="G53" i="15"/>
  <c r="D68" i="19" s="1"/>
  <c r="G54" i="15"/>
  <c r="D69" i="19" s="1"/>
  <c r="G55" i="15"/>
  <c r="D70" i="19" s="1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D44" i="19" s="1"/>
  <c r="G30" i="15"/>
  <c r="D45" i="19" s="1"/>
  <c r="G45" i="19" s="1"/>
  <c r="H45" i="19" s="1"/>
  <c r="G31" i="15"/>
  <c r="D46" i="19" s="1"/>
  <c r="G32" i="15"/>
  <c r="D47" i="19" s="1"/>
  <c r="G33" i="15"/>
  <c r="D48" i="19" s="1"/>
  <c r="G34" i="15"/>
  <c r="D49" i="19" s="1"/>
  <c r="G35" i="15"/>
  <c r="D50" i="19" s="1"/>
  <c r="G36" i="15"/>
  <c r="D51" i="19" s="1"/>
  <c r="G37" i="15"/>
  <c r="D52" i="19" s="1"/>
  <c r="G38" i="15"/>
  <c r="D53" i="19" s="1"/>
  <c r="G53" i="19" s="1"/>
  <c r="H53" i="19" s="1"/>
  <c r="G39" i="15"/>
  <c r="D54" i="19" s="1"/>
  <c r="G40" i="15"/>
  <c r="D55" i="19" s="1"/>
  <c r="G41" i="15"/>
  <c r="D56" i="19" s="1"/>
  <c r="G42" i="15"/>
  <c r="D57" i="19" s="1"/>
  <c r="G43" i="15"/>
  <c r="D58" i="19" s="1"/>
  <c r="G70" i="15"/>
  <c r="D85" i="19" s="1"/>
  <c r="G71" i="15"/>
  <c r="D86" i="19" s="1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49" i="19" l="1"/>
  <c r="H49" i="19" s="1"/>
  <c r="G57" i="19"/>
  <c r="H57" i="19" s="1"/>
  <c r="G58" i="19"/>
  <c r="H58" i="19" s="1"/>
  <c r="G50" i="19"/>
  <c r="H50" i="19" s="1"/>
  <c r="G54" i="19"/>
  <c r="H54" i="19" s="1"/>
  <c r="G46" i="19"/>
  <c r="H46" i="19" s="1"/>
  <c r="G62" i="19"/>
  <c r="H62" i="19" s="1"/>
  <c r="U15" i="24"/>
  <c r="U23" i="24"/>
  <c r="U19" i="24"/>
  <c r="U20" i="24"/>
  <c r="U21" i="24"/>
  <c r="U17" i="24"/>
  <c r="U45" i="24"/>
  <c r="U41" i="24"/>
  <c r="U37" i="24"/>
  <c r="U33" i="24"/>
  <c r="U29" i="24"/>
  <c r="U25" i="24"/>
  <c r="U46" i="24"/>
  <c r="U42" i="24"/>
  <c r="U38" i="24"/>
  <c r="U34" i="24"/>
  <c r="U30" i="24"/>
  <c r="U26" i="24"/>
  <c r="U22" i="24"/>
  <c r="G47" i="19"/>
  <c r="H47" i="19" s="1"/>
  <c r="G63" i="19"/>
  <c r="H63" i="19" s="1"/>
  <c r="G70" i="19"/>
  <c r="H70" i="19" s="1"/>
  <c r="G66" i="19"/>
  <c r="H66" i="19" s="1"/>
  <c r="G69" i="19"/>
  <c r="H69" i="19" s="1"/>
  <c r="G65" i="19"/>
  <c r="H65" i="19" s="1"/>
  <c r="U44" i="24"/>
  <c r="U40" i="24"/>
  <c r="U36" i="24"/>
  <c r="U32" i="24"/>
  <c r="U28" i="24"/>
  <c r="U24" i="24"/>
  <c r="U16" i="24"/>
  <c r="U43" i="24"/>
  <c r="U39" i="24"/>
  <c r="U35" i="24"/>
  <c r="U31" i="24"/>
  <c r="U27" i="24"/>
  <c r="D24" i="19"/>
  <c r="D42" i="19"/>
  <c r="G42" i="19" s="1"/>
  <c r="H42" i="19" s="1"/>
  <c r="D20" i="19"/>
  <c r="D38" i="19"/>
  <c r="G38" i="19" s="1"/>
  <c r="H38" i="19" s="1"/>
  <c r="D16" i="19"/>
  <c r="D34" i="19"/>
  <c r="D12" i="19"/>
  <c r="D30" i="19"/>
  <c r="D23" i="19"/>
  <c r="D41" i="19"/>
  <c r="G41" i="19" s="1"/>
  <c r="H41" i="19" s="1"/>
  <c r="D19" i="19"/>
  <c r="D37" i="19"/>
  <c r="G37" i="19" s="1"/>
  <c r="H37" i="19" s="1"/>
  <c r="D15" i="19"/>
  <c r="D33" i="19"/>
  <c r="D11" i="19"/>
  <c r="D29" i="19"/>
  <c r="D22" i="19"/>
  <c r="D40" i="19"/>
  <c r="G40" i="19" s="1"/>
  <c r="H40" i="19" s="1"/>
  <c r="D18" i="19"/>
  <c r="D36" i="19"/>
  <c r="D14" i="19"/>
  <c r="D32" i="19"/>
  <c r="D10" i="19"/>
  <c r="D28" i="19"/>
  <c r="D25" i="19"/>
  <c r="D43" i="19"/>
  <c r="G43" i="19" s="1"/>
  <c r="H43" i="19" s="1"/>
  <c r="D21" i="19"/>
  <c r="D39" i="19"/>
  <c r="G39" i="19" s="1"/>
  <c r="H39" i="19" s="1"/>
  <c r="D17" i="19"/>
  <c r="D35" i="19"/>
  <c r="D13" i="19"/>
  <c r="D31" i="19"/>
  <c r="D9" i="19"/>
  <c r="D27" i="19"/>
  <c r="U49" i="24"/>
  <c r="U119" i="24"/>
  <c r="U115" i="24"/>
  <c r="U111" i="24"/>
  <c r="U107" i="24"/>
  <c r="U103" i="24"/>
  <c r="U99" i="24"/>
  <c r="U95" i="24"/>
  <c r="U91" i="24"/>
  <c r="U87" i="24"/>
  <c r="U83" i="24"/>
  <c r="U79" i="24"/>
  <c r="U75" i="24"/>
  <c r="U71" i="24"/>
  <c r="U67" i="24"/>
  <c r="U63" i="24"/>
  <c r="U59" i="24"/>
  <c r="U55" i="24"/>
  <c r="U48" i="24"/>
  <c r="U118" i="24"/>
  <c r="U114" i="24"/>
  <c r="U110" i="24"/>
  <c r="U106" i="24"/>
  <c r="U102" i="24"/>
  <c r="U98" i="24"/>
  <c r="U94" i="24"/>
  <c r="U90" i="24"/>
  <c r="U86" i="24"/>
  <c r="U82" i="24"/>
  <c r="U78" i="24"/>
  <c r="U74" i="24"/>
  <c r="U70" i="24"/>
  <c r="U66" i="24"/>
  <c r="U62" i="24"/>
  <c r="U58" i="24"/>
  <c r="U54" i="24"/>
  <c r="P14" i="24"/>
  <c r="P129" i="24" s="1"/>
  <c r="D129" i="24"/>
  <c r="U18" i="24"/>
  <c r="U51" i="24"/>
  <c r="U47" i="24"/>
  <c r="U121" i="24"/>
  <c r="U117" i="24"/>
  <c r="U113" i="24"/>
  <c r="U109" i="24"/>
  <c r="U105" i="24"/>
  <c r="U101" i="24"/>
  <c r="U97" i="24"/>
  <c r="U93" i="24"/>
  <c r="U89" i="24"/>
  <c r="U85" i="24"/>
  <c r="U81" i="24"/>
  <c r="U77" i="24"/>
  <c r="U73" i="24"/>
  <c r="U69" i="24"/>
  <c r="U65" i="24"/>
  <c r="U61" i="24"/>
  <c r="U57" i="24"/>
  <c r="U53" i="24"/>
  <c r="Q14" i="24"/>
  <c r="Q129" i="24" s="1"/>
  <c r="E129" i="24"/>
  <c r="U50" i="24"/>
  <c r="U120" i="24"/>
  <c r="U116" i="24"/>
  <c r="U112" i="24"/>
  <c r="U108" i="24"/>
  <c r="U104" i="24"/>
  <c r="U100" i="24"/>
  <c r="U96" i="24"/>
  <c r="U92" i="24"/>
  <c r="U88" i="24"/>
  <c r="U84" i="24"/>
  <c r="U80" i="24"/>
  <c r="U76" i="24"/>
  <c r="U72" i="24"/>
  <c r="U68" i="24"/>
  <c r="U64" i="24"/>
  <c r="U60" i="24"/>
  <c r="U56" i="24"/>
  <c r="U52" i="24"/>
  <c r="G68" i="19"/>
  <c r="H68" i="19" s="1"/>
  <c r="G48" i="19"/>
  <c r="H48" i="19" s="1"/>
  <c r="G86" i="19"/>
  <c r="H86" i="19" s="1"/>
  <c r="G60" i="19"/>
  <c r="H60" i="19" s="1"/>
  <c r="G64" i="19"/>
  <c r="H64" i="19" s="1"/>
  <c r="G56" i="19"/>
  <c r="H56" i="19" s="1"/>
  <c r="G52" i="19"/>
  <c r="H52" i="19" s="1"/>
  <c r="G44" i="19"/>
  <c r="H44" i="19" s="1"/>
  <c r="G67" i="19"/>
  <c r="H67" i="19" s="1"/>
  <c r="G59" i="19"/>
  <c r="H59" i="19" s="1"/>
  <c r="G55" i="19"/>
  <c r="H55" i="19" s="1"/>
  <c r="G51" i="19"/>
  <c r="H51" i="19" s="1"/>
  <c r="G85" i="19"/>
  <c r="H85" i="19" s="1"/>
  <c r="I128" i="29"/>
  <c r="J127" i="29"/>
  <c r="D128" i="29"/>
  <c r="D127" i="29"/>
  <c r="B128" i="29"/>
  <c r="B127" i="29"/>
  <c r="I32" i="23"/>
  <c r="I31" i="23"/>
  <c r="E32" i="23"/>
  <c r="E31" i="23"/>
  <c r="B32" i="23"/>
  <c r="B31" i="23"/>
  <c r="H31" i="20"/>
  <c r="H30" i="20"/>
  <c r="D31" i="20"/>
  <c r="D30" i="20"/>
  <c r="A31" i="20"/>
  <c r="A30" i="20"/>
  <c r="B25" i="20"/>
  <c r="C128" i="24"/>
  <c r="U14" i="24" l="1"/>
  <c r="K145" i="24"/>
  <c r="K144" i="24"/>
  <c r="D145" i="24"/>
  <c r="D144" i="24"/>
  <c r="A145" i="24"/>
  <c r="A144" i="24"/>
  <c r="O13" i="24"/>
  <c r="N13" i="24"/>
  <c r="N128" i="24" s="1"/>
  <c r="M13" i="24"/>
  <c r="M128" i="24" s="1"/>
  <c r="L13" i="24"/>
  <c r="L128" i="24" s="1"/>
  <c r="K13" i="24"/>
  <c r="K128" i="24" s="1"/>
  <c r="G128" i="24"/>
  <c r="F128" i="24"/>
  <c r="E128" i="24"/>
  <c r="D13" i="24"/>
  <c r="G127" i="19"/>
  <c r="G126" i="19"/>
  <c r="D127" i="19"/>
  <c r="D126" i="19"/>
  <c r="A127" i="19"/>
  <c r="A126" i="19"/>
  <c r="B122" i="19"/>
  <c r="N9" i="28"/>
  <c r="A135" i="15"/>
  <c r="A25" i="21"/>
  <c r="I29" i="21"/>
  <c r="I28" i="21"/>
  <c r="E29" i="21"/>
  <c r="E28" i="21"/>
  <c r="A29" i="21"/>
  <c r="A28" i="21"/>
  <c r="I25" i="31"/>
  <c r="I24" i="31"/>
  <c r="E25" i="31"/>
  <c r="E24" i="31"/>
  <c r="A25" i="31"/>
  <c r="A24" i="31"/>
  <c r="I128" i="24" l="1"/>
  <c r="J128" i="24"/>
  <c r="D128" i="24"/>
  <c r="D130" i="24" s="1"/>
  <c r="H128" i="24"/>
  <c r="T13" i="24"/>
  <c r="T128" i="24" s="1"/>
  <c r="O128" i="24"/>
  <c r="O130" i="24" s="1"/>
  <c r="S13" i="24"/>
  <c r="S128" i="24" s="1"/>
  <c r="R13" i="24"/>
  <c r="R128" i="24" s="1"/>
  <c r="K130" i="24"/>
  <c r="K131" i="24" s="1"/>
  <c r="Q13" i="24"/>
  <c r="Q128" i="24" s="1"/>
  <c r="G130" i="24"/>
  <c r="G131" i="24" s="1"/>
  <c r="P13" i="24"/>
  <c r="P128" i="24" s="1"/>
  <c r="F130" i="24"/>
  <c r="F131" i="24" s="1"/>
  <c r="A18" i="31"/>
  <c r="O131" i="24" l="1"/>
  <c r="D131" i="24"/>
  <c r="L130" i="24"/>
  <c r="L131" i="24" s="1"/>
  <c r="N130" i="24"/>
  <c r="M130" i="24"/>
  <c r="M131" i="24" s="1"/>
  <c r="E130" i="24"/>
  <c r="B24" i="20"/>
  <c r="B138" i="24"/>
  <c r="B121" i="19"/>
  <c r="A134" i="15"/>
  <c r="E16" i="25"/>
  <c r="A24" i="21" s="1"/>
  <c r="N131" i="24" l="1"/>
  <c r="E131" i="24"/>
  <c r="A7" i="31"/>
  <c r="A6" i="31"/>
  <c r="A5" i="31"/>
  <c r="E119" i="29" l="1"/>
  <c r="H119" i="29"/>
  <c r="I119" i="29"/>
  <c r="J119" i="29"/>
  <c r="K119" i="29"/>
  <c r="L9" i="29"/>
  <c r="A6" i="29"/>
  <c r="L70" i="29" l="1"/>
  <c r="L11" i="29"/>
  <c r="L23" i="29"/>
  <c r="L35" i="29"/>
  <c r="L39" i="29"/>
  <c r="L43" i="29"/>
  <c r="L47" i="29"/>
  <c r="L55" i="29"/>
  <c r="L67" i="29"/>
  <c r="L10" i="29"/>
  <c r="L64" i="29"/>
  <c r="L60" i="29"/>
  <c r="L52" i="29"/>
  <c r="L40" i="29"/>
  <c r="L28" i="29"/>
  <c r="L20" i="29"/>
  <c r="L12" i="29"/>
  <c r="L69" i="29"/>
  <c r="L61" i="29"/>
  <c r="L57" i="29"/>
  <c r="L49" i="29"/>
  <c r="L45" i="29"/>
  <c r="L41" i="29"/>
  <c r="L37" i="29"/>
  <c r="L29" i="29"/>
  <c r="L25" i="29"/>
  <c r="L21" i="29"/>
  <c r="L62" i="29"/>
  <c r="L58" i="29"/>
  <c r="L54" i="29"/>
  <c r="L50" i="29"/>
  <c r="L46" i="29"/>
  <c r="L42" i="29"/>
  <c r="L34" i="29"/>
  <c r="L30" i="29"/>
  <c r="L26" i="29"/>
  <c r="L22" i="29"/>
  <c r="G119" i="29" l="1"/>
  <c r="F119" i="29"/>
  <c r="L118" i="29"/>
  <c r="E9" i="19"/>
  <c r="G9" i="19" s="1"/>
  <c r="H9" i="19" s="1"/>
  <c r="E10" i="19"/>
  <c r="G10" i="19" s="1"/>
  <c r="H10" i="19" s="1"/>
  <c r="E11" i="19"/>
  <c r="G11" i="19" s="1"/>
  <c r="H11" i="19" s="1"/>
  <c r="E12" i="19"/>
  <c r="G12" i="19" s="1"/>
  <c r="H12" i="19" s="1"/>
  <c r="E13" i="19"/>
  <c r="G13" i="19" s="1"/>
  <c r="H13" i="19" s="1"/>
  <c r="E14" i="19"/>
  <c r="G14" i="19" s="1"/>
  <c r="H14" i="19" s="1"/>
  <c r="E15" i="19"/>
  <c r="G15" i="19" s="1"/>
  <c r="H15" i="19" s="1"/>
  <c r="E16" i="19"/>
  <c r="G16" i="19" s="1"/>
  <c r="H16" i="19" s="1"/>
  <c r="E17" i="19"/>
  <c r="G17" i="19" s="1"/>
  <c r="H17" i="19" s="1"/>
  <c r="E18" i="19"/>
  <c r="G18" i="19" s="1"/>
  <c r="H18" i="19" s="1"/>
  <c r="E19" i="19"/>
  <c r="G19" i="19" s="1"/>
  <c r="H19" i="19" s="1"/>
  <c r="E20" i="19"/>
  <c r="G20" i="19" s="1"/>
  <c r="H20" i="19" s="1"/>
  <c r="E21" i="19"/>
  <c r="G21" i="19" s="1"/>
  <c r="H21" i="19" s="1"/>
  <c r="E22" i="19"/>
  <c r="G22" i="19" s="1"/>
  <c r="H22" i="19" s="1"/>
  <c r="E23" i="19"/>
  <c r="G23" i="19" s="1"/>
  <c r="H23" i="19" s="1"/>
  <c r="E24" i="19"/>
  <c r="G24" i="19" s="1"/>
  <c r="H24" i="19" s="1"/>
  <c r="E25" i="19"/>
  <c r="G25" i="19" s="1"/>
  <c r="H25" i="19" s="1"/>
  <c r="E26" i="19"/>
  <c r="E27" i="19"/>
  <c r="G27" i="19" s="1"/>
  <c r="H27" i="19" s="1"/>
  <c r="E28" i="19"/>
  <c r="G28" i="19" s="1"/>
  <c r="H28" i="19" s="1"/>
  <c r="E29" i="19"/>
  <c r="G29" i="19" s="1"/>
  <c r="H29" i="19" s="1"/>
  <c r="E30" i="19"/>
  <c r="G30" i="19" s="1"/>
  <c r="H30" i="19" s="1"/>
  <c r="E31" i="19"/>
  <c r="G31" i="19" s="1"/>
  <c r="H31" i="19" s="1"/>
  <c r="E32" i="19"/>
  <c r="G32" i="19" s="1"/>
  <c r="H32" i="19" s="1"/>
  <c r="E33" i="19"/>
  <c r="G33" i="19" s="1"/>
  <c r="H33" i="19" s="1"/>
  <c r="E34" i="19"/>
  <c r="G34" i="19" s="1"/>
  <c r="H34" i="19" s="1"/>
  <c r="E35" i="19"/>
  <c r="G35" i="19" s="1"/>
  <c r="H35" i="19" s="1"/>
  <c r="E36" i="19"/>
  <c r="G36" i="19" s="1"/>
  <c r="H36" i="19" s="1"/>
  <c r="E8" i="19"/>
  <c r="D6" i="28" l="1"/>
  <c r="C6" i="28"/>
  <c r="A6" i="28"/>
  <c r="G56" i="15"/>
  <c r="D71" i="19" s="1"/>
  <c r="G71" i="19" s="1"/>
  <c r="H71" i="19" s="1"/>
  <c r="G57" i="15"/>
  <c r="D72" i="19" s="1"/>
  <c r="G72" i="19" s="1"/>
  <c r="H72" i="19" s="1"/>
  <c r="G58" i="15"/>
  <c r="D73" i="19" s="1"/>
  <c r="G73" i="19" s="1"/>
  <c r="H73" i="19" s="1"/>
  <c r="G59" i="15"/>
  <c r="D74" i="19" s="1"/>
  <c r="G74" i="19" s="1"/>
  <c r="H74" i="19" s="1"/>
  <c r="G60" i="15"/>
  <c r="D75" i="19" s="1"/>
  <c r="G75" i="19" s="1"/>
  <c r="H75" i="19" s="1"/>
  <c r="G61" i="15"/>
  <c r="D76" i="19" s="1"/>
  <c r="G76" i="19" s="1"/>
  <c r="H76" i="19" s="1"/>
  <c r="G62" i="15"/>
  <c r="D77" i="19" s="1"/>
  <c r="G77" i="19" s="1"/>
  <c r="H77" i="19" s="1"/>
  <c r="G63" i="15"/>
  <c r="D78" i="19" s="1"/>
  <c r="G78" i="19" s="1"/>
  <c r="H78" i="19" s="1"/>
  <c r="G64" i="15"/>
  <c r="D79" i="19" s="1"/>
  <c r="G79" i="19" s="1"/>
  <c r="H79" i="19" s="1"/>
  <c r="G65" i="15"/>
  <c r="D80" i="19" s="1"/>
  <c r="G80" i="19" s="1"/>
  <c r="H80" i="19" s="1"/>
  <c r="G66" i="15"/>
  <c r="D81" i="19" s="1"/>
  <c r="G81" i="19" s="1"/>
  <c r="H81" i="19" s="1"/>
  <c r="G67" i="15"/>
  <c r="D82" i="19" s="1"/>
  <c r="G82" i="19" s="1"/>
  <c r="H82" i="19" s="1"/>
  <c r="G68" i="15"/>
  <c r="D83" i="19" s="1"/>
  <c r="G83" i="19" s="1"/>
  <c r="H83" i="19" s="1"/>
  <c r="G69" i="15"/>
  <c r="D84" i="19" s="1"/>
  <c r="G84" i="19" s="1"/>
  <c r="H84" i="19" s="1"/>
  <c r="G11" i="15"/>
  <c r="G9" i="15"/>
  <c r="D8" i="19" l="1"/>
  <c r="G8" i="19" s="1"/>
  <c r="H8" i="19" s="1"/>
  <c r="D26" i="19"/>
  <c r="G26" i="19" s="1"/>
  <c r="H26" i="19" s="1"/>
  <c r="D114" i="19"/>
  <c r="G114" i="19" s="1"/>
  <c r="H114" i="19" s="1"/>
  <c r="D110" i="19"/>
  <c r="G110" i="19" s="1"/>
  <c r="H110" i="19" s="1"/>
  <c r="D106" i="19"/>
  <c r="G106" i="19" s="1"/>
  <c r="H106" i="19" s="1"/>
  <c r="D102" i="19"/>
  <c r="G102" i="19" s="1"/>
  <c r="H102" i="19" s="1"/>
  <c r="D98" i="19"/>
  <c r="G98" i="19" s="1"/>
  <c r="H98" i="19" s="1"/>
  <c r="D94" i="19"/>
  <c r="G94" i="19" s="1"/>
  <c r="H94" i="19" s="1"/>
  <c r="D90" i="19"/>
  <c r="G90" i="19" s="1"/>
  <c r="H90" i="19" s="1"/>
  <c r="D113" i="19"/>
  <c r="G113" i="19" s="1"/>
  <c r="H113" i="19" s="1"/>
  <c r="D109" i="19"/>
  <c r="G109" i="19" s="1"/>
  <c r="H109" i="19" s="1"/>
  <c r="D105" i="19"/>
  <c r="G105" i="19" s="1"/>
  <c r="H105" i="19" s="1"/>
  <c r="D101" i="19"/>
  <c r="G101" i="19" s="1"/>
  <c r="H101" i="19" s="1"/>
  <c r="D97" i="19"/>
  <c r="G97" i="19" s="1"/>
  <c r="H97" i="19" s="1"/>
  <c r="D93" i="19"/>
  <c r="G93" i="19" s="1"/>
  <c r="H93" i="19" s="1"/>
  <c r="D89" i="19"/>
  <c r="G89" i="19" s="1"/>
  <c r="H89" i="19" s="1"/>
  <c r="D112" i="19"/>
  <c r="G112" i="19" s="1"/>
  <c r="H112" i="19" s="1"/>
  <c r="D108" i="19"/>
  <c r="G108" i="19" s="1"/>
  <c r="H108" i="19" s="1"/>
  <c r="D104" i="19"/>
  <c r="G104" i="19" s="1"/>
  <c r="H104" i="19" s="1"/>
  <c r="D100" i="19"/>
  <c r="G100" i="19" s="1"/>
  <c r="H100" i="19" s="1"/>
  <c r="D96" i="19"/>
  <c r="G96" i="19" s="1"/>
  <c r="H96" i="19" s="1"/>
  <c r="D92" i="19"/>
  <c r="G92" i="19" s="1"/>
  <c r="H92" i="19" s="1"/>
  <c r="D88" i="19"/>
  <c r="G88" i="19" s="1"/>
  <c r="H88" i="19" s="1"/>
  <c r="D87" i="19"/>
  <c r="G87" i="19" s="1"/>
  <c r="H87" i="19" s="1"/>
  <c r="D115" i="19"/>
  <c r="G115" i="19" s="1"/>
  <c r="H115" i="19" s="1"/>
  <c r="D111" i="19"/>
  <c r="G111" i="19" s="1"/>
  <c r="H111" i="19" s="1"/>
  <c r="D107" i="19"/>
  <c r="G107" i="19" s="1"/>
  <c r="H107" i="19" s="1"/>
  <c r="D103" i="19"/>
  <c r="G103" i="19" s="1"/>
  <c r="H103" i="19" s="1"/>
  <c r="D99" i="19"/>
  <c r="G99" i="19" s="1"/>
  <c r="H99" i="19" s="1"/>
  <c r="D95" i="19"/>
  <c r="G95" i="19" s="1"/>
  <c r="H95" i="19" s="1"/>
  <c r="D91" i="19"/>
  <c r="G91" i="19" s="1"/>
  <c r="H91" i="19" s="1"/>
  <c r="T129" i="24" l="1"/>
  <c r="S130" i="24" l="1"/>
  <c r="S131" i="24" s="1"/>
  <c r="T130" i="24"/>
  <c r="T131" i="24" s="1"/>
  <c r="Q130" i="24"/>
  <c r="Q131" i="24" s="1"/>
  <c r="R130" i="24"/>
  <c r="R131" i="24" s="1"/>
  <c r="B25" i="23" l="1"/>
  <c r="B24" i="23"/>
  <c r="B8" i="23"/>
  <c r="B7" i="23"/>
  <c r="B6" i="23"/>
  <c r="D6" i="18"/>
  <c r="C6" i="18"/>
  <c r="A6" i="18"/>
  <c r="D6" i="15"/>
  <c r="C6" i="15"/>
  <c r="A6" i="15"/>
  <c r="D6" i="19"/>
  <c r="A6" i="19"/>
  <c r="C6" i="19"/>
  <c r="B7" i="20"/>
  <c r="B6" i="20"/>
  <c r="B5" i="20"/>
  <c r="A8" i="26"/>
  <c r="A7" i="26"/>
  <c r="A6" i="26"/>
  <c r="A8" i="24"/>
  <c r="A7" i="24"/>
  <c r="A6" i="24"/>
  <c r="A8" i="21"/>
  <c r="A7" i="21"/>
  <c r="A6" i="21"/>
  <c r="U129" i="24" l="1"/>
  <c r="P130" i="24"/>
  <c r="P131" i="24" s="1"/>
  <c r="D15" i="20" l="1"/>
  <c r="E15" i="20"/>
  <c r="F15" i="20"/>
  <c r="G15" i="20"/>
  <c r="K11" i="23"/>
  <c r="J11" i="23"/>
  <c r="I11" i="23"/>
  <c r="H11" i="23"/>
  <c r="G11" i="23"/>
  <c r="F11" i="23"/>
  <c r="E11" i="23"/>
  <c r="D11" i="23"/>
  <c r="C15" i="20" l="1"/>
  <c r="C15" i="23"/>
  <c r="C14" i="23"/>
  <c r="E16" i="20"/>
  <c r="C16" i="23"/>
  <c r="G16" i="20"/>
  <c r="D133" i="24"/>
  <c r="F16" i="20" l="1"/>
  <c r="C13" i="23"/>
  <c r="D16" i="20"/>
  <c r="C12" i="23"/>
  <c r="C16" i="20"/>
  <c r="J17" i="23" l="1"/>
  <c r="J18" i="23" s="1"/>
  <c r="I17" i="23"/>
  <c r="I18" i="23" s="1"/>
  <c r="H17" i="23"/>
  <c r="H18" i="23" s="1"/>
  <c r="G17" i="23"/>
  <c r="G18" i="23" s="1"/>
  <c r="F17" i="23"/>
  <c r="F18" i="23" s="1"/>
  <c r="E17" i="23"/>
  <c r="E18" i="23" s="1"/>
  <c r="D17" i="23"/>
  <c r="D18" i="23" s="1"/>
  <c r="K17" i="23"/>
  <c r="K18" i="23" s="1"/>
  <c r="U13" i="24"/>
  <c r="U128" i="24" s="1"/>
  <c r="U130" i="24" s="1"/>
  <c r="U131" i="24" l="1"/>
  <c r="E133" i="24"/>
</calcChain>
</file>

<file path=xl/sharedStrings.xml><?xml version="1.0" encoding="utf-8"?>
<sst xmlns="http://schemas.openxmlformats.org/spreadsheetml/2006/main" count="1780" uniqueCount="492">
  <si>
    <t>Roll No.</t>
  </si>
  <si>
    <t>Name of the Student</t>
  </si>
  <si>
    <t>CO1</t>
  </si>
  <si>
    <t>CO2</t>
  </si>
  <si>
    <t>CO3</t>
  </si>
  <si>
    <t xml:space="preserve">Comprehensive Concurrent Evaluation (CCE) Sheet </t>
  </si>
  <si>
    <t>Seat No.</t>
  </si>
  <si>
    <t>Name</t>
  </si>
  <si>
    <t>(College Examination Officer)</t>
  </si>
  <si>
    <t>Approved by AICTE, Recognized under 2 (f) &amp; 12 (b) sections of UGC Act)</t>
  </si>
  <si>
    <t>CO4</t>
  </si>
  <si>
    <t>Total Marks Obtained (25)</t>
  </si>
  <si>
    <t>CO5</t>
  </si>
  <si>
    <t>Total No. of Students:</t>
  </si>
  <si>
    <t>PO1</t>
  </si>
  <si>
    <t>PO2</t>
  </si>
  <si>
    <t>PO3</t>
  </si>
  <si>
    <t>PO4</t>
  </si>
  <si>
    <t>PO5</t>
  </si>
  <si>
    <t>PO6</t>
  </si>
  <si>
    <t>PO7</t>
  </si>
  <si>
    <t>PO8</t>
  </si>
  <si>
    <t>CO6</t>
  </si>
  <si>
    <t>Average</t>
  </si>
  <si>
    <t>-</t>
  </si>
  <si>
    <t>Average Mapping (M)</t>
  </si>
  <si>
    <t>No of Students (y)</t>
  </si>
  <si>
    <t>CO Attainment Level</t>
  </si>
  <si>
    <t>% of Students to get</t>
  </si>
  <si>
    <t>CO Attainment Percentage</t>
  </si>
  <si>
    <t>Course Outcome Attainment Calculations - External Assessment (SPPU)</t>
  </si>
  <si>
    <t>Equal Weightage to all COs</t>
  </si>
  <si>
    <t>Percentage of Students to get</t>
  </si>
  <si>
    <t>Particulars</t>
  </si>
  <si>
    <t>OVERALL CO ATTAINMENT FOR COURSE</t>
  </si>
  <si>
    <t>Name of the faculty:</t>
  </si>
  <si>
    <t>Subject &amp; Code:</t>
  </si>
  <si>
    <t>Class &amp; A.Y.:</t>
  </si>
  <si>
    <t>Type of Course:</t>
  </si>
  <si>
    <t>Subject Core</t>
  </si>
  <si>
    <t>Specialization:</t>
  </si>
  <si>
    <t>Internal Assessment Weightage</t>
  </si>
  <si>
    <t>External Assessment Weightage</t>
  </si>
  <si>
    <t>Direct Assessment Weightage</t>
  </si>
  <si>
    <t>Indirect Assessment Weightage</t>
  </si>
  <si>
    <t>CO ATTAINMENT PERCENTAGE - DIRECT ASSESSMENT 
Direct Attainment=(Int. Weightage X A1) + ( Ext. Weightage X A2)</t>
  </si>
  <si>
    <t>CO ATTAINMENT PERCENTAGE - INDIRECT (SURVEY)</t>
  </si>
  <si>
    <t>CO ATTAINMENT PERCENTAGE - 
INTERNAL ASSESSMENT (A1)</t>
  </si>
  <si>
    <t>CO ATTAINMENT PERCENTAGE - 
EXTERNAL ASSESSMENT (SPPU) (A2)</t>
  </si>
  <si>
    <t>Designation:</t>
  </si>
  <si>
    <t>Total Marks Obtained</t>
  </si>
  <si>
    <t>Overall CO Attainment %</t>
  </si>
  <si>
    <t>CO-PO Attainment Calculations</t>
  </si>
  <si>
    <t>CO ATTAINMENT LEVEL</t>
  </si>
  <si>
    <t>Attainment based on Comprehensive Concurrent Evaluation (CCE) = Avg. of all COs</t>
  </si>
  <si>
    <t>Percentage of Students to get 60% of Marks</t>
  </si>
  <si>
    <t xml:space="preserve"> </t>
  </si>
  <si>
    <t>Student Exit Survey</t>
  </si>
  <si>
    <t>Attainment</t>
  </si>
  <si>
    <t>Perecentage</t>
  </si>
  <si>
    <t>Rubrics</t>
  </si>
  <si>
    <t>Criteria</t>
  </si>
  <si>
    <t>Understanding of Concepts</t>
  </si>
  <si>
    <t>Demonstrates in-depth understanding of accounting principles</t>
  </si>
  <si>
    <t>Shows solid understanding with minor gaps</t>
  </si>
  <si>
    <t>Basic understanding; lacks depth</t>
  </si>
  <si>
    <t>Limited or incorrect understanding</t>
  </si>
  <si>
    <t>Application of Tools</t>
  </si>
  <si>
    <t>Applies appropriate accounting tools and ratios with precision</t>
  </si>
  <si>
    <t>Mostly accurate application of tools</t>
  </si>
  <si>
    <t>Some errors in applying tools</t>
  </si>
  <si>
    <t>Incorrect or missing tools</t>
  </si>
  <si>
    <t>Interpretation &amp; Decision-Making</t>
  </si>
  <si>
    <t>Insightful interpretation leading to strong recommendations</t>
  </si>
  <si>
    <t>Good interpretation and relevant decisions</t>
  </si>
  <si>
    <t>Somewhat relevant conclusions</t>
  </si>
  <si>
    <t>Weak or unsupported decisions</t>
  </si>
  <si>
    <t>Structure &amp; Clarity</t>
  </si>
  <si>
    <t>Well-structured and clearly articulated</t>
  </si>
  <si>
    <t>Generally clear with minor issues</t>
  </si>
  <si>
    <t>Some structural issues</t>
  </si>
  <si>
    <t>Poorly organized and unclear</t>
  </si>
  <si>
    <t>References &amp; Format</t>
  </si>
  <si>
    <t>Proper citations and professional format</t>
  </si>
  <si>
    <t>Minor errors in format</t>
  </si>
  <si>
    <t>Inconsistent or limited referencing</t>
  </si>
  <si>
    <t>Lacks proper citations and format</t>
  </si>
  <si>
    <t>Excellent (100%)</t>
  </si>
  <si>
    <t>Good (80%)</t>
  </si>
  <si>
    <t>Satisfactory (60%)</t>
  </si>
  <si>
    <t>Needs Improvement (&lt;60%)</t>
  </si>
  <si>
    <t>Overall  Semester wise  Attainment</t>
  </si>
  <si>
    <t>Director</t>
  </si>
  <si>
    <r>
      <t xml:space="preserve">Max Marks </t>
    </r>
    <r>
      <rPr>
        <b/>
        <sz val="16"/>
        <color rgb="FF000000"/>
        <rFont val="Times New Roman"/>
        <family val="1"/>
      </rPr>
      <t xml:space="preserve"> →</t>
    </r>
    <r>
      <rPr>
        <b/>
        <sz val="11"/>
        <color rgb="FF000000"/>
        <rFont val="Times New Roman"/>
        <family val="1"/>
      </rPr>
      <t xml:space="preserve"> </t>
    </r>
  </si>
  <si>
    <t>Dr. D.Y. Patil Educational Federation's</t>
  </si>
  <si>
    <t>Dr. D. Y. Patil Institute of Management and Entreprenuer Development, Varale, Pune</t>
  </si>
  <si>
    <t>(Permanently affiliated to Savitribai Phule Pune University, Accredited by NAAC 'A'</t>
  </si>
  <si>
    <t>Java Programming</t>
  </si>
  <si>
    <t>%</t>
  </si>
  <si>
    <t>Marks</t>
  </si>
  <si>
    <t>Subject Faculty</t>
  </si>
  <si>
    <t>Dr. Ashwini Chavan</t>
  </si>
  <si>
    <t>Dr. Priyanka Singh</t>
  </si>
  <si>
    <t xml:space="preserve">COURSE OUTCOMES (CO) MAPPING WITH PROGRAM OUTCOMES (PO) </t>
  </si>
  <si>
    <t>Program OutComes</t>
  </si>
  <si>
    <t>Course OutComes</t>
  </si>
  <si>
    <r>
      <rPr>
        <b/>
        <sz val="14"/>
        <color theme="1"/>
        <rFont val="Times New Roman"/>
        <family val="1"/>
      </rPr>
      <t xml:space="preserve">CO1 Understand </t>
    </r>
    <r>
      <rPr>
        <sz val="14"/>
        <color theme="1"/>
        <rFont val="Times New Roman"/>
        <family val="1"/>
      </rPr>
      <t>Basic Concepts of OOPs, Java, Inheritance, Package. (Understand)</t>
    </r>
  </si>
  <si>
    <r>
      <rPr>
        <b/>
        <sz val="14"/>
        <color theme="1"/>
        <rFont val="Times New Roman"/>
        <family val="1"/>
      </rPr>
      <t>CO3: Understand</t>
    </r>
    <r>
      <rPr>
        <sz val="14"/>
        <color theme="1"/>
        <rFont val="Times New Roman"/>
        <family val="1"/>
      </rPr>
      <t xml:space="preserve"> collection framework (Understand)</t>
    </r>
  </si>
  <si>
    <r>
      <rPr>
        <b/>
        <sz val="14"/>
        <color theme="1"/>
        <rFont val="Times New Roman"/>
        <family val="1"/>
      </rPr>
      <t>CO4: Develop</t>
    </r>
    <r>
      <rPr>
        <sz val="14"/>
        <color theme="1"/>
        <rFont val="Times New Roman"/>
        <family val="1"/>
      </rPr>
      <t xml:space="preserve"> GUI using Abstract Windows Toolkit (AWT) and event handling (Apply)</t>
    </r>
  </si>
  <si>
    <r>
      <rPr>
        <b/>
        <sz val="14"/>
        <color theme="1"/>
        <rFont val="Times New Roman"/>
        <family val="1"/>
      </rPr>
      <t>CO5: Develop</t>
    </r>
    <r>
      <rPr>
        <sz val="14"/>
        <color theme="1"/>
        <rFont val="Times New Roman"/>
        <family val="1"/>
      </rPr>
      <t xml:space="preserve"> Web application using JSP and Servlet, JDBC (Apply)</t>
    </r>
  </si>
  <si>
    <r>
      <rPr>
        <b/>
        <sz val="14"/>
        <color theme="1"/>
        <rFont val="Times New Roman"/>
        <family val="1"/>
      </rPr>
      <t xml:space="preserve">CO2: Understand </t>
    </r>
    <r>
      <rPr>
        <sz val="14"/>
        <color theme="1"/>
        <rFont val="Times New Roman"/>
        <family val="1"/>
      </rPr>
      <t>Exception handling, arrays and Strings and multi-threading in Java (Understand)</t>
    </r>
  </si>
  <si>
    <r>
      <rPr>
        <b/>
        <sz val="14"/>
        <color rgb="FFC00000"/>
        <rFont val="Times New Roman"/>
        <family val="1"/>
      </rPr>
      <t>3-HIGH (corresponds to a high correlation)</t>
    </r>
    <r>
      <rPr>
        <b/>
        <sz val="14"/>
        <color theme="1"/>
        <rFont val="Times New Roman"/>
        <family val="1"/>
      </rPr>
      <t xml:space="preserve">                                                                                                     </t>
    </r>
    <r>
      <rPr>
        <b/>
        <sz val="14"/>
        <color rgb="FF002060"/>
        <rFont val="Times New Roman"/>
        <family val="1"/>
      </rPr>
      <t xml:space="preserve">2-MEDIUM (corresponds to a medium correlation) </t>
    </r>
    <r>
      <rPr>
        <b/>
        <sz val="14"/>
        <color theme="1"/>
        <rFont val="Times New Roman"/>
        <family val="1"/>
      </rPr>
      <t xml:space="preserve">  
</t>
    </r>
    <r>
      <rPr>
        <b/>
        <sz val="14"/>
        <color theme="9" tint="-0.499984740745262"/>
        <rFont val="Times New Roman"/>
        <family val="1"/>
      </rPr>
      <t>1-LOW (corresponds to a low correlation)</t>
    </r>
    <r>
      <rPr>
        <b/>
        <sz val="14"/>
        <color theme="1"/>
        <rFont val="Times New Roman"/>
        <family val="1"/>
      </rPr>
      <t xml:space="preserve"> between CO and PO/PSO</t>
    </r>
  </si>
  <si>
    <t>Assistant Professor</t>
  </si>
  <si>
    <t>Dr. Ravi Chourasiya</t>
  </si>
  <si>
    <t>HOD (MCA)</t>
  </si>
  <si>
    <r>
      <rPr>
        <b/>
        <sz val="14"/>
        <color theme="1"/>
        <rFont val="Times New Roman"/>
        <family val="1"/>
      </rPr>
      <t>PO1 (Foundation Knowledge):</t>
    </r>
    <r>
      <rPr>
        <sz val="14"/>
        <color theme="1"/>
        <rFont val="Times New Roman"/>
        <family val="1"/>
      </rPr>
      <t xml:space="preserve"> Apply knowledge of mathematics, programming logic and coding fundamentals for solution architecture and problem solving.</t>
    </r>
  </si>
  <si>
    <r>
      <rPr>
        <b/>
        <sz val="14"/>
        <color theme="1"/>
        <rFont val="Times New Roman"/>
        <family val="1"/>
      </rPr>
      <t>PO2 (Problem Analysis):</t>
    </r>
    <r>
      <rPr>
        <sz val="14"/>
        <color theme="1"/>
        <rFont val="Times New Roman"/>
        <family val="1"/>
      </rPr>
      <t xml:space="preserve"> Identify, review, formulate and analyze problems for primarily focussing on customer requirements using critical thinking frameworks.</t>
    </r>
  </si>
  <si>
    <r>
      <rPr>
        <b/>
        <sz val="14"/>
        <color theme="1"/>
        <rFont val="Times New Roman"/>
        <family val="1"/>
      </rPr>
      <t>PO3 (Development of Solutions)</t>
    </r>
    <r>
      <rPr>
        <sz val="14"/>
        <color theme="1"/>
        <rFont val="Times New Roman"/>
        <family val="1"/>
      </rPr>
      <t>: Design, develop and investigate problems with as an innovative approach for solutions incorporating ESG/SDG goals.</t>
    </r>
  </si>
  <si>
    <r>
      <rPr>
        <b/>
        <sz val="14"/>
        <color theme="1"/>
        <rFont val="Times New Roman"/>
        <family val="1"/>
      </rPr>
      <t>PO4 (Modern Tool Usage):</t>
    </r>
    <r>
      <rPr>
        <sz val="14"/>
        <color theme="1"/>
        <rFont val="Times New Roman"/>
        <family val="1"/>
      </rPr>
      <t xml:space="preserve"> Select, adapt and apply modern computational tools such as development of algorithms with an understanding of the limitations including human  biases.</t>
    </r>
  </si>
  <si>
    <r>
      <rPr>
        <b/>
        <sz val="14"/>
        <color theme="1"/>
        <rFont val="Times New Roman"/>
        <family val="1"/>
      </rPr>
      <t>PO5 (Individual and Teamwork):</t>
    </r>
    <r>
      <rPr>
        <sz val="14"/>
        <color theme="1"/>
        <rFont val="Times New Roman"/>
        <family val="1"/>
      </rPr>
      <t xml:space="preserve"> Function and communicate effectively as an individual or a team leader in diverse and multidisciplinary groups. Use methodologies such as agile.</t>
    </r>
  </si>
  <si>
    <r>
      <rPr>
        <b/>
        <sz val="14"/>
        <color theme="1"/>
        <rFont val="Times New Roman"/>
        <family val="1"/>
      </rPr>
      <t>PO6 (Project Management and Finance):</t>
    </r>
    <r>
      <rPr>
        <sz val="14"/>
        <color theme="1"/>
        <rFont val="Times New Roman"/>
        <family val="1"/>
      </rPr>
      <t xml:space="preserve"> Use the principles of project management such as scheduling, work breakdown structure and be conversant with the principles of Finance for profitable project management.</t>
    </r>
  </si>
  <si>
    <r>
      <rPr>
        <b/>
        <sz val="14"/>
        <color theme="1"/>
        <rFont val="Times New Roman"/>
        <family val="1"/>
      </rPr>
      <t>PO7 (Ethics)</t>
    </r>
    <r>
      <rPr>
        <sz val="14"/>
        <color theme="1"/>
        <rFont val="Times New Roman"/>
        <family val="1"/>
      </rPr>
      <t xml:space="preserve">: Commit to professional ethics in managing software projects with financial aspects. Learn to use new technologies for cyber security and insulate customers from malware </t>
    </r>
  </si>
  <si>
    <r>
      <rPr>
        <b/>
        <sz val="14"/>
        <color theme="1"/>
        <rFont val="Times New Roman"/>
        <family val="1"/>
      </rPr>
      <t>PO8 (Life-long learning)</t>
    </r>
    <r>
      <rPr>
        <sz val="14"/>
        <color theme="1"/>
        <rFont val="Times New Roman"/>
        <family val="1"/>
      </rPr>
      <t>: Change management skills and the ability to learn, keep up with contemporary technologies and ways of working.</t>
    </r>
  </si>
  <si>
    <t>CCE-I (Mid Term 1)</t>
  </si>
  <si>
    <t>CCE-II (Assignment)</t>
  </si>
  <si>
    <t>CCE-III (End Term)</t>
  </si>
  <si>
    <t>CCE#1  (30)</t>
  </si>
  <si>
    <t>CCE#2 (20)</t>
  </si>
  <si>
    <t>CCE#3 (50)</t>
  </si>
  <si>
    <t>Total (100)</t>
  </si>
  <si>
    <t>Final
(25)</t>
  </si>
  <si>
    <t>CCE1 (Mid Term: 30)</t>
  </si>
  <si>
    <t>CCE3 (End term:50)</t>
  </si>
  <si>
    <t>Q1</t>
  </si>
  <si>
    <t>Q2</t>
  </si>
  <si>
    <t>Q3</t>
  </si>
  <si>
    <t>Q4</t>
  </si>
  <si>
    <t>Q5</t>
  </si>
  <si>
    <r>
      <t xml:space="preserve">CO Mapping </t>
    </r>
    <r>
      <rPr>
        <b/>
        <sz val="16"/>
        <color rgb="FF000000"/>
        <rFont val="Times New Roman"/>
        <family val="1"/>
      </rPr>
      <t xml:space="preserve"> →</t>
    </r>
    <r>
      <rPr>
        <b/>
        <sz val="11"/>
        <color rgb="FF000000"/>
        <rFont val="Times New Roman"/>
        <family val="1"/>
      </rPr>
      <t xml:space="preserve"> </t>
    </r>
  </si>
  <si>
    <t>CCE2 (Assignment :20)</t>
  </si>
  <si>
    <t>Combined Assessment Marks for COs (100)</t>
  </si>
  <si>
    <t>Benchmark</t>
  </si>
  <si>
    <t>NA</t>
  </si>
  <si>
    <t>Indirect  Attainment</t>
  </si>
  <si>
    <t>Benchmarks</t>
  </si>
  <si>
    <t>Sr. No</t>
  </si>
  <si>
    <t>Narsareddy Chude, Sonali Late</t>
  </si>
  <si>
    <t>MCA I SEM I AY 2023-24</t>
  </si>
  <si>
    <t>NAIK ANKIT JIVAN</t>
  </si>
  <si>
    <t>ARGADE RAVISHANKAR UTTAM</t>
  </si>
  <si>
    <t>ANERAO ONKAR RANGNATH</t>
  </si>
  <si>
    <t>MORE KIRAN SUNIL</t>
  </si>
  <si>
    <t>KSHIRSAGAR GAURAV SHRIKANT</t>
  </si>
  <si>
    <t>SHIRSAT MEGHA SHARAD</t>
  </si>
  <si>
    <t>INGALE RAHUL SUNIL</t>
  </si>
  <si>
    <t>MD TABISH ANWAR</t>
  </si>
  <si>
    <t>PUND SUYOG BHARAT</t>
  </si>
  <si>
    <t>JAGTAP DNYANESHWAR RAGHUNATH</t>
  </si>
  <si>
    <t>MAHAJAN PRATHAMESH JAGDISH</t>
  </si>
  <si>
    <t>PATHAN ALIZABEE AKHTAR KHAN</t>
  </si>
  <si>
    <t>MUNDLOD PRUTHVI BALAJI</t>
  </si>
  <si>
    <t>CHANNE VIJAY SAKHARAM</t>
  </si>
  <si>
    <t>SHAIKH AYUB SIKANDAR</t>
  </si>
  <si>
    <t>SONGIRE VAIBHAV SANTOSH</t>
  </si>
  <si>
    <t>KARDILE GAURAV NANASAHEB</t>
  </si>
  <si>
    <t>SHINDE MAHESH DHANAJI</t>
  </si>
  <si>
    <t>BHISE DIPAK VETALA</t>
  </si>
  <si>
    <t>BHAGWAT SHREYAS RAVINDRA</t>
  </si>
  <si>
    <t>RAHUL VILAS THORAT</t>
  </si>
  <si>
    <t>AVINASH BAPU MANE</t>
  </si>
  <si>
    <t>SHELKE VAIBHAV MACHHINDRA</t>
  </si>
  <si>
    <t>VIJAY SUDHAKAR LOKARE</t>
  </si>
  <si>
    <t>CHANDANKHEDE SEJAL ASHOK</t>
  </si>
  <si>
    <t>VAISHNAVI SAYAJI PINGAT</t>
  </si>
  <si>
    <t>BORSE NIKITA BHALERAO</t>
  </si>
  <si>
    <t>RADHIKA NARAYAN SHELAR</t>
  </si>
  <si>
    <t>BRAMHANE DIPAK LAXMAN</t>
  </si>
  <si>
    <t>PHATKE SAKSHI SANTOSH</t>
  </si>
  <si>
    <t>RAUT NIKHIL DINKAR</t>
  </si>
  <si>
    <t>AKHARE PRATIK RAJENDRA</t>
  </si>
  <si>
    <t>MANATKAR SHREYASH VIJAY</t>
  </si>
  <si>
    <t>VEDANT NILKANTH THATE</t>
  </si>
  <si>
    <t>SALUNKHE SANIYA SANTOSH</t>
  </si>
  <si>
    <t>NAIK BHAKTI ANIL</t>
  </si>
  <si>
    <t>RANDAVE SURAJ SHIVAJI</t>
  </si>
  <si>
    <t>PRAJWAL KISHOR SATPUTE</t>
  </si>
  <si>
    <t>KAPIL MAHENDRA MOON</t>
  </si>
  <si>
    <t>MAYURI TANAJI PATIL</t>
  </si>
  <si>
    <t>BHOSALE SHIVAJI SANTOSH</t>
  </si>
  <si>
    <t>MANE SHARVI MAHENDRA</t>
  </si>
  <si>
    <t>OMKAR SURESH JADHAV</t>
  </si>
  <si>
    <t>SANKET SUBHASH MORE</t>
  </si>
  <si>
    <t>JADHAV AKASH AMAR</t>
  </si>
  <si>
    <t>NINAD KAILAS SHEWALE</t>
  </si>
  <si>
    <t>WAHATULE PAVAN RAOSAHEB</t>
  </si>
  <si>
    <t>BHOGE AKASH PRAVINRAO</t>
  </si>
  <si>
    <t>BHAGAT DHANANJAY JAIRAM</t>
  </si>
  <si>
    <t>KUNDGIR PRATIBHA VASANT</t>
  </si>
  <si>
    <t>SAYYAD TARNUM ISMAIL</t>
  </si>
  <si>
    <t>SHRIKRISHNA SHIWAJI UBHALE</t>
  </si>
  <si>
    <t>JAGTAP PRATHAMESH BHAUSAHEB</t>
  </si>
  <si>
    <t>GHODKI RENUKA DILIP</t>
  </si>
  <si>
    <t>RELEKAR ABHISHEK RAJENDRA</t>
  </si>
  <si>
    <t>CHAUHAN ASHUTOSH SANJAYSINGH</t>
  </si>
  <si>
    <t>ATRE PANKAJ GANESH</t>
  </si>
  <si>
    <t>SUTAR VAIBHAVI VIKAS</t>
  </si>
  <si>
    <t>BHAGWAT PRATIK ANIL</t>
  </si>
  <si>
    <t>THATHAGAR VAIBHAV DHARMENDRA</t>
  </si>
  <si>
    <t>NAIKWADI ADINATH BHIMRAO</t>
  </si>
  <si>
    <t>JATHAR PRADNYA JALINDAR</t>
  </si>
  <si>
    <t>SANJIVANI SUNIL RAUT</t>
  </si>
  <si>
    <t>CHAVAN PAWAN SANTOSH</t>
  </si>
  <si>
    <t>KOLTE PRAJAKTA ANIL</t>
  </si>
  <si>
    <t>PRATIKSHA VISHWASRAO JAWARE</t>
  </si>
  <si>
    <t>JAGDHANE GAYATRI BABASAHEB</t>
  </si>
  <si>
    <t>SONAR PRERANA GAJANAN</t>
  </si>
  <si>
    <t>BHAVIK ANAND SHASHIKANT</t>
  </si>
  <si>
    <t>JADHAV SIDDHARTH SURYAKANT</t>
  </si>
  <si>
    <t>MANE VINAY TANAJI</t>
  </si>
  <si>
    <t>GAIKWAD MANGESH VISHNU</t>
  </si>
  <si>
    <t>GAIKWAD ROHAN RAJENDRA</t>
  </si>
  <si>
    <t>JAGTAP VAISHNAVI VILAS</t>
  </si>
  <si>
    <t>CHINDHE PRATIKSHA BALU</t>
  </si>
  <si>
    <t>SAKSHI SAGAR PARDESHI</t>
  </si>
  <si>
    <t>GHULE AKSHATA ADINATH</t>
  </si>
  <si>
    <t>BHAGAT SANIKA SATISH</t>
  </si>
  <si>
    <t>GANDAGE GANPATI DAYANAND</t>
  </si>
  <si>
    <t>SURYAWANSHI DIVYA BAJRANG</t>
  </si>
  <si>
    <t>KAMBLE YOGESH ARJUN</t>
  </si>
  <si>
    <t>CHAUHAN MANAV JIGAR KUMAR</t>
  </si>
  <si>
    <t>AJAY SATISH MANE</t>
  </si>
  <si>
    <t>CHOUDHARI SIDDHESH MURALIDHAR</t>
  </si>
  <si>
    <t>VARGANTI AARTI YALLAPPA</t>
  </si>
  <si>
    <t>KHAIRE PRATIKSHA KAILAS</t>
  </si>
  <si>
    <t>AJAYKUMAR PHAD</t>
  </si>
  <si>
    <t>CHAUDHARY AKHILESH JEEVAN</t>
  </si>
  <si>
    <t>TAYADE SUMEDH RAJESH</t>
  </si>
  <si>
    <t>GHULE SANKET BHANUDAS</t>
  </si>
  <si>
    <t>BAVISKAR SUMEDH ARVIND</t>
  </si>
  <si>
    <t>VAISHNAVI SANJAY YELMATE</t>
  </si>
  <si>
    <t>DHAGE SIDDHESH SUNIL</t>
  </si>
  <si>
    <t>ASHUTOSH KAMLESH DONGRE</t>
  </si>
  <si>
    <t>INGLE AKANKSHA SANJAY</t>
  </si>
  <si>
    <t>MANTRI PIYUSH DHANRAJ</t>
  </si>
  <si>
    <t>KALE ARCHAND NANDKISHOR</t>
  </si>
  <si>
    <t>BODHE GAURAV MAHESH</t>
  </si>
  <si>
    <t>THORKAR ANURAG RAJESH</t>
  </si>
  <si>
    <t>BHANDE SAKSHI GOPAL</t>
  </si>
  <si>
    <t>PATIL SNEHAL SUBHASH</t>
  </si>
  <si>
    <t>DONGAPURE AARTI SHIVRAJ</t>
  </si>
  <si>
    <t>RAVTALE RUSHIKESH AMBADAS</t>
  </si>
  <si>
    <t>VIVEK RAJVILAS SHAMKULE</t>
  </si>
  <si>
    <t>JISHAN VAHED SHAIKH</t>
  </si>
  <si>
    <t>MORE RUTUJA MADHUKAR</t>
  </si>
  <si>
    <t>ABHISHEK ARGADE</t>
  </si>
  <si>
    <t>KISHOR LAXMAN HAKE</t>
  </si>
  <si>
    <t>Level</t>
  </si>
  <si>
    <t>Course Exit Survey</t>
  </si>
  <si>
    <t>23101</t>
  </si>
  <si>
    <t>23102</t>
  </si>
  <si>
    <t>ARGADE ABHISHEK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</si>
  <si>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</si>
  <si>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</si>
  <si>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</si>
  <si>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</si>
  <si>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</si>
  <si>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</si>
  <si>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</si>
  <si>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</si>
  <si>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</si>
  <si>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</si>
  <si>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</si>
  <si>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</si>
  <si>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</si>
  <si>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</si>
  <si>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</si>
  <si>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</si>
  <si>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</si>
  <si>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</si>
  <si>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</si>
  <si>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</si>
  <si>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MOON KAPIL MAHENDRA</t>
  </si>
  <si>
    <t>23123</t>
  </si>
  <si>
    <t>23124</t>
  </si>
  <si>
    <t>23125</t>
  </si>
  <si>
    <t>MANE AJAY SATISH</t>
  </si>
  <si>
    <t>23126</t>
  </si>
  <si>
    <t>MANE AVINASH BAPU</t>
  </si>
  <si>
    <t>23127</t>
  </si>
  <si>
    <t>23128</t>
  </si>
  <si>
    <t>23129</t>
  </si>
  <si>
    <t>23130</t>
  </si>
  <si>
    <t>23131</t>
  </si>
  <si>
    <t>MORE SANKET SUBHASH</t>
  </si>
  <si>
    <t>23132</t>
  </si>
  <si>
    <t>23133</t>
  </si>
  <si>
    <t>23134</t>
  </si>
  <si>
    <t>23135</t>
  </si>
  <si>
    <t>23136</t>
  </si>
  <si>
    <t>PATIL MAYURI TANAJI</t>
  </si>
  <si>
    <t>23137</t>
  </si>
  <si>
    <t>23138</t>
  </si>
  <si>
    <t>PINGAT VAISHNAVI SAYAJI</t>
  </si>
  <si>
    <t>23139</t>
  </si>
  <si>
    <t>23140</t>
  </si>
  <si>
    <t>23141</t>
  </si>
  <si>
    <t>RAUT SANJIVANI SUNIL</t>
  </si>
  <si>
    <t>23142</t>
  </si>
  <si>
    <t>23143</t>
  </si>
  <si>
    <t>23144</t>
  </si>
  <si>
    <t>SHAIKH JISHAN VAHED</t>
  </si>
  <si>
    <t>23145</t>
  </si>
  <si>
    <t>SHELAR RADHIKA NARAYAN</t>
  </si>
  <si>
    <t>23146</t>
  </si>
  <si>
    <t>23147</t>
  </si>
  <si>
    <t>SHEWALE NINAD KAILAS</t>
  </si>
  <si>
    <t>23148</t>
  </si>
  <si>
    <t>23149</t>
  </si>
  <si>
    <t>23150</t>
  </si>
  <si>
    <t>TAMBRE PRATIK BABURAO</t>
  </si>
  <si>
    <t>23151</t>
  </si>
  <si>
    <t>23152</t>
  </si>
  <si>
    <t>THORAT RAHUL VILAS</t>
  </si>
  <si>
    <t>23153</t>
  </si>
  <si>
    <t>23154</t>
  </si>
  <si>
    <t>UBHALE SHRIKRISHNA SHIWAJI</t>
  </si>
  <si>
    <t>23155</t>
  </si>
  <si>
    <t>YELMATE VAISHNAVI SANJAY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</si>
  <si>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</si>
  <si>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</si>
  <si>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</si>
  <si>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</si>
  <si>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</si>
  <si>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</si>
  <si>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</si>
  <si>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</si>
  <si>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</si>
  <si>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</si>
  <si>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</si>
  <si>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</si>
  <si>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</si>
  <si>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</si>
  <si>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</si>
  <si>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</si>
  <si>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DONGRE ASHUTOSH KAMLESH</t>
  </si>
  <si>
    <t>23217</t>
  </si>
  <si>
    <t>23218</t>
  </si>
  <si>
    <t>23219</t>
  </si>
  <si>
    <t>23220</t>
  </si>
  <si>
    <t>23221</t>
  </si>
  <si>
    <t>HAKE KISHOR LAXMAN</t>
  </si>
  <si>
    <t>23222</t>
  </si>
  <si>
    <t>23223</t>
  </si>
  <si>
    <t>23224</t>
  </si>
  <si>
    <t>JADHAV OMKAR SURESH</t>
  </si>
  <si>
    <t>23225</t>
  </si>
  <si>
    <t>23226</t>
  </si>
  <si>
    <t>23227</t>
  </si>
  <si>
    <t>JAWARE PRATIKSHA VISHWASRAO</t>
  </si>
  <si>
    <t>23228</t>
  </si>
  <si>
    <t>23229</t>
  </si>
  <si>
    <t>23230</t>
  </si>
  <si>
    <t>23231</t>
  </si>
  <si>
    <t>KOSE TRUSHANT CHANDRABHAN</t>
  </si>
  <si>
    <t>23232</t>
  </si>
  <si>
    <t>23233</t>
  </si>
  <si>
    <t>LOKARE VIJAY SUDHAKAR</t>
  </si>
  <si>
    <t>23234</t>
  </si>
  <si>
    <t>23235</t>
  </si>
  <si>
    <t>23236</t>
  </si>
  <si>
    <t>23237</t>
  </si>
  <si>
    <t>23238</t>
  </si>
  <si>
    <t>23239</t>
  </si>
  <si>
    <t>PARDESHI SAKSHI SAGAR</t>
  </si>
  <si>
    <t>23240</t>
  </si>
  <si>
    <t>23241</t>
  </si>
  <si>
    <t>PHAD AJAYKUMAR</t>
  </si>
  <si>
    <t>23242</t>
  </si>
  <si>
    <t>23243</t>
  </si>
  <si>
    <t>23244</t>
  </si>
  <si>
    <t>23245</t>
  </si>
  <si>
    <t>SATPUTE PRAJWAL KISHOR</t>
  </si>
  <si>
    <t>23246</t>
  </si>
  <si>
    <t>23247</t>
  </si>
  <si>
    <t>SHAMKULE VIVEK RAJVILAS</t>
  </si>
  <si>
    <t>23248</t>
  </si>
  <si>
    <t>23249</t>
  </si>
  <si>
    <t>23250</t>
  </si>
  <si>
    <t>23251</t>
  </si>
  <si>
    <t>23252</t>
  </si>
  <si>
    <t>THATE VEDANT NILKANTH</t>
  </si>
  <si>
    <t>23253</t>
  </si>
  <si>
    <t>23254</t>
  </si>
  <si>
    <t>23255</t>
  </si>
  <si>
    <t>WADHAVE SHUBHAM SUDHAKAR</t>
  </si>
  <si>
    <t>23256</t>
  </si>
  <si>
    <t>No of students between 40 and 50 % = (x4)</t>
  </si>
  <si>
    <t>No of students between less than 40 % = (x5)</t>
  </si>
  <si>
    <t>CO Benchmark Level</t>
  </si>
  <si>
    <t>Harshada Burte</t>
  </si>
  <si>
    <t>Sachin Chavan</t>
  </si>
  <si>
    <t>Abhishek Chemate</t>
  </si>
  <si>
    <t>Yatin Darekar</t>
  </si>
  <si>
    <t>AKASH DATE</t>
  </si>
  <si>
    <t>Shivam Deshmukh</t>
  </si>
  <si>
    <t>Vaishnavi Deshmukh</t>
  </si>
  <si>
    <t>Dhotrikar Aditya</t>
  </si>
  <si>
    <t>Dube Akanksha</t>
  </si>
  <si>
    <t>Ganesh Katiyar</t>
  </si>
  <si>
    <t>Gurame Rutuja</t>
  </si>
  <si>
    <t>Kadu Prajwal</t>
  </si>
  <si>
    <t>Kamble Neha</t>
  </si>
  <si>
    <t>Rupesh Malunjkar</t>
  </si>
  <si>
    <t>Vaibhav Mhaske</t>
  </si>
  <si>
    <t>SOURAV MOTE</t>
  </si>
  <si>
    <t>Punam Nelge</t>
  </si>
  <si>
    <t>Padekar Gaikwad</t>
  </si>
  <si>
    <t>TANMAY RAJE</t>
  </si>
  <si>
    <t>ASHOK SAGAR</t>
  </si>
  <si>
    <t>Pandurang Sagar</t>
  </si>
  <si>
    <t>GOVARDHAN SAYALI</t>
  </si>
  <si>
    <t>DHANANJAY SEVALKAR</t>
  </si>
  <si>
    <t>SHAIKH SHABNOOR</t>
  </si>
  <si>
    <t>Jambe Shrutika</t>
  </si>
  <si>
    <t>Akshay Surywanshi</t>
  </si>
  <si>
    <t>Omkar Tambe</t>
  </si>
  <si>
    <t>Kolhe Pranay</t>
  </si>
  <si>
    <t>Siddheshwar Koli</t>
  </si>
  <si>
    <t>Vinit Kothare</t>
  </si>
  <si>
    <t>Koustubhdhar Kulkarni</t>
  </si>
  <si>
    <t>RUSHIKESH SHIVAJI</t>
  </si>
  <si>
    <t>Sabale Abhishek</t>
  </si>
  <si>
    <t>Pratiksha Sable</t>
  </si>
  <si>
    <t>Pawar Samiksha</t>
  </si>
  <si>
    <t>Prabhakar Saurabh</t>
  </si>
  <si>
    <t>KALPESH SHEWALE</t>
  </si>
  <si>
    <t>CHANDRAKANT SHINDE</t>
  </si>
  <si>
    <t>Walke Atharva</t>
  </si>
  <si>
    <t>Wanjalkar Anushka</t>
  </si>
  <si>
    <t>Yadav Jaysantosh</t>
  </si>
  <si>
    <t>Yadav Monica</t>
  </si>
  <si>
    <t>KALE AARYAVARTA</t>
  </si>
  <si>
    <t>MADHAV AMRUTE</t>
  </si>
  <si>
    <t>HRUTIK DALVI</t>
  </si>
  <si>
    <t>POOJA DANGADE</t>
  </si>
  <si>
    <t>Neha Davane</t>
  </si>
  <si>
    <t>PARTH DEORE</t>
  </si>
  <si>
    <t>ANAND DESALE</t>
  </si>
  <si>
    <t>DHANSHRI DESHMUKH</t>
  </si>
  <si>
    <t>VISHAL GAWANDE</t>
  </si>
  <si>
    <t>Akash Gharge</t>
  </si>
  <si>
    <t>Kareena Vijay</t>
  </si>
  <si>
    <t>Kashid Akshata</t>
  </si>
  <si>
    <t>BHOIR OMKAR</t>
  </si>
  <si>
    <t>RAJU PAL</t>
  </si>
  <si>
    <t>Mayuresh Patil</t>
  </si>
  <si>
    <t>Tejas Pawar</t>
  </si>
  <si>
    <t>Wakchaure Prashant</t>
  </si>
  <si>
    <t>Khairnar Prashant</t>
  </si>
  <si>
    <t>CHIKANE PRATHAMESH</t>
  </si>
  <si>
    <t>Sule Darshan</t>
  </si>
  <si>
    <t>Thombare Rahul</t>
  </si>
  <si>
    <t>Tiwari Prabhat</t>
  </si>
  <si>
    <t>Kale Vedant</t>
  </si>
  <si>
    <t>Bharat Velapure</t>
  </si>
  <si>
    <t>Dnyaneshwar Vishal</t>
  </si>
  <si>
    <t>Tejas Badve</t>
  </si>
  <si>
    <t>Suraj Bahiram</t>
  </si>
  <si>
    <t>Gaurav Bankar</t>
  </si>
  <si>
    <t>SAMARTH BHAGAT</t>
  </si>
  <si>
    <t>PRATAP CHAVAN</t>
  </si>
  <si>
    <t>Aniket Jadhav</t>
  </si>
  <si>
    <t>KAPIL JADHAV</t>
  </si>
  <si>
    <t>ATHARVA JOSHI</t>
  </si>
  <si>
    <t>AKASH KALE</t>
  </si>
  <si>
    <t>SHUBHAM KARALE</t>
  </si>
  <si>
    <t>Madhuri Katrajkar</t>
  </si>
  <si>
    <t>GORAKH KHAIRNAR</t>
  </si>
  <si>
    <t>OMKAR KHATALE</t>
  </si>
  <si>
    <t>DIPAK KHATODE</t>
  </si>
  <si>
    <t>Aishwarya Kotalwar</t>
  </si>
  <si>
    <t>THAKARE UJJWALRAJ</t>
  </si>
  <si>
    <t>Gaikwad Vaishnavi</t>
  </si>
  <si>
    <t>Amar Veer</t>
  </si>
  <si>
    <t>Dnyanesh Wakchaure</t>
  </si>
  <si>
    <t>Priyanka Yadav</t>
  </si>
  <si>
    <t>Total No. of Students</t>
  </si>
  <si>
    <t>No. of students Strongly Disagree</t>
  </si>
  <si>
    <t>No. of students  Disagree</t>
  </si>
  <si>
    <t>No. of students Neutral</t>
  </si>
  <si>
    <t>No. of students Strongly Agree</t>
  </si>
  <si>
    <t>No. of students 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</si>
</sst>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4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2060"/>
      <name val="Times New Roman"/>
      <family val="1"/>
    </font>
    <font>
      <sz val="10"/>
      <color rgb="FF000000"/>
      <name val="Arial"/>
      <family val="2"/>
      <scheme val="minor"/>
    </font>
    <font>
      <sz val="10"/>
      <color rgb="FF00000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i/>
      <sz val="14"/>
      <color rgb="FF000000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b/>
      <sz val="14"/>
      <color theme="9" tint="-0.249977111117893"/>
      <name val="Times New Roman"/>
      <family val="1"/>
    </font>
    <font>
      <sz val="11"/>
      <color theme="0"/>
      <name val="Times New Roman"/>
      <family val="1"/>
    </font>
    <font>
      <b/>
      <sz val="16"/>
      <color theme="9" tint="-0.249977111117893"/>
      <name val="Times New Roman"/>
      <family val="1"/>
    </font>
    <font>
      <b/>
      <sz val="11"/>
      <color theme="0"/>
      <name val="Times New Roman"/>
      <family val="1"/>
    </font>
    <font>
      <b/>
      <sz val="12"/>
      <name val="Times New Roman"/>
      <family val="1"/>
    </font>
    <font>
      <b/>
      <sz val="10"/>
      <color rgb="FF002060"/>
      <name val="Arial"/>
      <family val="2"/>
      <scheme val="minor"/>
    </font>
    <font>
      <b/>
      <sz val="16"/>
      <color theme="0"/>
      <name val="Times New Roman"/>
      <family val="1"/>
    </font>
    <font>
      <sz val="10"/>
      <color theme="0"/>
      <name val="Times New Roman"/>
      <family val="1"/>
    </font>
    <font>
      <b/>
      <sz val="14"/>
      <color theme="0"/>
      <name val="Times New Roman"/>
      <family val="1"/>
    </font>
    <font>
      <sz val="10"/>
      <color rgb="FF000000"/>
      <name val="Times New Roman"/>
      <family val="1"/>
    </font>
    <font>
      <sz val="9"/>
      <name val="Arial MT"/>
      <charset val="134"/>
    </font>
    <font>
      <sz val="18"/>
      <color theme="0"/>
      <name val="Times New Roman"/>
      <family val="1"/>
    </font>
    <font>
      <b/>
      <sz val="12"/>
      <color theme="2"/>
      <name val="Times New Roman"/>
      <family val="1"/>
    </font>
    <font>
      <sz val="12"/>
      <color theme="2"/>
      <name val="Times New Roman"/>
      <family val="1"/>
    </font>
    <font>
      <sz val="14"/>
      <color theme="0"/>
      <name val="Times New Roman"/>
      <family val="1"/>
    </font>
    <font>
      <b/>
      <sz val="11"/>
      <color theme="0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4"/>
      <color theme="0"/>
      <name val="Arial"/>
      <family val="2"/>
      <scheme val="minor"/>
    </font>
    <font>
      <sz val="14"/>
      <color theme="1"/>
      <name val="Times New Roman"/>
      <family val="1"/>
    </font>
    <font>
      <sz val="11"/>
      <color theme="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4"/>
      <color rgb="FF002060"/>
      <name val="Times New Roman"/>
      <family val="1"/>
    </font>
    <font>
      <b/>
      <sz val="14"/>
      <color theme="9" tint="-0.499984740745262"/>
      <name val="Times New Roman"/>
      <family val="1"/>
    </font>
    <font>
      <b/>
      <sz val="22"/>
      <color rgb="FF002060"/>
      <name val="Times New Roman"/>
      <family val="1"/>
    </font>
    <font>
      <b/>
      <sz val="12"/>
      <color theme="0"/>
      <name val="Times New Roman"/>
      <family val="1"/>
    </font>
    <font>
      <b/>
      <sz val="20"/>
      <color theme="0"/>
      <name val="Times New Roman"/>
      <family val="1"/>
    </font>
    <font>
      <sz val="12"/>
      <color rgb="FF444444"/>
      <name val="Times New Roman"/>
      <family val="1"/>
    </font>
    <font>
      <sz val="11"/>
      <color rgb="FF444444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2"/>
      <color rgb="FF1F1F1F"/>
      <name val="Times New Roman"/>
      <family val="1"/>
    </font>
    <font>
      <sz val="13"/>
      <color rgb="FF000000"/>
      <name val="Times New Roman"/>
      <family val="1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sz val="12"/>
      <color theme="1"/>
      <name val="Arial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3E3F9"/>
        <bgColor indexed="64"/>
      </patternFill>
    </fill>
    <fill>
      <patternFill patternType="solid">
        <fgColor rgb="FFEACCF4"/>
        <bgColor indexed="64"/>
      </patternFill>
    </fill>
    <fill>
      <patternFill patternType="solid">
        <fgColor rgb="FFD59B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9" fillId="0" borderId="0"/>
    <xf numFmtId="0" fontId="1" fillId="0" borderId="0"/>
    <xf numFmtId="9" fontId="19" fillId="0" borderId="0" applyFont="0" applyFill="0" applyBorder="0" applyAlignment="0" applyProtection="0"/>
    <xf numFmtId="0" fontId="10" fillId="0" borderId="0"/>
    <xf numFmtId="0" fontId="34" fillId="0" borderId="0"/>
    <xf numFmtId="0" fontId="41" fillId="0" borderId="0" applyNumberFormat="0" applyFill="0" applyBorder="0" applyAlignment="0" applyProtection="0"/>
    <xf numFmtId="0" fontId="9" fillId="0" borderId="0"/>
    <xf numFmtId="0" fontId="9" fillId="0" borderId="0"/>
  </cellStyleXfs>
  <cellXfs count="38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/>
    <xf numFmtId="0" fontId="15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9" fontId="1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1" fillId="0" borderId="0" xfId="2" applyFont="1"/>
    <xf numFmtId="0" fontId="23" fillId="0" borderId="0" xfId="0" applyFont="1"/>
    <xf numFmtId="0" fontId="3" fillId="0" borderId="0" xfId="0" applyFont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25" fillId="0" borderId="0" xfId="2" applyFont="1" applyAlignment="1">
      <alignment horizontal="center" vertical="center"/>
    </xf>
    <xf numFmtId="0" fontId="14" fillId="0" borderId="0" xfId="2" applyFont="1"/>
    <xf numFmtId="0" fontId="14" fillId="0" borderId="0" xfId="2" applyFont="1" applyAlignment="1">
      <alignment horizontal="center"/>
    </xf>
    <xf numFmtId="0" fontId="10" fillId="0" borderId="0" xfId="0" applyFont="1" applyAlignment="1">
      <alignment vertical="top"/>
    </xf>
    <xf numFmtId="0" fontId="10" fillId="0" borderId="0" xfId="1" applyFont="1" applyAlignment="1">
      <alignment horizontal="center" vertical="center"/>
    </xf>
    <xf numFmtId="0" fontId="12" fillId="0" borderId="1" xfId="1" applyFont="1" applyBorder="1" applyAlignment="1">
      <alignment horizontal="center"/>
    </xf>
    <xf numFmtId="0" fontId="10" fillId="0" borderId="0" xfId="1" applyFont="1"/>
    <xf numFmtId="0" fontId="10" fillId="0" borderId="1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4" fillId="0" borderId="0" xfId="2" applyFont="1" applyAlignment="1">
      <alignment vertical="center"/>
    </xf>
    <xf numFmtId="0" fontId="21" fillId="0" borderId="0" xfId="2" applyFont="1"/>
    <xf numFmtId="2" fontId="20" fillId="4" borderId="1" xfId="2" applyNumberFormat="1" applyFont="1" applyFill="1" applyBorder="1" applyAlignment="1" applyProtection="1">
      <alignment horizontal="center" vertical="center"/>
      <protection hidden="1"/>
    </xf>
    <xf numFmtId="0" fontId="21" fillId="0" borderId="0" xfId="2" applyFont="1" applyAlignment="1">
      <alignment vertical="center"/>
    </xf>
    <xf numFmtId="0" fontId="17" fillId="0" borderId="0" xfId="2" applyFont="1"/>
    <xf numFmtId="0" fontId="3" fillId="0" borderId="0" xfId="1" applyFont="1"/>
    <xf numFmtId="0" fontId="3" fillId="0" borderId="0" xfId="1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29" fillId="0" borderId="0" xfId="2" applyFont="1"/>
    <xf numFmtId="0" fontId="20" fillId="0" borderId="0" xfId="2" applyFont="1" applyAlignment="1">
      <alignment vertical="center"/>
    </xf>
    <xf numFmtId="0" fontId="28" fillId="6" borderId="1" xfId="2" applyFont="1" applyFill="1" applyBorder="1" applyAlignment="1">
      <alignment horizontal="center" vertical="center"/>
    </xf>
    <xf numFmtId="0" fontId="26" fillId="6" borderId="0" xfId="2" applyFont="1" applyFill="1" applyAlignment="1">
      <alignment horizontal="center" vertical="center"/>
    </xf>
    <xf numFmtId="0" fontId="28" fillId="5" borderId="33" xfId="0" applyFont="1" applyFill="1" applyBorder="1" applyAlignment="1">
      <alignment horizontal="center" vertical="center"/>
    </xf>
    <xf numFmtId="9" fontId="28" fillId="5" borderId="35" xfId="0" applyNumberFormat="1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9" fontId="28" fillId="5" borderId="9" xfId="0" applyNumberFormat="1" applyFont="1" applyFill="1" applyBorder="1" applyAlignment="1">
      <alignment horizontal="center" vertical="center"/>
    </xf>
    <xf numFmtId="0" fontId="28" fillId="5" borderId="23" xfId="0" applyFont="1" applyFill="1" applyBorder="1" applyAlignment="1">
      <alignment horizontal="center" vertical="center"/>
    </xf>
    <xf numFmtId="9" fontId="28" fillId="5" borderId="25" xfId="0" applyNumberFormat="1" applyFont="1" applyFill="1" applyBorder="1" applyAlignment="1">
      <alignment horizontal="center" vertical="center"/>
    </xf>
    <xf numFmtId="0" fontId="35" fillId="0" borderId="0" xfId="5" applyFont="1" applyAlignment="1">
      <alignment vertical="top" wrapText="1"/>
    </xf>
    <xf numFmtId="0" fontId="14" fillId="0" borderId="1" xfId="1" applyFont="1" applyBorder="1" applyAlignment="1">
      <alignment horizontal="center"/>
    </xf>
    <xf numFmtId="0" fontId="32" fillId="5" borderId="0" xfId="0" applyFont="1" applyFill="1" applyAlignment="1">
      <alignment wrapText="1"/>
    </xf>
    <xf numFmtId="0" fontId="10" fillId="0" borderId="1" xfId="0" applyFont="1" applyBorder="1" applyAlignment="1">
      <alignment horizontal="center" vertical="top"/>
    </xf>
    <xf numFmtId="0" fontId="37" fillId="6" borderId="1" xfId="0" applyFont="1" applyFill="1" applyBorder="1" applyAlignment="1">
      <alignment horizontal="left"/>
    </xf>
    <xf numFmtId="1" fontId="38" fillId="6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  <xf numFmtId="164" fontId="3" fillId="9" borderId="1" xfId="0" applyNumberFormat="1" applyFont="1" applyFill="1" applyBorder="1" applyAlignment="1">
      <alignment horizontal="center"/>
    </xf>
    <xf numFmtId="1" fontId="12" fillId="0" borderId="1" xfId="1" applyNumberFormat="1" applyFont="1" applyBorder="1" applyAlignment="1">
      <alignment horizontal="center"/>
    </xf>
    <xf numFmtId="164" fontId="3" fillId="10" borderId="0" xfId="7" applyNumberFormat="1" applyFont="1" applyFill="1" applyAlignment="1">
      <alignment horizontal="center"/>
    </xf>
    <xf numFmtId="0" fontId="43" fillId="0" borderId="0" xfId="0" applyFont="1"/>
    <xf numFmtId="164" fontId="3" fillId="10" borderId="0" xfId="8" applyNumberFormat="1" applyFont="1" applyFill="1" applyAlignment="1">
      <alignment horizontal="center"/>
    </xf>
    <xf numFmtId="0" fontId="17" fillId="0" borderId="0" xfId="0" applyFont="1"/>
    <xf numFmtId="0" fontId="3" fillId="0" borderId="0" xfId="4" applyFont="1" applyAlignment="1">
      <alignment horizontal="center"/>
    </xf>
    <xf numFmtId="0" fontId="5" fillId="0" borderId="1" xfId="0" applyFont="1" applyBorder="1" applyAlignment="1">
      <alignment horizontal="right" vertical="center"/>
    </xf>
    <xf numFmtId="0" fontId="3" fillId="0" borderId="0" xfId="4" applyFont="1" applyAlignment="1">
      <alignment horizontal="left"/>
    </xf>
    <xf numFmtId="0" fontId="3" fillId="4" borderId="1" xfId="0" applyFont="1" applyFill="1" applyBorder="1"/>
    <xf numFmtId="0" fontId="45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9" fontId="30" fillId="4" borderId="1" xfId="0" applyNumberFormat="1" applyFont="1" applyFill="1" applyBorder="1" applyAlignment="1">
      <alignment horizontal="center" vertical="center"/>
    </xf>
    <xf numFmtId="0" fontId="46" fillId="0" borderId="0" xfId="0" applyFont="1"/>
    <xf numFmtId="0" fontId="47" fillId="0" borderId="0" xfId="0" applyFont="1" applyAlignment="1">
      <alignment horizontal="center"/>
    </xf>
    <xf numFmtId="0" fontId="28" fillId="6" borderId="8" xfId="2" applyFont="1" applyFill="1" applyBorder="1" applyAlignment="1">
      <alignment horizontal="center" vertical="center"/>
    </xf>
    <xf numFmtId="2" fontId="28" fillId="6" borderId="8" xfId="2" applyNumberFormat="1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53" fillId="15" borderId="1" xfId="0" applyFont="1" applyFill="1" applyBorder="1" applyAlignment="1">
      <alignment horizontal="center" vertical="center" wrapText="1"/>
    </xf>
    <xf numFmtId="0" fontId="17" fillId="0" borderId="0" xfId="2" applyFont="1" applyAlignment="1">
      <alignment horizontal="center"/>
    </xf>
    <xf numFmtId="0" fontId="3" fillId="0" borderId="0" xfId="4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7" fillId="0" borderId="0" xfId="2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10" borderId="0" xfId="0" applyFont="1" applyFill="1" applyBorder="1" applyAlignment="1">
      <alignment vertical="top" wrapText="1"/>
    </xf>
    <xf numFmtId="2" fontId="28" fillId="10" borderId="0" xfId="2" applyNumberFormat="1" applyFont="1" applyFill="1" applyBorder="1" applyAlignment="1" applyProtection="1">
      <alignment horizontal="center" vertical="center"/>
      <protection hidden="1"/>
    </xf>
    <xf numFmtId="0" fontId="28" fillId="10" borderId="0" xfId="2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48" fillId="0" borderId="0" xfId="2" applyFont="1" applyAlignment="1">
      <alignment vertical="center" wrapText="1"/>
    </xf>
    <xf numFmtId="0" fontId="48" fillId="0" borderId="0" xfId="0" applyFont="1" applyBorder="1" applyAlignment="1">
      <alignment vertical="center" wrapText="1"/>
    </xf>
    <xf numFmtId="0" fontId="28" fillId="15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0" fillId="0" borderId="0" xfId="0" applyFont="1" applyBorder="1"/>
    <xf numFmtId="0" fontId="13" fillId="10" borderId="14" xfId="1" applyFont="1" applyFill="1" applyBorder="1" applyAlignment="1">
      <alignment horizontal="center" vertical="center"/>
    </xf>
    <xf numFmtId="0" fontId="13" fillId="10" borderId="2" xfId="1" applyFont="1" applyFill="1" applyBorder="1" applyAlignment="1">
      <alignment horizontal="center" vertical="center"/>
    </xf>
    <xf numFmtId="0" fontId="13" fillId="10" borderId="2" xfId="1" applyFont="1" applyFill="1" applyBorder="1" applyAlignment="1">
      <alignment horizontal="center" vertical="center" wrapText="1"/>
    </xf>
    <xf numFmtId="0" fontId="13" fillId="10" borderId="15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vertical="center" wrapText="1"/>
    </xf>
    <xf numFmtId="0" fontId="13" fillId="16" borderId="1" xfId="0" applyFont="1" applyFill="1" applyBorder="1" applyAlignment="1">
      <alignment vertical="center" wrapText="1"/>
    </xf>
    <xf numFmtId="0" fontId="10" fillId="16" borderId="1" xfId="0" applyFont="1" applyFill="1" applyBorder="1"/>
    <xf numFmtId="0" fontId="17" fillId="16" borderId="1" xfId="0" applyFont="1" applyFill="1" applyBorder="1" applyAlignment="1">
      <alignment vertical="center" wrapText="1"/>
    </xf>
    <xf numFmtId="2" fontId="10" fillId="16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2" fontId="36" fillId="5" borderId="0" xfId="0" applyNumberFormat="1" applyFont="1" applyFill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1" fillId="0" borderId="1" xfId="2" applyFont="1" applyBorder="1" applyAlignment="1">
      <alignment vertical="center"/>
    </xf>
    <xf numFmtId="0" fontId="11" fillId="0" borderId="1" xfId="2" applyFont="1" applyBorder="1" applyAlignment="1">
      <alignment horizontal="center" vertical="center"/>
    </xf>
    <xf numFmtId="0" fontId="28" fillId="15" borderId="1" xfId="2" applyFont="1" applyFill="1" applyBorder="1" applyAlignment="1">
      <alignment horizontal="center" vertical="center"/>
    </xf>
    <xf numFmtId="0" fontId="21" fillId="13" borderId="1" xfId="2" applyFont="1" applyFill="1" applyBorder="1" applyAlignment="1">
      <alignment horizontal="center" vertical="center" wrapText="1"/>
    </xf>
    <xf numFmtId="0" fontId="21" fillId="4" borderId="1" xfId="2" applyFont="1" applyFill="1" applyBorder="1" applyAlignment="1">
      <alignment horizontal="center" vertical="center" wrapText="1"/>
    </xf>
    <xf numFmtId="0" fontId="21" fillId="4" borderId="1" xfId="2" applyFont="1" applyFill="1" applyBorder="1" applyAlignment="1">
      <alignment horizontal="center" vertical="center"/>
    </xf>
    <xf numFmtId="2" fontId="21" fillId="13" borderId="1" xfId="2" applyNumberFormat="1" applyFont="1" applyFill="1" applyBorder="1" applyAlignment="1">
      <alignment horizontal="center" vertical="center"/>
    </xf>
    <xf numFmtId="0" fontId="47" fillId="0" borderId="0" xfId="0" applyFont="1"/>
    <xf numFmtId="0" fontId="39" fillId="8" borderId="1" xfId="2" applyFont="1" applyFill="1" applyBorder="1" applyAlignment="1">
      <alignment horizontal="center" vertical="center"/>
    </xf>
    <xf numFmtId="0" fontId="14" fillId="0" borderId="1" xfId="1" applyFont="1" applyBorder="1" applyAlignment="1">
      <alignment horizontal="center"/>
    </xf>
    <xf numFmtId="0" fontId="55" fillId="20" borderId="1" xfId="0" applyFont="1" applyFill="1" applyBorder="1" applyAlignment="1" applyProtection="1">
      <alignment horizontal="center" vertical="center"/>
    </xf>
    <xf numFmtId="0" fontId="55" fillId="20" borderId="1" xfId="0" applyFont="1" applyFill="1" applyBorder="1" applyAlignment="1" applyProtection="1">
      <alignment horizontal="left" vertical="center"/>
    </xf>
    <xf numFmtId="0" fontId="56" fillId="20" borderId="1" xfId="0" applyFont="1" applyFill="1" applyBorder="1" applyAlignment="1" applyProtection="1">
      <alignment horizontal="center" vertical="center"/>
    </xf>
    <xf numFmtId="0" fontId="58" fillId="10" borderId="1" xfId="1" applyFont="1" applyFill="1" applyBorder="1" applyAlignment="1">
      <alignment horizontal="center"/>
    </xf>
    <xf numFmtId="0" fontId="58" fillId="10" borderId="1" xfId="1" applyNumberFormat="1" applyFont="1" applyFill="1" applyBorder="1" applyAlignment="1">
      <alignment horizontal="center"/>
    </xf>
    <xf numFmtId="1" fontId="58" fillId="10" borderId="9" xfId="1" applyNumberFormat="1" applyFont="1" applyFill="1" applyBorder="1" applyAlignment="1">
      <alignment horizontal="center"/>
    </xf>
    <xf numFmtId="0" fontId="57" fillId="0" borderId="1" xfId="4" applyNumberFormat="1" applyFont="1" applyFill="1" applyBorder="1" applyAlignment="1">
      <alignment horizontal="center" vertical="center"/>
    </xf>
    <xf numFmtId="0" fontId="55" fillId="20" borderId="1" xfId="0" applyFont="1" applyFill="1" applyBorder="1" applyAlignment="1">
      <alignment horizontal="center" vertical="center"/>
    </xf>
    <xf numFmtId="0" fontId="55" fillId="20" borderId="1" xfId="0" applyFont="1" applyFill="1" applyBorder="1" applyAlignment="1">
      <alignment horizontal="left" vertical="center"/>
    </xf>
    <xf numFmtId="0" fontId="15" fillId="3" borderId="8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10" borderId="2" xfId="0" applyFont="1" applyFill="1" applyBorder="1" applyAlignment="1">
      <alignment horizontal="center"/>
    </xf>
    <xf numFmtId="0" fontId="10" fillId="10" borderId="8" xfId="0" applyFont="1" applyFill="1" applyBorder="1" applyAlignment="1">
      <alignment horizontal="center" vertical="center"/>
    </xf>
    <xf numFmtId="1" fontId="21" fillId="4" borderId="27" xfId="0" applyNumberFormat="1" applyFont="1" applyFill="1" applyBorder="1" applyAlignment="1">
      <alignment horizontal="center"/>
    </xf>
    <xf numFmtId="1" fontId="21" fillId="4" borderId="28" xfId="0" applyNumberFormat="1" applyFont="1" applyFill="1" applyBorder="1" applyAlignment="1">
      <alignment horizontal="center"/>
    </xf>
    <xf numFmtId="1" fontId="21" fillId="4" borderId="13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/>
    </xf>
    <xf numFmtId="0" fontId="3" fillId="0" borderId="0" xfId="4" applyFont="1" applyAlignment="1">
      <alignment horizontal="center"/>
    </xf>
    <xf numFmtId="0" fontId="17" fillId="0" borderId="0" xfId="2" applyFont="1" applyAlignment="1">
      <alignment horizontal="center"/>
    </xf>
    <xf numFmtId="0" fontId="14" fillId="0" borderId="1" xfId="1" applyFont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2" fontId="14" fillId="0" borderId="1" xfId="3" applyNumberFormat="1" applyFont="1" applyFill="1" applyBorder="1" applyAlignment="1">
      <alignment horizontal="center" vertical="center" wrapText="1"/>
    </xf>
    <xf numFmtId="2" fontId="59" fillId="0" borderId="1" xfId="0" applyNumberFormat="1" applyFont="1" applyBorder="1" applyAlignment="1">
      <alignment horizontal="center" vertical="center" wrapText="1" readingOrder="1"/>
    </xf>
    <xf numFmtId="164" fontId="59" fillId="0" borderId="1" xfId="0" applyNumberFormat="1" applyFont="1" applyBorder="1" applyAlignment="1">
      <alignment horizontal="center" vertical="center" wrapText="1" readingOrder="1"/>
    </xf>
    <xf numFmtId="0" fontId="16" fillId="16" borderId="1" xfId="0" applyFont="1" applyFill="1" applyBorder="1" applyAlignment="1">
      <alignment horizontal="center"/>
    </xf>
    <xf numFmtId="0" fontId="17" fillId="0" borderId="0" xfId="2" applyFont="1" applyAlignment="1">
      <alignment horizontal="center"/>
    </xf>
    <xf numFmtId="0" fontId="14" fillId="0" borderId="0" xfId="2" applyFont="1" applyAlignment="1">
      <alignment horizontal="center"/>
    </xf>
    <xf numFmtId="0" fontId="14" fillId="0" borderId="1" xfId="1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33" fillId="6" borderId="40" xfId="0" applyFont="1" applyFill="1" applyBorder="1" applyAlignment="1">
      <alignment horizontal="center" vertical="center"/>
    </xf>
    <xf numFmtId="0" fontId="17" fillId="21" borderId="45" xfId="0" applyFont="1" applyFill="1" applyBorder="1" applyAlignment="1">
      <alignment horizontal="center"/>
    </xf>
    <xf numFmtId="0" fontId="23" fillId="20" borderId="1" xfId="0" applyFont="1" applyFill="1" applyBorder="1" applyAlignment="1" applyProtection="1">
      <alignment horizontal="center" vertical="center"/>
    </xf>
    <xf numFmtId="0" fontId="23" fillId="20" borderId="1" xfId="0" applyFont="1" applyFill="1" applyBorder="1" applyAlignment="1" applyProtection="1">
      <alignment horizontal="left" vertical="center"/>
    </xf>
    <xf numFmtId="0" fontId="17" fillId="0" borderId="45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3" fillId="0" borderId="45" xfId="0" applyFont="1" applyBorder="1"/>
    <xf numFmtId="0" fontId="60" fillId="21" borderId="45" xfId="0" applyFont="1" applyFill="1" applyBorder="1" applyAlignment="1">
      <alignment horizontal="center" vertical="center"/>
    </xf>
    <xf numFmtId="0" fontId="10" fillId="22" borderId="45" xfId="0" applyFont="1" applyFill="1" applyBorder="1" applyAlignment="1">
      <alignment horizontal="center" vertical="center"/>
    </xf>
    <xf numFmtId="0" fontId="3" fillId="22" borderId="45" xfId="0" applyFont="1" applyFill="1" applyBorder="1"/>
    <xf numFmtId="0" fontId="14" fillId="22" borderId="45" xfId="0" applyFont="1" applyFill="1" applyBorder="1" applyAlignment="1">
      <alignment horizontal="center" vertical="center" wrapText="1"/>
    </xf>
    <xf numFmtId="0" fontId="17" fillId="23" borderId="45" xfId="0" applyFont="1" applyFill="1" applyBorder="1" applyAlignment="1">
      <alignment vertical="center" wrapText="1"/>
    </xf>
    <xf numFmtId="0" fontId="17" fillId="24" borderId="45" xfId="0" applyFont="1" applyFill="1" applyBorder="1" applyAlignment="1">
      <alignment vertical="center" wrapText="1"/>
    </xf>
    <xf numFmtId="0" fontId="17" fillId="25" borderId="45" xfId="0" applyFont="1" applyFill="1" applyBorder="1" applyAlignment="1">
      <alignment vertical="center" wrapText="1"/>
    </xf>
    <xf numFmtId="0" fontId="17" fillId="26" borderId="45" xfId="0" applyFont="1" applyFill="1" applyBorder="1" applyAlignment="1">
      <alignment vertical="center" wrapText="1"/>
    </xf>
    <xf numFmtId="0" fontId="17" fillId="27" borderId="45" xfId="0" applyFont="1" applyFill="1" applyBorder="1" applyAlignment="1">
      <alignment vertical="center" wrapText="1"/>
    </xf>
    <xf numFmtId="2" fontId="61" fillId="21" borderId="45" xfId="0" applyNumberFormat="1" applyFont="1" applyFill="1" applyBorder="1" applyAlignment="1">
      <alignment horizontal="center" vertical="center"/>
    </xf>
    <xf numFmtId="0" fontId="17" fillId="22" borderId="45" xfId="0" applyFont="1" applyFill="1" applyBorder="1" applyAlignment="1">
      <alignment vertical="center" wrapText="1"/>
    </xf>
    <xf numFmtId="0" fontId="3" fillId="22" borderId="45" xfId="0" applyFont="1" applyFill="1" applyBorder="1" applyAlignment="1">
      <alignment horizontal="center" vertical="center"/>
    </xf>
    <xf numFmtId="2" fontId="3" fillId="21" borderId="45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vertical="center" wrapText="1"/>
    </xf>
    <xf numFmtId="0" fontId="3" fillId="0" borderId="45" xfId="0" applyFont="1" applyFill="1" applyBorder="1" applyAlignment="1">
      <alignment horizontal="center" vertical="center"/>
    </xf>
    <xf numFmtId="0" fontId="3" fillId="0" borderId="45" xfId="0" applyFont="1" applyFill="1" applyBorder="1" applyAlignment="1">
      <alignment horizontal="left" vertical="center" wrapText="1"/>
    </xf>
    <xf numFmtId="0" fontId="17" fillId="0" borderId="45" xfId="0" applyFont="1" applyBorder="1" applyAlignment="1">
      <alignment horizontal="center" vertical="center"/>
    </xf>
    <xf numFmtId="0" fontId="17" fillId="0" borderId="45" xfId="0" applyFont="1" applyFill="1" applyBorder="1" applyAlignment="1">
      <alignment horizontal="center" vertical="center"/>
    </xf>
    <xf numFmtId="0" fontId="17" fillId="0" borderId="45" xfId="0" applyFont="1" applyFill="1" applyBorder="1" applyAlignment="1">
      <alignment horizontal="left" vertical="center" wrapText="1"/>
    </xf>
    <xf numFmtId="0" fontId="62" fillId="0" borderId="45" xfId="0" applyFont="1" applyFill="1" applyBorder="1" applyAlignment="1">
      <alignment horizontal="left"/>
    </xf>
    <xf numFmtId="0" fontId="10" fillId="21" borderId="45" xfId="0" applyFont="1" applyFill="1" applyBorder="1" applyAlignment="1">
      <alignment horizontal="center" vertical="center"/>
    </xf>
    <xf numFmtId="2" fontId="10" fillId="21" borderId="45" xfId="0" applyNumberFormat="1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vertical="center"/>
    </xf>
    <xf numFmtId="0" fontId="15" fillId="3" borderId="5" xfId="0" applyFont="1" applyFill="1" applyBorder="1" applyAlignment="1">
      <alignment vertical="center"/>
    </xf>
    <xf numFmtId="0" fontId="15" fillId="3" borderId="18" xfId="0" applyFont="1" applyFill="1" applyBorder="1" applyAlignment="1">
      <alignment vertical="center"/>
    </xf>
    <xf numFmtId="0" fontId="15" fillId="3" borderId="28" xfId="0" applyFont="1" applyFill="1" applyBorder="1" applyAlignment="1">
      <alignment vertical="center"/>
    </xf>
    <xf numFmtId="0" fontId="33" fillId="6" borderId="39" xfId="0" applyFont="1" applyFill="1" applyBorder="1" applyAlignment="1">
      <alignment vertical="center"/>
    </xf>
    <xf numFmtId="0" fontId="33" fillId="6" borderId="26" xfId="0" applyFont="1" applyFill="1" applyBorder="1" applyAlignment="1">
      <alignment vertical="center"/>
    </xf>
    <xf numFmtId="0" fontId="63" fillId="0" borderId="1" xfId="0" applyFont="1" applyBorder="1" applyAlignment="1">
      <alignment horizontal="center" vertical="center"/>
    </xf>
    <xf numFmtId="0" fontId="0" fillId="0" borderId="1" xfId="0" applyFont="1" applyBorder="1"/>
    <xf numFmtId="0" fontId="63" fillId="0" borderId="0" xfId="0" applyFont="1"/>
    <xf numFmtId="0" fontId="63" fillId="0" borderId="0" xfId="0" applyFont="1" applyAlignment="1">
      <alignment vertical="center"/>
    </xf>
    <xf numFmtId="0" fontId="63" fillId="0" borderId="1" xfId="0" applyFont="1" applyBorder="1" applyAlignment="1">
      <alignment vertical="center"/>
    </xf>
    <xf numFmtId="2" fontId="10" fillId="0" borderId="45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left"/>
    </xf>
    <xf numFmtId="0" fontId="3" fillId="4" borderId="19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44" fillId="5" borderId="0" xfId="0" applyFont="1" applyFill="1" applyAlignment="1">
      <alignment horizontal="center"/>
    </xf>
    <xf numFmtId="0" fontId="3" fillId="0" borderId="0" xfId="4" applyFont="1" applyAlignment="1">
      <alignment horizontal="center"/>
    </xf>
    <xf numFmtId="0" fontId="17" fillId="0" borderId="0" xfId="2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52" fillId="4" borderId="1" xfId="2" applyFont="1" applyFill="1" applyBorder="1" applyAlignment="1">
      <alignment horizontal="center" vertical="center" wrapText="1"/>
    </xf>
    <xf numFmtId="0" fontId="40" fillId="8" borderId="1" xfId="0" applyFont="1" applyFill="1" applyBorder="1" applyAlignment="1">
      <alignment horizontal="center" vertical="center"/>
    </xf>
    <xf numFmtId="0" fontId="40" fillId="8" borderId="9" xfId="0" applyFont="1" applyFill="1" applyBorder="1" applyAlignment="1">
      <alignment horizontal="center" vertical="center"/>
    </xf>
    <xf numFmtId="0" fontId="40" fillId="8" borderId="19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40" fillId="8" borderId="1" xfId="0" applyFont="1" applyFill="1" applyBorder="1" applyAlignment="1">
      <alignment horizontal="center" vertical="center" wrapText="1"/>
    </xf>
    <xf numFmtId="0" fontId="6" fillId="0" borderId="42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left" vertical="top"/>
    </xf>
    <xf numFmtId="0" fontId="23" fillId="0" borderId="19" xfId="0" applyFont="1" applyBorder="1" applyAlignment="1">
      <alignment horizontal="left" vertical="top"/>
    </xf>
    <xf numFmtId="0" fontId="23" fillId="0" borderId="10" xfId="0" applyFont="1" applyBorder="1" applyAlignment="1">
      <alignment horizontal="left" vertical="top"/>
    </xf>
    <xf numFmtId="0" fontId="11" fillId="0" borderId="9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43" fillId="19" borderId="1" xfId="2" applyFont="1" applyFill="1" applyBorder="1" applyAlignment="1">
      <alignment horizontal="left"/>
    </xf>
    <xf numFmtId="0" fontId="7" fillId="0" borderId="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48" fillId="0" borderId="0" xfId="2" applyFont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17" fillId="0" borderId="0" xfId="2" applyFont="1" applyAlignment="1">
      <alignment horizontal="center" vertical="top"/>
    </xf>
    <xf numFmtId="0" fontId="3" fillId="0" borderId="0" xfId="4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43" fillId="14" borderId="1" xfId="0" applyFont="1" applyFill="1" applyBorder="1" applyAlignment="1">
      <alignment horizontal="left" vertical="top" wrapText="1"/>
    </xf>
    <xf numFmtId="0" fontId="31" fillId="5" borderId="1" xfId="2" applyFont="1" applyFill="1" applyBorder="1" applyAlignment="1">
      <alignment horizontal="center"/>
    </xf>
    <xf numFmtId="0" fontId="43" fillId="12" borderId="1" xfId="0" applyFont="1" applyFill="1" applyBorder="1" applyAlignment="1">
      <alignment horizontal="left" vertical="top" wrapText="1"/>
    </xf>
    <xf numFmtId="0" fontId="43" fillId="13" borderId="1" xfId="0" applyFont="1" applyFill="1" applyBorder="1" applyAlignment="1">
      <alignment horizontal="left" vertical="top" wrapText="1"/>
    </xf>
    <xf numFmtId="0" fontId="43" fillId="18" borderId="1" xfId="2" applyFont="1" applyFill="1" applyBorder="1" applyAlignment="1">
      <alignment horizontal="left" wrapText="1"/>
    </xf>
    <xf numFmtId="0" fontId="43" fillId="2" borderId="1" xfId="0" applyFont="1" applyFill="1" applyBorder="1" applyAlignment="1">
      <alignment horizontal="left" vertical="top" wrapText="1"/>
    </xf>
    <xf numFmtId="0" fontId="43" fillId="4" borderId="1" xfId="0" applyFont="1" applyFill="1" applyBorder="1" applyAlignment="1">
      <alignment horizontal="left" vertical="top" wrapText="1"/>
    </xf>
    <xf numFmtId="0" fontId="14" fillId="0" borderId="0" xfId="2" applyFont="1" applyAlignment="1">
      <alignment horizontal="center"/>
    </xf>
    <xf numFmtId="0" fontId="0" fillId="0" borderId="0" xfId="0" applyAlignment="1">
      <alignment horizontal="center" vertical="top"/>
    </xf>
    <xf numFmtId="0" fontId="31" fillId="5" borderId="17" xfId="2" applyFont="1" applyFill="1" applyBorder="1" applyAlignment="1">
      <alignment horizontal="center"/>
    </xf>
    <xf numFmtId="0" fontId="43" fillId="17" borderId="42" xfId="2" applyFont="1" applyFill="1" applyBorder="1" applyAlignment="1">
      <alignment horizontal="left"/>
    </xf>
    <xf numFmtId="0" fontId="43" fillId="17" borderId="0" xfId="2" applyFont="1" applyFill="1" applyBorder="1" applyAlignment="1">
      <alignment horizontal="left"/>
    </xf>
    <xf numFmtId="0" fontId="31" fillId="6" borderId="8" xfId="0" applyFont="1" applyFill="1" applyBorder="1" applyAlignment="1">
      <alignment horizontal="center" vertical="center" wrapText="1"/>
    </xf>
    <xf numFmtId="0" fontId="31" fillId="6" borderId="2" xfId="0" applyFont="1" applyFill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1" fillId="15" borderId="3" xfId="0" applyFont="1" applyFill="1" applyBorder="1" applyAlignment="1">
      <alignment horizontal="center" vertical="center"/>
    </xf>
    <xf numFmtId="0" fontId="31" fillId="15" borderId="4" xfId="0" applyFont="1" applyFill="1" applyBorder="1" applyAlignment="1">
      <alignment horizontal="center" vertical="center"/>
    </xf>
    <xf numFmtId="0" fontId="31" fillId="15" borderId="5" xfId="0" applyFont="1" applyFill="1" applyBorder="1" applyAlignment="1">
      <alignment horizontal="center" vertical="center"/>
    </xf>
    <xf numFmtId="0" fontId="53" fillId="1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53" fillId="15" borderId="9" xfId="0" applyFont="1" applyFill="1" applyBorder="1" applyAlignment="1">
      <alignment horizontal="center" vertical="center" wrapText="1"/>
    </xf>
    <xf numFmtId="0" fontId="53" fillId="15" borderId="19" xfId="0" applyFont="1" applyFill="1" applyBorder="1" applyAlignment="1">
      <alignment horizontal="center" vertical="center" wrapText="1"/>
    </xf>
    <xf numFmtId="0" fontId="53" fillId="15" borderId="10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5" fillId="0" borderId="8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28" fillId="15" borderId="9" xfId="0" applyFont="1" applyFill="1" applyBorder="1" applyAlignment="1">
      <alignment horizontal="center" vertical="center" wrapText="1"/>
    </xf>
    <xf numFmtId="0" fontId="28" fillId="15" borderId="1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8" fillId="15" borderId="19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1" fillId="15" borderId="6" xfId="0" applyFont="1" applyFill="1" applyBorder="1" applyAlignment="1">
      <alignment horizontal="center" vertical="center"/>
    </xf>
    <xf numFmtId="0" fontId="31" fillId="15" borderId="0" xfId="0" applyFont="1" applyFill="1" applyBorder="1" applyAlignment="1">
      <alignment horizontal="center" vertical="center"/>
    </xf>
    <xf numFmtId="0" fontId="31" fillId="15" borderId="7" xfId="0" applyFont="1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 wrapText="1"/>
    </xf>
    <xf numFmtId="0" fontId="3" fillId="0" borderId="0" xfId="4" applyFont="1" applyAlignment="1">
      <alignment horizontal="left"/>
    </xf>
    <xf numFmtId="0" fontId="31" fillId="15" borderId="1" xfId="0" applyFont="1" applyFill="1" applyBorder="1" applyAlignment="1">
      <alignment horizontal="center" vertical="top"/>
    </xf>
    <xf numFmtId="0" fontId="31" fillId="15" borderId="9" xfId="0" applyFont="1" applyFill="1" applyBorder="1" applyAlignment="1">
      <alignment horizontal="center" vertical="top"/>
    </xf>
    <xf numFmtId="0" fontId="15" fillId="3" borderId="1" xfId="0" applyFont="1" applyFill="1" applyBorder="1" applyAlignment="1">
      <alignment horizontal="center" vertical="center"/>
    </xf>
    <xf numFmtId="9" fontId="21" fillId="7" borderId="5" xfId="0" applyNumberFormat="1" applyFont="1" applyFill="1" applyBorder="1" applyAlignment="1">
      <alignment horizontal="center" vertical="center"/>
    </xf>
    <xf numFmtId="9" fontId="21" fillId="7" borderId="7" xfId="0" applyNumberFormat="1" applyFont="1" applyFill="1" applyBorder="1" applyAlignment="1">
      <alignment horizontal="center" vertical="center"/>
    </xf>
    <xf numFmtId="9" fontId="21" fillId="7" borderId="13" xfId="0" applyNumberFormat="1" applyFont="1" applyFill="1" applyBorder="1" applyAlignment="1">
      <alignment horizontal="center" vertical="center"/>
    </xf>
    <xf numFmtId="0" fontId="31" fillId="6" borderId="3" xfId="0" applyFont="1" applyFill="1" applyBorder="1" applyAlignment="1">
      <alignment horizontal="center" vertical="top"/>
    </xf>
    <xf numFmtId="0" fontId="31" fillId="6" borderId="4" xfId="0" applyFont="1" applyFill="1" applyBorder="1" applyAlignment="1">
      <alignment horizontal="center" vertical="top"/>
    </xf>
    <xf numFmtId="0" fontId="31" fillId="6" borderId="5" xfId="0" applyFont="1" applyFill="1" applyBorder="1" applyAlignment="1">
      <alignment horizontal="center" vertical="top"/>
    </xf>
    <xf numFmtId="0" fontId="15" fillId="3" borderId="1" xfId="0" applyFont="1" applyFill="1" applyBorder="1" applyAlignment="1">
      <alignment horizontal="center" vertical="center" wrapText="1"/>
    </xf>
    <xf numFmtId="0" fontId="15" fillId="3" borderId="32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33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28" fillId="6" borderId="3" xfId="0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0" fontId="28" fillId="6" borderId="36" xfId="0" applyFont="1" applyFill="1" applyBorder="1" applyAlignment="1">
      <alignment horizontal="center" vertical="center"/>
    </xf>
    <xf numFmtId="0" fontId="28" fillId="6" borderId="6" xfId="0" applyFont="1" applyFill="1" applyBorder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28" fillId="6" borderId="11" xfId="0" applyFont="1" applyFill="1" applyBorder="1" applyAlignment="1">
      <alignment horizontal="center" vertical="center"/>
    </xf>
    <xf numFmtId="0" fontId="28" fillId="6" borderId="16" xfId="0" applyFont="1" applyFill="1" applyBorder="1" applyAlignment="1">
      <alignment horizontal="center" vertical="center"/>
    </xf>
    <xf numFmtId="0" fontId="28" fillId="6" borderId="12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3" fillId="5" borderId="4" xfId="0" applyFont="1" applyFill="1" applyBorder="1" applyAlignment="1">
      <alignment horizontal="center" vertical="center"/>
    </xf>
    <xf numFmtId="0" fontId="33" fillId="5" borderId="36" xfId="0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33" fillId="5" borderId="11" xfId="0" applyFont="1" applyFill="1" applyBorder="1" applyAlignment="1">
      <alignment horizontal="center" vertical="center"/>
    </xf>
    <xf numFmtId="0" fontId="33" fillId="5" borderId="12" xfId="0" applyFont="1" applyFill="1" applyBorder="1" applyAlignment="1">
      <alignment horizontal="center" vertical="center"/>
    </xf>
    <xf numFmtId="0" fontId="33" fillId="5" borderId="37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1" fillId="8" borderId="29" xfId="0" applyFont="1" applyFill="1" applyBorder="1" applyAlignment="1">
      <alignment horizontal="center" vertical="top"/>
    </xf>
    <xf numFmtId="0" fontId="31" fillId="8" borderId="30" xfId="0" applyFont="1" applyFill="1" applyBorder="1" applyAlignment="1">
      <alignment horizontal="center" vertical="top"/>
    </xf>
    <xf numFmtId="0" fontId="31" fillId="8" borderId="4" xfId="0" applyFont="1" applyFill="1" applyBorder="1" applyAlignment="1">
      <alignment horizontal="center" vertical="top"/>
    </xf>
    <xf numFmtId="0" fontId="31" fillId="8" borderId="31" xfId="0" applyFont="1" applyFill="1" applyBorder="1" applyAlignment="1">
      <alignment horizontal="center" vertical="top"/>
    </xf>
    <xf numFmtId="0" fontId="29" fillId="0" borderId="0" xfId="0" applyFont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29" fillId="0" borderId="7" xfId="0" applyFont="1" applyBorder="1" applyAlignment="1">
      <alignment horizontal="left" vertical="center"/>
    </xf>
    <xf numFmtId="0" fontId="33" fillId="5" borderId="32" xfId="0" applyFont="1" applyFill="1" applyBorder="1" applyAlignment="1">
      <alignment horizontal="center" vertical="center" wrapText="1"/>
    </xf>
    <xf numFmtId="0" fontId="33" fillId="5" borderId="33" xfId="0" applyFont="1" applyFill="1" applyBorder="1" applyAlignment="1">
      <alignment horizontal="center" vertical="center" wrapText="1"/>
    </xf>
    <xf numFmtId="0" fontId="33" fillId="5" borderId="20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0" fontId="33" fillId="5" borderId="22" xfId="0" applyFont="1" applyFill="1" applyBorder="1" applyAlignment="1">
      <alignment horizontal="center" vertical="center" wrapText="1"/>
    </xf>
    <xf numFmtId="0" fontId="33" fillId="5" borderId="23" xfId="0" applyFont="1" applyFill="1" applyBorder="1" applyAlignment="1">
      <alignment horizontal="center" vertical="center" wrapText="1"/>
    </xf>
    <xf numFmtId="0" fontId="15" fillId="3" borderId="35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 wrapText="1"/>
    </xf>
    <xf numFmtId="0" fontId="21" fillId="2" borderId="33" xfId="0" applyFont="1" applyFill="1" applyBorder="1" applyAlignment="1">
      <alignment horizontal="center" vertical="center" wrapText="1"/>
    </xf>
    <xf numFmtId="0" fontId="21" fillId="2" borderId="20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 wrapText="1"/>
    </xf>
    <xf numFmtId="0" fontId="21" fillId="2" borderId="23" xfId="0" applyFont="1" applyFill="1" applyBorder="1" applyAlignment="1">
      <alignment horizontal="center" vertical="center" wrapText="1"/>
    </xf>
    <xf numFmtId="9" fontId="21" fillId="2" borderId="34" xfId="0" applyNumberFormat="1" applyFont="1" applyFill="1" applyBorder="1" applyAlignment="1">
      <alignment horizontal="center" vertical="center"/>
    </xf>
    <xf numFmtId="9" fontId="21" fillId="2" borderId="21" xfId="0" applyNumberFormat="1" applyFont="1" applyFill="1" applyBorder="1" applyAlignment="1">
      <alignment horizontal="center" vertical="center"/>
    </xf>
    <xf numFmtId="9" fontId="21" fillId="2" borderId="24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/>
    </xf>
    <xf numFmtId="0" fontId="33" fillId="8" borderId="1" xfId="2" applyFont="1" applyFill="1" applyBorder="1" applyAlignment="1">
      <alignment horizontal="center" vertical="center"/>
    </xf>
    <xf numFmtId="0" fontId="53" fillId="15" borderId="9" xfId="2" applyFont="1" applyFill="1" applyBorder="1" applyAlignment="1">
      <alignment horizontal="center" vertical="center" wrapText="1"/>
    </xf>
    <xf numFmtId="0" fontId="53" fillId="15" borderId="10" xfId="2" applyFont="1" applyFill="1" applyBorder="1" applyAlignment="1">
      <alignment horizontal="center" vertical="center" wrapText="1"/>
    </xf>
    <xf numFmtId="0" fontId="31" fillId="15" borderId="18" xfId="2" applyFont="1" applyFill="1" applyBorder="1" applyAlignment="1">
      <alignment horizontal="center" vertical="center"/>
    </xf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47" fillId="0" borderId="0" xfId="4" applyFont="1" applyAlignment="1">
      <alignment horizontal="center"/>
    </xf>
    <xf numFmtId="0" fontId="43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3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0" fontId="42" fillId="5" borderId="1" xfId="6" applyFont="1" applyFill="1" applyBorder="1" applyAlignment="1">
      <alignment horizontal="center" vertical="center" wrapText="1"/>
    </xf>
    <xf numFmtId="0" fontId="54" fillId="15" borderId="3" xfId="0" applyFont="1" applyFill="1" applyBorder="1" applyAlignment="1">
      <alignment horizontal="center" vertical="center"/>
    </xf>
    <xf numFmtId="0" fontId="54" fillId="15" borderId="4" xfId="0" applyFont="1" applyFill="1" applyBorder="1" applyAlignment="1">
      <alignment horizontal="center" vertical="center"/>
    </xf>
    <xf numFmtId="0" fontId="54" fillId="15" borderId="5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9">
    <cellStyle name="Hyperlink" xfId="6" builtinId="8"/>
    <cellStyle name="Normal" xfId="0" builtinId="0"/>
    <cellStyle name="Normal 2" xfId="1"/>
    <cellStyle name="Normal 2 2" xfId="4"/>
    <cellStyle name="Normal 2 3" xfId="7"/>
    <cellStyle name="Normal 3" xfId="2"/>
    <cellStyle name="Normal 4" xfId="5"/>
    <cellStyle name="Normal 5" xfId="8"/>
    <cellStyle name="Percent" xfId="3" builtinId="5"/>
  </cellStyles>
  <dxfs count="13">
    <dxf>
      <font>
        <strike val="0"/>
        <outline val="0"/>
        <shadow val="0"/>
        <u val="none"/>
        <vertAlign val="baseline"/>
        <name val="Times New Roman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Times New Roman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444444"/>
        <name val="Times New Roman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2"/>
        <color rgb="FF444444"/>
        <name val="Times New Roman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color auto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59BE9"/>
      <color rgb="FFEACCF4"/>
      <color rgb="FFF3E3F9"/>
      <color rgb="FFC0100C"/>
      <color rgb="FF999999"/>
      <color rgb="FFFFFFBE"/>
      <color rgb="FF2F92C8"/>
      <color rgb="FF20610A"/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39756</xdr:colOff>
      <xdr:row>0</xdr:row>
      <xdr:rowOff>106019</xdr:rowOff>
    </xdr:from>
    <xdr:to>
      <xdr:col>0</xdr:col>
      <xdr:colOff>615612</xdr:colOff>
      <xdr:row>3</xdr:row>
      <xdr:rowOff>1</xdr:rowOff>
    </xdr:to>
    <xdr:pic>
      <xdr:nvPicPr>
        <xdr:cNvPr id="7" name="Picture 6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9756" y="106019"/>
          <a:ext cx="575856" cy="642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1510748</xdr:colOff>
      <xdr:row>19</xdr:row>
      <xdr:rowOff>150564</xdr:rowOff>
    </xdr:from>
    <xdr:to>
      <xdr:col>1</xdr:col>
      <xdr:colOff>202806</xdr:colOff>
      <xdr:row>23</xdr:row>
      <xdr:rowOff>23674</xdr:rowOff>
    </xdr:to>
    <xdr:pic>
      <xdr:nvPicPr>
        <xdr:cNvPr id="9" name="Picture 8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0748" y="3894303"/>
          <a:ext cx="819032" cy="60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306789</xdr:colOff>
      <xdr:row>18</xdr:row>
      <xdr:rowOff>143126</xdr:rowOff>
    </xdr:from>
    <xdr:to>
      <xdr:col>5</xdr:col>
      <xdr:colOff>601318</xdr:colOff>
      <xdr:row>23</xdr:row>
      <xdr:rowOff>33945</xdr:rowOff>
    </xdr:to>
    <xdr:pic>
      <xdr:nvPicPr>
        <xdr:cNvPr id="10" name="Picture 9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432" y="3721213"/>
          <a:ext cx="1089660" cy="7853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213322</xdr:colOff>
      <xdr:row>17</xdr:row>
      <xdr:rowOff>150412</xdr:rowOff>
    </xdr:from>
    <xdr:to>
      <xdr:col>9</xdr:col>
      <xdr:colOff>298506</xdr:colOff>
      <xdr:row>22</xdr:row>
      <xdr:rowOff>155328</xdr:rowOff>
    </xdr:to>
    <xdr:pic>
      <xdr:nvPicPr>
        <xdr:cNvPr id="11" name="Picture 10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0402" y="3541312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474096</xdr:colOff>
      <xdr:row>0</xdr:row>
      <xdr:rowOff>0</xdr:rowOff>
    </xdr:from>
    <xdr:to>
      <xdr:col>0</xdr:col>
      <xdr:colOff>1158240</xdr:colOff>
      <xdr:row>3</xdr:row>
      <xdr:rowOff>144780</xdr:rowOff>
    </xdr:to>
    <xdr:pic>
      <xdr:nvPicPr>
        <xdr:cNvPr id="7" name="Picture 6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474096" y="0"/>
          <a:ext cx="684144" cy="899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1043940</xdr:colOff>
      <xdr:row>19</xdr:row>
      <xdr:rowOff>167792</xdr:rowOff>
    </xdr:from>
    <xdr:to>
      <xdr:col>1</xdr:col>
      <xdr:colOff>650398</xdr:colOff>
      <xdr:row>22</xdr:row>
      <xdr:rowOff>139962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" y="6073292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160021</xdr:colOff>
      <xdr:row>18</xdr:row>
      <xdr:rowOff>129874</xdr:rowOff>
    </xdr:from>
    <xdr:to>
      <xdr:col>5</xdr:col>
      <xdr:colOff>462170</xdr:colOff>
      <xdr:row>22</xdr:row>
      <xdr:rowOff>112133</xdr:rowOff>
    </xdr:to>
    <xdr:pic>
      <xdr:nvPicPr>
        <xdr:cNvPr id="4" name="Picture 3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2381" y="5860114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599954</xdr:colOff>
      <xdr:row>18</xdr:row>
      <xdr:rowOff>0</xdr:rowOff>
    </xdr:from>
    <xdr:to>
      <xdr:col>10</xdr:col>
      <xdr:colOff>349858</xdr:colOff>
      <xdr:row>22</xdr:row>
      <xdr:rowOff>65876</xdr:rowOff>
    </xdr:to>
    <xdr:pic>
      <xdr:nvPicPr>
        <xdr:cNvPr id="5" name="Picture 4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6374" y="573024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125895</xdr:colOff>
      <xdr:row>0</xdr:row>
      <xdr:rowOff>59636</xdr:rowOff>
    </xdr:from>
    <xdr:to>
      <xdr:col>1</xdr:col>
      <xdr:colOff>284922</xdr:colOff>
      <xdr:row>4</xdr:row>
      <xdr:rowOff>83158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25895" y="59636"/>
          <a:ext cx="768627" cy="944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80683</xdr:colOff>
      <xdr:row>26</xdr:row>
      <xdr:rowOff>154792</xdr:rowOff>
    </xdr:from>
    <xdr:to>
      <xdr:col>2</xdr:col>
      <xdr:colOff>289121</xdr:colOff>
      <xdr:row>27</xdr:row>
      <xdr:rowOff>302222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283" y="8025804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355900</xdr:colOff>
      <xdr:row>25</xdr:row>
      <xdr:rowOff>345026</xdr:rowOff>
    </xdr:from>
    <xdr:to>
      <xdr:col>6</xdr:col>
      <xdr:colOff>223709</xdr:colOff>
      <xdr:row>27</xdr:row>
      <xdr:rowOff>238534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300" y="7776767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182199</xdr:colOff>
      <xdr:row>25</xdr:row>
      <xdr:rowOff>277905</xdr:rowOff>
    </xdr:from>
    <xdr:to>
      <xdr:col>9</xdr:col>
      <xdr:colOff>541703</xdr:colOff>
      <xdr:row>27</xdr:row>
      <xdr:rowOff>255030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9399" y="7709646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184535</xdr:colOff>
      <xdr:row>0</xdr:row>
      <xdr:rowOff>7620</xdr:rowOff>
    </xdr:from>
    <xdr:to>
      <xdr:col>1</xdr:col>
      <xdr:colOff>219558</xdr:colOff>
      <xdr:row>3</xdr:row>
      <xdr:rowOff>121920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84535" y="7620"/>
          <a:ext cx="705583" cy="868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344555</xdr:colOff>
      <xdr:row>0</xdr:row>
      <xdr:rowOff>30480</xdr:rowOff>
    </xdr:from>
    <xdr:to>
      <xdr:col>1</xdr:col>
      <xdr:colOff>350520</xdr:colOff>
      <xdr:row>3</xdr:row>
      <xdr:rowOff>99060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44555" y="30480"/>
          <a:ext cx="638425" cy="822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207396</xdr:colOff>
      <xdr:row>0</xdr:row>
      <xdr:rowOff>91439</xdr:rowOff>
    </xdr:from>
    <xdr:to>
      <xdr:col>1</xdr:col>
      <xdr:colOff>350832</xdr:colOff>
      <xdr:row>3</xdr:row>
      <xdr:rowOff>160020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207396" y="91439"/>
          <a:ext cx="775896" cy="929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375036</xdr:colOff>
      <xdr:row>0</xdr:row>
      <xdr:rowOff>0</xdr:rowOff>
    </xdr:from>
    <xdr:to>
      <xdr:col>1</xdr:col>
      <xdr:colOff>540910</xdr:colOff>
      <xdr:row>3</xdr:row>
      <xdr:rowOff>213360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75036" y="0"/>
          <a:ext cx="943114" cy="1074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205740</xdr:colOff>
      <xdr:row>121</xdr:row>
      <xdr:rowOff>148518</xdr:rowOff>
    </xdr:from>
    <xdr:to>
      <xdr:col>2</xdr:col>
      <xdr:colOff>1023778</xdr:colOff>
      <xdr:row>124</xdr:row>
      <xdr:rowOff>158788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1564759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38997</xdr:colOff>
      <xdr:row>120</xdr:row>
      <xdr:rowOff>158561</xdr:rowOff>
    </xdr:from>
    <xdr:to>
      <xdr:col>3</xdr:col>
      <xdr:colOff>1126006</xdr:colOff>
      <xdr:row>124</xdr:row>
      <xdr:rowOff>156060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4817" y="1545952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970196</xdr:colOff>
      <xdr:row>120</xdr:row>
      <xdr:rowOff>60960</xdr:rowOff>
    </xdr:from>
    <xdr:to>
      <xdr:col>7</xdr:col>
      <xdr:colOff>19060</xdr:colOff>
      <xdr:row>124</xdr:row>
      <xdr:rowOff>142076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0596" y="153619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566229</xdr:colOff>
      <xdr:row>0</xdr:row>
      <xdr:rowOff>0</xdr:rowOff>
    </xdr:from>
    <xdr:to>
      <xdr:col>2</xdr:col>
      <xdr:colOff>934379</xdr:colOff>
      <xdr:row>4</xdr:row>
      <xdr:rowOff>38100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175829" y="0"/>
          <a:ext cx="939650" cy="1112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434340</xdr:colOff>
      <xdr:row>139</xdr:row>
      <xdr:rowOff>178998</xdr:rowOff>
    </xdr:from>
    <xdr:to>
      <xdr:col>2</xdr:col>
      <xdr:colOff>1252378</xdr:colOff>
      <xdr:row>142</xdr:row>
      <xdr:rowOff>189268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5440" y="1735447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77097</xdr:colOff>
      <xdr:row>139</xdr:row>
      <xdr:rowOff>36641</xdr:rowOff>
    </xdr:from>
    <xdr:to>
      <xdr:col>6</xdr:col>
      <xdr:colOff>108736</xdr:colOff>
      <xdr:row>143</xdr:row>
      <xdr:rowOff>34140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7197" y="1721212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48176</xdr:colOff>
      <xdr:row>138</xdr:row>
      <xdr:rowOff>106680</xdr:rowOff>
    </xdr:from>
    <xdr:to>
      <xdr:col>13</xdr:col>
      <xdr:colOff>346720</xdr:colOff>
      <xdr:row>143</xdr:row>
      <xdr:rowOff>20156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7396" y="171145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91446</xdr:colOff>
      <xdr:row>0</xdr:row>
      <xdr:rowOff>52753</xdr:rowOff>
    </xdr:from>
    <xdr:to>
      <xdr:col>1</xdr:col>
      <xdr:colOff>211016</xdr:colOff>
      <xdr:row>4</xdr:row>
      <xdr:rowOff>42285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91446" y="52753"/>
          <a:ext cx="729170" cy="862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30481</xdr:colOff>
      <xdr:row>0</xdr:row>
      <xdr:rowOff>114299</xdr:rowOff>
    </xdr:from>
    <xdr:to>
      <xdr:col>0</xdr:col>
      <xdr:colOff>571065</xdr:colOff>
      <xdr:row>3</xdr:row>
      <xdr:rowOff>68580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0481" y="114299"/>
          <a:ext cx="540584" cy="647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1577340</xdr:colOff>
      <xdr:row>26</xdr:row>
      <xdr:rowOff>30632</xdr:rowOff>
    </xdr:from>
    <xdr:to>
      <xdr:col>1</xdr:col>
      <xdr:colOff>2395378</xdr:colOff>
      <xdr:row>29</xdr:row>
      <xdr:rowOff>40902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" y="7757312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411481</xdr:colOff>
      <xdr:row>24</xdr:row>
      <xdr:rowOff>145114</xdr:rowOff>
    </xdr:from>
    <xdr:to>
      <xdr:col>5</xdr:col>
      <xdr:colOff>431690</xdr:colOff>
      <xdr:row>28</xdr:row>
      <xdr:rowOff>188333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6881" y="7521274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508514</xdr:colOff>
      <xdr:row>24</xdr:row>
      <xdr:rowOff>0</xdr:rowOff>
    </xdr:from>
    <xdr:to>
      <xdr:col>9</xdr:col>
      <xdr:colOff>334618</xdr:colOff>
      <xdr:row>28</xdr:row>
      <xdr:rowOff>126836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4114" y="737616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178397</xdr:colOff>
      <xdr:row>10</xdr:row>
      <xdr:rowOff>203052</xdr:rowOff>
    </xdr:from>
    <xdr:to>
      <xdr:col>2</xdr:col>
      <xdr:colOff>696557</xdr:colOff>
      <xdr:row>10</xdr:row>
      <xdr:rowOff>294492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1675503" y="3026934"/>
          <a:ext cx="518160" cy="91440"/>
        </a:xfrm>
        <a:prstGeom prst="rightArrow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102199</xdr:colOff>
      <xdr:row>0</xdr:row>
      <xdr:rowOff>150156</xdr:rowOff>
    </xdr:from>
    <xdr:to>
      <xdr:col>1</xdr:col>
      <xdr:colOff>268941</xdr:colOff>
      <xdr:row>3</xdr:row>
      <xdr:rowOff>209514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02199" y="150156"/>
          <a:ext cx="776342" cy="937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708212</xdr:colOff>
      <xdr:row>26</xdr:row>
      <xdr:rowOff>103246</xdr:rowOff>
    </xdr:from>
    <xdr:to>
      <xdr:col>2</xdr:col>
      <xdr:colOff>29144</xdr:colOff>
      <xdr:row>29</xdr:row>
      <xdr:rowOff>134135</xdr:rowOff>
    </xdr:to>
    <xdr:pic>
      <xdr:nvPicPr>
        <xdr:cNvPr id="5" name="Picture 4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212" y="8054940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416412</xdr:colOff>
      <xdr:row>25</xdr:row>
      <xdr:rowOff>127184</xdr:rowOff>
    </xdr:from>
    <xdr:to>
      <xdr:col>6</xdr:col>
      <xdr:colOff>284221</xdr:colOff>
      <xdr:row>29</xdr:row>
      <xdr:rowOff>146199</xdr:rowOff>
    </xdr:to>
    <xdr:pic>
      <xdr:nvPicPr>
        <xdr:cNvPr id="6" name="Picture 5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2694" y="7881655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410351</xdr:colOff>
      <xdr:row>24</xdr:row>
      <xdr:rowOff>179294</xdr:rowOff>
    </xdr:from>
    <xdr:to>
      <xdr:col>11</xdr:col>
      <xdr:colOff>160255</xdr:colOff>
      <xdr:row>29</xdr:row>
      <xdr:rowOff>84701</xdr:rowOff>
    </xdr:to>
    <xdr:pic>
      <xdr:nvPicPr>
        <xdr:cNvPr id="7" name="Picture 6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5033" y="7736541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323937</xdr:colOff>
      <xdr:row>0</xdr:row>
      <xdr:rowOff>91440</xdr:rowOff>
    </xdr:from>
    <xdr:to>
      <xdr:col>1</xdr:col>
      <xdr:colOff>408454</xdr:colOff>
      <xdr:row>4</xdr:row>
      <xdr:rowOff>69854</xdr:rowOff>
    </xdr:to>
    <xdr:pic>
      <xdr:nvPicPr>
        <xdr:cNvPr id="2" name="Picture 1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23937" y="91440"/>
          <a:ext cx="494092" cy="6261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635934</xdr:colOff>
      <xdr:row>107</xdr:row>
      <xdr:rowOff>93609</xdr:rowOff>
    </xdr:from>
    <xdr:to>
      <xdr:col>2</xdr:col>
      <xdr:colOff>1892122</xdr:colOff>
      <xdr:row>111</xdr:row>
      <xdr:rowOff>58942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359" y="26163534"/>
          <a:ext cx="1256188" cy="765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258409</xdr:colOff>
      <xdr:row>106</xdr:row>
      <xdr:rowOff>60847</xdr:rowOff>
    </xdr:from>
    <xdr:to>
      <xdr:col>6</xdr:col>
      <xdr:colOff>331846</xdr:colOff>
      <xdr:row>111</xdr:row>
      <xdr:rowOff>52406</xdr:rowOff>
    </xdr:to>
    <xdr:pic>
      <xdr:nvPicPr>
        <xdr:cNvPr id="4" name="Picture 3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6584" y="25930747"/>
          <a:ext cx="1530762" cy="9916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69356</xdr:colOff>
      <xdr:row>106</xdr:row>
      <xdr:rowOff>74519</xdr:rowOff>
    </xdr:from>
    <xdr:to>
      <xdr:col>11</xdr:col>
      <xdr:colOff>680432</xdr:colOff>
      <xdr:row>111</xdr:row>
      <xdr:rowOff>171546</xdr:rowOff>
    </xdr:to>
    <xdr:pic>
      <xdr:nvPicPr>
        <xdr:cNvPr id="5" name="Picture 4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3081" y="25944419"/>
          <a:ext cx="2268426" cy="1097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323937</xdr:colOff>
      <xdr:row>0</xdr:row>
      <xdr:rowOff>91440</xdr:rowOff>
    </xdr:from>
    <xdr:to>
      <xdr:col>1</xdr:col>
      <xdr:colOff>170329</xdr:colOff>
      <xdr:row>3</xdr:row>
      <xdr:rowOff>117479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23937" y="91440"/>
          <a:ext cx="518745" cy="617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645459</xdr:colOff>
      <xdr:row>122</xdr:row>
      <xdr:rowOff>150759</xdr:rowOff>
    </xdr:from>
    <xdr:to>
      <xdr:col>2</xdr:col>
      <xdr:colOff>1463497</xdr:colOff>
      <xdr:row>125</xdr:row>
      <xdr:rowOff>163717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6353" y="17192665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353659</xdr:colOff>
      <xdr:row>121</xdr:row>
      <xdr:rowOff>137047</xdr:rowOff>
    </xdr:from>
    <xdr:to>
      <xdr:col>5</xdr:col>
      <xdr:colOff>436621</xdr:colOff>
      <xdr:row>125</xdr:row>
      <xdr:rowOff>138131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588" y="16981729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288431</xdr:colOff>
      <xdr:row>120</xdr:row>
      <xdr:rowOff>179294</xdr:rowOff>
    </xdr:from>
    <xdr:to>
      <xdr:col>11</xdr:col>
      <xdr:colOff>737582</xdr:colOff>
      <xdr:row>125</xdr:row>
      <xdr:rowOff>66771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6007" y="16826753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Table3" displayName="Table3" ref="A7:H115" totalsRowShown="0" headerRowDxfId="12" dataDxfId="10" headerRowBorderDxfId="11" tableBorderDxfId="9" totalsRowBorderDxfId="8">
  <autoFilter ref="A7:H115"/>
  <sortState ref="A9:H208">
    <sortCondition ref="A8:A208"/>
  </sortState>
  <tableColumns count="8">
    <tableColumn id="1" name="Roll No." dataDxfId="7" dataCellStyle="Normal 2 2"/>
    <tableColumn id="2" name="Seat No." dataDxfId="6" dataCellStyle="Normal 2"/>
    <tableColumn id="3" name="Name" dataDxfId="5" dataCellStyle="Normal 2"/>
    <tableColumn id="4" name="CCE#1  (30)" dataDxfId="4">
      <calculatedColumnFormula>'CCE1'!G11</calculatedColumnFormula>
    </tableColumn>
    <tableColumn id="5" name="CCE#2 (20)" dataDxfId="3">
      <calculatedColumnFormula>'CCE2'!I11</calculatedColumnFormula>
    </tableColumn>
    <tableColumn id="8" name="CCE#3 (50)" dataDxfId="2" dataCellStyle="Normal 2">
      <calculatedColumnFormula>'CCE3'!N11</calculatedColumnFormula>
    </tableColumn>
    <tableColumn id="6" name="Total (100)" dataDxfId="1">
      <calculatedColumnFormula>SUM(Table3[[#This Row],[CCE'#1  (30)]:[CCE'#3 (50)]])</calculatedColumnFormula>
    </tableColumn>
    <tableColumn id="7" name="Final_x000a_(25)" dataDxfId="0">
      <calculatedColumnFormula>G8/4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..\..\..\NAAC\CO-PO\2018-19\SEM%20I\Semester%20wise.xlsx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..\..\..\NAAC\CO-PO\2018-19\SEM%20I\Semester%20wis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showGridLines="0" topLeftCell="A4" zoomScaleNormal="100" workbookViewId="0">
      <selection activeCell="B16" sqref="B16"/>
    </sheetView>
  </sheetViews>
  <sheetFormatPr defaultRowHeight="12.75"/>
  <cols>
    <col min="1" max="1" width="31" customWidth="1"/>
    <col min="2" max="2" width="12" customWidth="1"/>
    <col min="3" max="3" width="11.7109375" customWidth="1"/>
    <col min="4" max="4" width="13.7109375" customWidth="1"/>
    <col min="5" max="6" width="11.5703125" customWidth="1"/>
    <col min="7" max="7" width="12.28515625" customWidth="1"/>
    <col min="8" max="8" width="12.85546875" customWidth="1"/>
  </cols>
  <sheetData>
    <row r="1" spans="1:10" ht="24.6" customHeight="1">
      <c r="A1" s="214" t="s">
        <v>94</v>
      </c>
      <c r="B1" s="214"/>
      <c r="C1" s="214"/>
      <c r="D1" s="214"/>
      <c r="E1" s="214"/>
      <c r="F1" s="214"/>
      <c r="G1" s="214"/>
      <c r="H1" s="214"/>
      <c r="I1" s="9"/>
      <c r="J1" s="9"/>
    </row>
    <row r="2" spans="1:10" ht="21" customHeight="1">
      <c r="A2" s="215" t="s">
        <v>95</v>
      </c>
      <c r="B2" s="215"/>
      <c r="C2" s="215"/>
      <c r="D2" s="215"/>
      <c r="E2" s="215"/>
      <c r="F2" s="215"/>
      <c r="G2" s="215"/>
      <c r="H2" s="215"/>
      <c r="I2" s="10"/>
      <c r="J2" s="10"/>
    </row>
    <row r="3" spans="1:10" ht="13.9" customHeight="1">
      <c r="A3" s="216" t="s">
        <v>96</v>
      </c>
      <c r="B3" s="216"/>
      <c r="C3" s="216"/>
      <c r="D3" s="216"/>
      <c r="E3" s="216"/>
      <c r="F3" s="216"/>
      <c r="G3" s="216"/>
      <c r="H3" s="216"/>
      <c r="I3" s="11"/>
      <c r="J3" s="11"/>
    </row>
    <row r="4" spans="1:10" ht="13.9" customHeight="1">
      <c r="A4" s="216" t="s">
        <v>9</v>
      </c>
      <c r="B4" s="216"/>
      <c r="C4" s="216"/>
      <c r="D4" s="216"/>
      <c r="E4" s="216"/>
      <c r="F4" s="216"/>
      <c r="G4" s="216"/>
      <c r="H4" s="216"/>
      <c r="I4" s="11"/>
      <c r="J4" s="11"/>
    </row>
    <row r="5" spans="1:10">
      <c r="A5" s="217"/>
      <c r="B5" s="218"/>
      <c r="C5" s="218"/>
      <c r="D5" s="218"/>
      <c r="E5" s="218"/>
      <c r="F5" s="218"/>
      <c r="G5" s="218"/>
      <c r="H5" s="219"/>
    </row>
    <row r="6" spans="1:10" ht="15.75">
      <c r="A6" s="74" t="s">
        <v>35</v>
      </c>
      <c r="B6" s="210" t="s">
        <v>146</v>
      </c>
      <c r="C6" s="210"/>
      <c r="D6" s="210"/>
      <c r="E6" s="210"/>
      <c r="F6" s="210"/>
      <c r="G6" s="210"/>
      <c r="H6" s="210"/>
    </row>
    <row r="7" spans="1:10" ht="15.75">
      <c r="A7" s="74" t="s">
        <v>49</v>
      </c>
      <c r="B7" s="211" t="s">
        <v>112</v>
      </c>
      <c r="C7" s="212"/>
      <c r="D7" s="212"/>
      <c r="E7" s="212"/>
      <c r="F7" s="212"/>
      <c r="G7" s="212"/>
      <c r="H7" s="213"/>
    </row>
    <row r="8" spans="1:10" ht="15.75">
      <c r="A8" s="74" t="s">
        <v>36</v>
      </c>
      <c r="B8" s="210" t="s">
        <v>97</v>
      </c>
      <c r="C8" s="210"/>
      <c r="D8" s="210"/>
      <c r="E8" s="210"/>
      <c r="F8" s="210"/>
      <c r="G8" s="210"/>
      <c r="H8" s="210"/>
    </row>
    <row r="9" spans="1:10" ht="15.75">
      <c r="A9" s="74" t="s">
        <v>38</v>
      </c>
      <c r="B9" s="210" t="s">
        <v>39</v>
      </c>
      <c r="C9" s="210"/>
      <c r="D9" s="210"/>
      <c r="E9" s="210"/>
      <c r="F9" s="210"/>
      <c r="G9" s="210"/>
      <c r="H9" s="210"/>
    </row>
    <row r="10" spans="1:10" ht="15.75">
      <c r="A10" s="74" t="s">
        <v>37</v>
      </c>
      <c r="B10" s="210" t="s">
        <v>147</v>
      </c>
      <c r="C10" s="210"/>
      <c r="D10" s="210"/>
      <c r="E10" s="210"/>
      <c r="F10" s="210"/>
      <c r="G10" s="210"/>
      <c r="H10" s="210"/>
    </row>
    <row r="11" spans="1:10" ht="15.75">
      <c r="A11" s="74" t="s">
        <v>40</v>
      </c>
      <c r="B11" s="210"/>
      <c r="C11" s="210"/>
      <c r="D11" s="210"/>
      <c r="E11" s="210"/>
      <c r="F11" s="210"/>
      <c r="G11" s="210"/>
      <c r="H11" s="210"/>
    </row>
    <row r="13" spans="1:10">
      <c r="B13" s="75" t="s">
        <v>98</v>
      </c>
      <c r="C13" s="75" t="s">
        <v>99</v>
      </c>
    </row>
    <row r="14" spans="1:10" ht="15.75">
      <c r="A14" s="74" t="s">
        <v>41</v>
      </c>
      <c r="B14" s="77">
        <v>0.34</v>
      </c>
      <c r="C14" s="76">
        <v>25</v>
      </c>
    </row>
    <row r="15" spans="1:10" ht="15.75">
      <c r="A15" s="74" t="s">
        <v>42</v>
      </c>
      <c r="B15" s="77">
        <v>0.66</v>
      </c>
      <c r="C15" s="76">
        <v>50</v>
      </c>
    </row>
    <row r="16" spans="1:10" ht="14.25">
      <c r="E16" s="220" t="str">
        <f>Faculty</f>
        <v>Narsareddy Chude, Sonali Late</v>
      </c>
      <c r="F16" s="220"/>
      <c r="G16" s="220"/>
    </row>
    <row r="17" spans="1:15" ht="15.75">
      <c r="A17" s="74" t="s">
        <v>43</v>
      </c>
      <c r="B17" s="77">
        <v>0.8</v>
      </c>
      <c r="E17" s="220" t="s">
        <v>100</v>
      </c>
      <c r="F17" s="220"/>
      <c r="G17" s="220"/>
    </row>
    <row r="18" spans="1:15" ht="15.75">
      <c r="A18" s="74" t="s">
        <v>44</v>
      </c>
      <c r="B18" s="77">
        <v>0.2</v>
      </c>
    </row>
    <row r="23" spans="1:15" ht="18.75">
      <c r="O23" s="68"/>
    </row>
    <row r="24" spans="1:15" ht="18.75">
      <c r="A24" s="221" t="s">
        <v>113</v>
      </c>
      <c r="B24" s="221"/>
      <c r="C24" s="221"/>
      <c r="D24" s="70"/>
      <c r="E24" s="222" t="s">
        <v>101</v>
      </c>
      <c r="F24" s="222"/>
      <c r="H24" s="222" t="s">
        <v>102</v>
      </c>
      <c r="I24" s="222"/>
      <c r="J24" s="222"/>
      <c r="K24" s="89"/>
      <c r="L24" s="70"/>
      <c r="M24" s="70"/>
      <c r="O24" s="68"/>
    </row>
    <row r="25" spans="1:15" ht="15.75">
      <c r="A25" s="221" t="s">
        <v>8</v>
      </c>
      <c r="B25" s="221"/>
      <c r="C25" s="221"/>
      <c r="D25" s="70"/>
      <c r="E25" s="222" t="s">
        <v>114</v>
      </c>
      <c r="F25" s="222"/>
      <c r="H25" s="222" t="s">
        <v>92</v>
      </c>
      <c r="I25" s="222"/>
      <c r="J25" s="222"/>
    </row>
    <row r="27" spans="1:15" ht="15.75">
      <c r="A27" s="70"/>
      <c r="B27" s="70"/>
      <c r="G27" s="2"/>
      <c r="H27" s="2"/>
      <c r="K27" s="70"/>
      <c r="M27" s="70"/>
      <c r="O27" s="7"/>
    </row>
    <row r="28" spans="1:15" ht="15.75">
      <c r="I28" s="2"/>
      <c r="J28" s="2"/>
      <c r="N28" s="3"/>
      <c r="O28" s="7"/>
    </row>
    <row r="29" spans="1:15" ht="15.75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  <c r="O29" s="7"/>
    </row>
  </sheetData>
  <mergeCells count="19">
    <mergeCell ref="E17:G17"/>
    <mergeCell ref="A24:C24"/>
    <mergeCell ref="E24:F24"/>
    <mergeCell ref="A25:C25"/>
    <mergeCell ref="B11:H11"/>
    <mergeCell ref="E25:F25"/>
    <mergeCell ref="H25:J25"/>
    <mergeCell ref="H24:J24"/>
    <mergeCell ref="E16:G16"/>
    <mergeCell ref="A1:H1"/>
    <mergeCell ref="A2:H2"/>
    <mergeCell ref="A3:H3"/>
    <mergeCell ref="A4:H4"/>
    <mergeCell ref="A5:H5"/>
    <mergeCell ref="B6:H6"/>
    <mergeCell ref="B8:H8"/>
    <mergeCell ref="B9:H9"/>
    <mergeCell ref="B10:H10"/>
    <mergeCell ref="B7:H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opLeftCell="A10" zoomScaleNormal="100" workbookViewId="0">
      <selection activeCell="P2" sqref="P2"/>
    </sheetView>
  </sheetViews>
  <sheetFormatPr defaultColWidth="8.85546875" defaultRowHeight="15"/>
  <cols>
    <col min="1" max="1" width="17.7109375" style="28" customWidth="1"/>
    <col min="2" max="2" width="13.42578125" style="27" customWidth="1"/>
    <col min="3" max="3" width="11.5703125" style="27" customWidth="1"/>
    <col min="4" max="4" width="10.42578125" style="27" customWidth="1"/>
    <col min="5" max="5" width="11.42578125" style="27" customWidth="1"/>
    <col min="6" max="16384" width="8.85546875" style="27"/>
  </cols>
  <sheetData>
    <row r="1" spans="1:14" customFormat="1" ht="24.6" customHeight="1">
      <c r="A1" s="232" t="s">
        <v>94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</row>
    <row r="2" spans="1:14" customFormat="1" ht="21" customHeight="1">
      <c r="A2" s="234" t="s">
        <v>95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</row>
    <row r="3" spans="1:14" customFormat="1" ht="13.9" customHeight="1">
      <c r="A3" s="236" t="s">
        <v>96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</row>
    <row r="4" spans="1:14" customFormat="1" ht="13.9" customHeight="1">
      <c r="A4" s="236" t="s">
        <v>9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</row>
    <row r="5" spans="1:14" ht="17.45" customHeight="1">
      <c r="A5" s="238" t="str">
        <f>CONCATENATE("Faculty Name: ", Faculty)</f>
        <v>Faculty Name: Narsareddy Chude, Sonali Late</v>
      </c>
      <c r="B5" s="239"/>
      <c r="C5" s="239"/>
      <c r="D5" s="240"/>
      <c r="E5" s="241"/>
      <c r="F5" s="242"/>
      <c r="G5" s="242"/>
      <c r="H5" s="242"/>
      <c r="I5" s="242"/>
      <c r="J5" s="242"/>
      <c r="K5" s="242"/>
      <c r="L5" s="242"/>
      <c r="M5" s="242"/>
      <c r="N5" s="243"/>
    </row>
    <row r="6" spans="1:14" ht="15.75">
      <c r="A6" s="238" t="str">
        <f>CONCATENATE("Subject Name &amp; Code: ", Sub_Code)</f>
        <v>Subject Name &amp; Code: Java Programming</v>
      </c>
      <c r="B6" s="239"/>
      <c r="C6" s="239"/>
      <c r="D6" s="240"/>
      <c r="E6" s="241"/>
      <c r="F6" s="242"/>
      <c r="G6" s="242"/>
      <c r="H6" s="242"/>
      <c r="I6" s="242"/>
      <c r="J6" s="242"/>
      <c r="K6" s="242"/>
      <c r="L6" s="242"/>
      <c r="M6" s="242"/>
      <c r="N6" s="243"/>
    </row>
    <row r="7" spans="1:14" ht="15.75">
      <c r="A7" s="238" t="str">
        <f>CONCATENATE("Class: ",Class_AY)</f>
        <v>Class: MCA I SEM I AY 2023-24</v>
      </c>
      <c r="B7" s="239"/>
      <c r="C7" s="239"/>
      <c r="D7" s="240"/>
      <c r="E7" s="241"/>
      <c r="F7" s="242"/>
      <c r="G7" s="242"/>
      <c r="H7" s="242"/>
      <c r="I7" s="242"/>
      <c r="J7" s="242"/>
      <c r="K7" s="242"/>
      <c r="L7" s="242"/>
      <c r="M7" s="242"/>
      <c r="N7" s="243"/>
    </row>
    <row r="8" spans="1:14">
      <c r="A8" s="8"/>
      <c r="B8" s="8"/>
      <c r="C8" s="8"/>
      <c r="D8" s="8"/>
      <c r="E8" s="8"/>
    </row>
    <row r="9" spans="1:14" ht="35.450000000000003" customHeight="1">
      <c r="A9" s="226" t="s">
        <v>60</v>
      </c>
      <c r="B9" s="226"/>
      <c r="C9" s="226"/>
      <c r="D9" s="226"/>
      <c r="E9" s="226"/>
      <c r="F9" s="226"/>
      <c r="G9" s="226"/>
      <c r="H9" s="226"/>
      <c r="I9" s="226"/>
      <c r="J9" s="226"/>
      <c r="K9" s="226"/>
      <c r="L9" s="226"/>
      <c r="M9" s="226"/>
      <c r="N9" s="226"/>
    </row>
    <row r="10" spans="1:14" ht="40.9" customHeight="1">
      <c r="A10" s="227" t="s">
        <v>61</v>
      </c>
      <c r="B10" s="227"/>
      <c r="C10" s="228" t="s">
        <v>87</v>
      </c>
      <c r="D10" s="229"/>
      <c r="E10" s="229"/>
      <c r="F10" s="227" t="s">
        <v>88</v>
      </c>
      <c r="G10" s="227"/>
      <c r="H10" s="227"/>
      <c r="I10" s="227" t="s">
        <v>89</v>
      </c>
      <c r="J10" s="227"/>
      <c r="K10" s="227"/>
      <c r="L10" s="231" t="s">
        <v>90</v>
      </c>
      <c r="M10" s="231"/>
      <c r="N10" s="231"/>
    </row>
    <row r="11" spans="1:14" ht="40.15" customHeight="1">
      <c r="A11" s="223" t="s">
        <v>62</v>
      </c>
      <c r="B11" s="223"/>
      <c r="C11" s="225" t="s">
        <v>63</v>
      </c>
      <c r="D11" s="225"/>
      <c r="E11" s="225"/>
      <c r="F11" s="225" t="s">
        <v>64</v>
      </c>
      <c r="G11" s="225"/>
      <c r="H11" s="225"/>
      <c r="I11" s="225" t="s">
        <v>65</v>
      </c>
      <c r="J11" s="225"/>
      <c r="K11" s="225"/>
      <c r="L11" s="225" t="s">
        <v>66</v>
      </c>
      <c r="M11" s="225"/>
      <c r="N11" s="225"/>
    </row>
    <row r="12" spans="1:14" ht="40.15" customHeight="1">
      <c r="A12" s="223" t="s">
        <v>67</v>
      </c>
      <c r="B12" s="223"/>
      <c r="C12" s="225" t="s">
        <v>68</v>
      </c>
      <c r="D12" s="225"/>
      <c r="E12" s="225"/>
      <c r="F12" s="225" t="s">
        <v>69</v>
      </c>
      <c r="G12" s="225"/>
      <c r="H12" s="225"/>
      <c r="I12" s="225" t="s">
        <v>70</v>
      </c>
      <c r="J12" s="225"/>
      <c r="K12" s="225"/>
      <c r="L12" s="225" t="s">
        <v>71</v>
      </c>
      <c r="M12" s="225"/>
      <c r="N12" s="225"/>
    </row>
    <row r="13" spans="1:14" ht="40.15" customHeight="1">
      <c r="A13" s="230" t="s">
        <v>72</v>
      </c>
      <c r="B13" s="230"/>
      <c r="C13" s="225" t="s">
        <v>73</v>
      </c>
      <c r="D13" s="225"/>
      <c r="E13" s="225"/>
      <c r="F13" s="225" t="s">
        <v>74</v>
      </c>
      <c r="G13" s="225"/>
      <c r="H13" s="225"/>
      <c r="I13" s="225" t="s">
        <v>75</v>
      </c>
      <c r="J13" s="225"/>
      <c r="K13" s="225"/>
      <c r="L13" s="225" t="s">
        <v>76</v>
      </c>
      <c r="M13" s="225"/>
      <c r="N13" s="225"/>
    </row>
    <row r="14" spans="1:14" ht="40.15" customHeight="1">
      <c r="A14" s="223" t="s">
        <v>77</v>
      </c>
      <c r="B14" s="223"/>
      <c r="C14" s="225" t="s">
        <v>78</v>
      </c>
      <c r="D14" s="225"/>
      <c r="E14" s="225"/>
      <c r="F14" s="225" t="s">
        <v>79</v>
      </c>
      <c r="G14" s="225"/>
      <c r="H14" s="225"/>
      <c r="I14" s="225" t="s">
        <v>80</v>
      </c>
      <c r="J14" s="225"/>
      <c r="K14" s="225"/>
      <c r="L14" s="225" t="s">
        <v>81</v>
      </c>
      <c r="M14" s="225"/>
      <c r="N14" s="225"/>
    </row>
    <row r="15" spans="1:14" ht="40.15" customHeight="1">
      <c r="A15" s="223" t="s">
        <v>82</v>
      </c>
      <c r="B15" s="223"/>
      <c r="C15" s="225" t="s">
        <v>83</v>
      </c>
      <c r="D15" s="225"/>
      <c r="E15" s="225"/>
      <c r="F15" s="225" t="s">
        <v>84</v>
      </c>
      <c r="G15" s="225"/>
      <c r="H15" s="225"/>
      <c r="I15" s="225" t="s">
        <v>85</v>
      </c>
      <c r="J15" s="225"/>
      <c r="K15" s="225"/>
      <c r="L15" s="225" t="s">
        <v>86</v>
      </c>
      <c r="M15" s="225"/>
      <c r="N15" s="225"/>
    </row>
    <row r="18" spans="1:15">
      <c r="A18" s="220" t="str">
        <f>Faculty</f>
        <v>Narsareddy Chude, Sonali Late</v>
      </c>
      <c r="B18" s="220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 s="220" t="s">
        <v>100</v>
      </c>
      <c r="B19" s="220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ht="18.7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 s="68"/>
    </row>
    <row r="22" spans="1:15" ht="18.7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 s="68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ht="15.75">
      <c r="A24" s="221" t="str">
        <f>SubjectDetails!$A$24</f>
        <v>Dr. Ravi Chourasiya</v>
      </c>
      <c r="B24" s="221"/>
      <c r="C24" s="221"/>
      <c r="D24"/>
      <c r="E24" s="224" t="str">
        <f>SubjectDetails!$E$24</f>
        <v>Dr. Ashwini Chavan</v>
      </c>
      <c r="F24" s="224"/>
      <c r="G24"/>
      <c r="H24"/>
      <c r="I24" s="222" t="str">
        <f>SubjectDetails!$H$24</f>
        <v>Dr. Priyanka Singh</v>
      </c>
      <c r="J24" s="222"/>
      <c r="K24" s="70"/>
      <c r="L24"/>
      <c r="M24" s="70"/>
      <c r="N24" s="39"/>
      <c r="O24"/>
    </row>
    <row r="25" spans="1:15" ht="15.75">
      <c r="A25" s="221" t="str">
        <f>SubjectDetails!$A$25</f>
        <v>(College Examination Officer)</v>
      </c>
      <c r="B25" s="221"/>
      <c r="C25" s="221"/>
      <c r="D25"/>
      <c r="E25" s="224" t="str">
        <f>SubjectDetails!$E$25</f>
        <v>HOD (MCA)</v>
      </c>
      <c r="F25" s="224"/>
      <c r="G25"/>
      <c r="H25"/>
      <c r="I25" s="222" t="str">
        <f>SubjectDetails!$H$25</f>
        <v>Director</v>
      </c>
      <c r="J25" s="222"/>
      <c r="K25" s="70"/>
      <c r="L25"/>
      <c r="M25" s="70"/>
      <c r="N25" s="39"/>
      <c r="O25" s="7"/>
    </row>
    <row r="26" spans="1:15" ht="15.75">
      <c r="A26"/>
      <c r="B26"/>
      <c r="C26"/>
      <c r="D26"/>
      <c r="E26"/>
      <c r="F26"/>
      <c r="G26"/>
      <c r="H26"/>
      <c r="I26" s="2"/>
      <c r="J26" s="2"/>
      <c r="K26"/>
      <c r="L26"/>
      <c r="M26"/>
      <c r="N26" s="3"/>
      <c r="O26" s="7"/>
    </row>
    <row r="27" spans="1:15" ht="15.75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  <c r="O27" s="7"/>
    </row>
  </sheetData>
  <mergeCells count="49">
    <mergeCell ref="A6:D6"/>
    <mergeCell ref="A7:D7"/>
    <mergeCell ref="E5:N5"/>
    <mergeCell ref="E6:N6"/>
    <mergeCell ref="E7:N7"/>
    <mergeCell ref="A1:N1"/>
    <mergeCell ref="A2:N2"/>
    <mergeCell ref="A3:N3"/>
    <mergeCell ref="A4:N4"/>
    <mergeCell ref="A5:D5"/>
    <mergeCell ref="F13:H13"/>
    <mergeCell ref="F14:H14"/>
    <mergeCell ref="F15:H15"/>
    <mergeCell ref="L15:N15"/>
    <mergeCell ref="I10:K10"/>
    <mergeCell ref="I11:K11"/>
    <mergeCell ref="I12:K12"/>
    <mergeCell ref="I13:K13"/>
    <mergeCell ref="I14:K14"/>
    <mergeCell ref="I15:K15"/>
    <mergeCell ref="L10:N10"/>
    <mergeCell ref="L11:N11"/>
    <mergeCell ref="L12:N12"/>
    <mergeCell ref="L13:N13"/>
    <mergeCell ref="L14:N14"/>
    <mergeCell ref="A13:B13"/>
    <mergeCell ref="A14:B14"/>
    <mergeCell ref="C13:E13"/>
    <mergeCell ref="C14:E14"/>
    <mergeCell ref="C15:E15"/>
    <mergeCell ref="C11:E11"/>
    <mergeCell ref="C12:E12"/>
    <mergeCell ref="A9:N9"/>
    <mergeCell ref="A10:B10"/>
    <mergeCell ref="A11:B11"/>
    <mergeCell ref="A12:B12"/>
    <mergeCell ref="C10:E10"/>
    <mergeCell ref="F10:H10"/>
    <mergeCell ref="F11:H11"/>
    <mergeCell ref="F12:H12"/>
    <mergeCell ref="I24:J24"/>
    <mergeCell ref="I25:J25"/>
    <mergeCell ref="A15:B15"/>
    <mergeCell ref="A18:B18"/>
    <mergeCell ref="A19:B19"/>
    <mergeCell ref="A24:C24"/>
    <mergeCell ref="E24:F24"/>
    <mergeCell ref="A25:C25"/>
    <mergeCell ref="E25:F25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"/>
  <sheetViews>
    <sheetView topLeftCell="A13" zoomScale="85" zoomScaleNormal="85" workbookViewId="0">
      <selection activeCell="A11" sqref="A11:I18"/>
    </sheetView>
  </sheetViews>
  <sheetFormatPr defaultColWidth="8.85546875" defaultRowHeight="15"/>
  <cols>
    <col min="1" max="1" width="8.85546875" style="28"/>
    <col min="2" max="16384" width="8.85546875" style="27"/>
  </cols>
  <sheetData>
    <row r="1" spans="1:27" customFormat="1" ht="24.6" customHeight="1">
      <c r="A1" s="214" t="s">
        <v>94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</row>
    <row r="2" spans="1:27" customFormat="1" ht="21" customHeight="1">
      <c r="A2" s="215" t="s">
        <v>95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</row>
    <row r="3" spans="1:27" customFormat="1" ht="13.9" customHeight="1">
      <c r="A3" s="216" t="s">
        <v>96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</row>
    <row r="4" spans="1:27" customFormat="1" ht="13.9" customHeight="1">
      <c r="A4" s="216" t="s">
        <v>9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</row>
    <row r="5" spans="1:27" customFormat="1" ht="13.9" customHeight="1">
      <c r="A5" s="245"/>
      <c r="B5" s="246"/>
      <c r="C5" s="246"/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7"/>
    </row>
    <row r="6" spans="1:27" ht="18.75">
      <c r="A6" s="23" t="str">
        <f>CONCATENATE("Faculty Name: ", Faculty)</f>
        <v>Faculty Name: Narsareddy Chude, Sonali Late</v>
      </c>
      <c r="B6" s="12"/>
      <c r="C6" s="12"/>
      <c r="D6" s="12"/>
      <c r="E6" s="12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 spans="1:27" ht="18.75">
      <c r="A7" s="23" t="str">
        <f>CONCATENATE("Subject Name &amp; Code: ", Sub_Code)</f>
        <v>Subject Name &amp; Code: Java Programming</v>
      </c>
      <c r="B7" s="12"/>
      <c r="C7" s="12"/>
      <c r="D7" s="12"/>
      <c r="E7" s="12"/>
      <c r="F7" s="12"/>
      <c r="G7" s="12"/>
      <c r="H7" s="26"/>
      <c r="I7" s="26"/>
      <c r="J7" s="26"/>
      <c r="K7" s="26"/>
      <c r="L7" s="26"/>
      <c r="M7" s="26"/>
      <c r="N7" s="26"/>
      <c r="O7" s="26"/>
      <c r="P7" s="26"/>
    </row>
    <row r="8" spans="1:27" ht="15.75">
      <c r="A8" s="23" t="str">
        <f>CONCATENATE("Class: ",Class_AY)</f>
        <v>Class: MCA I SEM I AY 2023-24</v>
      </c>
      <c r="B8" s="12"/>
      <c r="C8" s="12"/>
      <c r="D8" s="12"/>
      <c r="E8" s="12"/>
    </row>
    <row r="9" spans="1:27" ht="20.25">
      <c r="A9" s="8"/>
      <c r="B9" s="8"/>
      <c r="C9" s="8"/>
      <c r="D9" s="8"/>
      <c r="E9" s="8"/>
      <c r="K9" s="254" t="s">
        <v>104</v>
      </c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</row>
    <row r="10" spans="1:27" ht="55.15" customHeight="1">
      <c r="A10" s="248" t="s">
        <v>103</v>
      </c>
      <c r="B10" s="248"/>
      <c r="C10" s="248"/>
      <c r="D10" s="248"/>
      <c r="E10" s="248"/>
      <c r="F10" s="248"/>
      <c r="G10" s="248"/>
      <c r="H10" s="248"/>
      <c r="I10" s="248"/>
      <c r="J10" s="101"/>
      <c r="K10" s="255" t="s">
        <v>115</v>
      </c>
      <c r="L10" s="255"/>
      <c r="M10" s="255"/>
      <c r="N10" s="255"/>
      <c r="O10" s="255"/>
      <c r="P10" s="255"/>
      <c r="Q10" s="255"/>
      <c r="R10" s="255"/>
      <c r="S10" s="255"/>
      <c r="T10" s="255"/>
      <c r="U10" s="255"/>
      <c r="V10" s="255"/>
      <c r="W10" s="255"/>
    </row>
    <row r="11" spans="1:27" ht="32.450000000000003" customHeight="1">
      <c r="A11" s="51"/>
      <c r="B11" s="50" t="s">
        <v>14</v>
      </c>
      <c r="C11" s="50" t="s">
        <v>15</v>
      </c>
      <c r="D11" s="50" t="s">
        <v>16</v>
      </c>
      <c r="E11" s="50" t="s">
        <v>17</v>
      </c>
      <c r="F11" s="50" t="s">
        <v>18</v>
      </c>
      <c r="G11" s="50" t="s">
        <v>19</v>
      </c>
      <c r="H11" s="50" t="s">
        <v>20</v>
      </c>
      <c r="I11" s="50" t="s">
        <v>21</v>
      </c>
      <c r="J11" s="99"/>
      <c r="K11" s="255" t="s">
        <v>116</v>
      </c>
      <c r="L11" s="255"/>
      <c r="M11" s="255"/>
      <c r="N11" s="255"/>
      <c r="O11" s="255"/>
      <c r="P11" s="255"/>
      <c r="Q11" s="255"/>
      <c r="R11" s="255"/>
      <c r="S11" s="255"/>
      <c r="T11" s="255"/>
      <c r="U11" s="255"/>
      <c r="V11" s="255"/>
      <c r="W11" s="255"/>
      <c r="AA11" s="17"/>
    </row>
    <row r="12" spans="1:27" ht="19.899999999999999" customHeight="1">
      <c r="A12" s="50" t="s">
        <v>2</v>
      </c>
      <c r="B12" s="154">
        <v>2</v>
      </c>
      <c r="C12" s="154">
        <v>1</v>
      </c>
      <c r="D12" s="154">
        <v>1</v>
      </c>
      <c r="E12" s="154">
        <v>2</v>
      </c>
      <c r="F12" s="154" t="s">
        <v>24</v>
      </c>
      <c r="G12" s="154" t="s">
        <v>24</v>
      </c>
      <c r="H12" s="154" t="s">
        <v>24</v>
      </c>
      <c r="I12" s="154">
        <v>2</v>
      </c>
      <c r="J12" s="100"/>
      <c r="K12" s="255"/>
      <c r="L12" s="255"/>
      <c r="M12" s="255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AA12" s="47"/>
    </row>
    <row r="13" spans="1:27" ht="27" customHeight="1">
      <c r="A13" s="50" t="s">
        <v>3</v>
      </c>
      <c r="B13" s="154">
        <v>2</v>
      </c>
      <c r="C13" s="154">
        <v>2</v>
      </c>
      <c r="D13" s="154">
        <v>2</v>
      </c>
      <c r="E13" s="154">
        <v>2</v>
      </c>
      <c r="F13" s="154" t="s">
        <v>24</v>
      </c>
      <c r="G13" s="154" t="s">
        <v>24</v>
      </c>
      <c r="H13" s="154" t="s">
        <v>24</v>
      </c>
      <c r="I13" s="154">
        <v>2</v>
      </c>
      <c r="J13" s="100"/>
      <c r="K13" s="255" t="s">
        <v>117</v>
      </c>
      <c r="L13" s="255"/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AA13" s="47"/>
    </row>
    <row r="14" spans="1:27" ht="24.6" customHeight="1">
      <c r="A14" s="50" t="s">
        <v>4</v>
      </c>
      <c r="B14" s="154">
        <v>2</v>
      </c>
      <c r="C14" s="154">
        <v>2</v>
      </c>
      <c r="D14" s="154">
        <v>2</v>
      </c>
      <c r="E14" s="154">
        <v>2</v>
      </c>
      <c r="F14" s="154" t="s">
        <v>24</v>
      </c>
      <c r="G14" s="154" t="s">
        <v>24</v>
      </c>
      <c r="H14" s="154" t="s">
        <v>24</v>
      </c>
      <c r="I14" s="154">
        <v>2</v>
      </c>
      <c r="J14" s="100"/>
      <c r="K14" s="255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AA14" s="47"/>
    </row>
    <row r="15" spans="1:27" ht="19.899999999999999" customHeight="1">
      <c r="A15" s="50" t="s">
        <v>10</v>
      </c>
      <c r="B15" s="154">
        <v>3</v>
      </c>
      <c r="C15" s="154">
        <v>2</v>
      </c>
      <c r="D15" s="154">
        <v>3</v>
      </c>
      <c r="E15" s="154">
        <v>3</v>
      </c>
      <c r="F15" s="154">
        <v>1</v>
      </c>
      <c r="G15" s="154">
        <v>1</v>
      </c>
      <c r="H15" s="154" t="s">
        <v>24</v>
      </c>
      <c r="I15" s="154">
        <v>2</v>
      </c>
      <c r="J15" s="100"/>
      <c r="K15" s="256" t="s">
        <v>118</v>
      </c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AA15" s="47"/>
    </row>
    <row r="16" spans="1:27" ht="29.45" customHeight="1">
      <c r="A16" s="50" t="s">
        <v>12</v>
      </c>
      <c r="B16" s="154">
        <v>3</v>
      </c>
      <c r="C16" s="154">
        <v>2</v>
      </c>
      <c r="D16" s="154">
        <v>3</v>
      </c>
      <c r="E16" s="154">
        <v>3</v>
      </c>
      <c r="F16" s="154">
        <v>1</v>
      </c>
      <c r="G16" s="154">
        <v>2</v>
      </c>
      <c r="H16" s="154">
        <v>1</v>
      </c>
      <c r="I16" s="154">
        <v>2</v>
      </c>
      <c r="J16" s="100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AA16" s="47"/>
    </row>
    <row r="17" spans="1:27" ht="19.899999999999999" customHeight="1">
      <c r="A17" s="50" t="s">
        <v>22</v>
      </c>
      <c r="B17" s="82"/>
      <c r="C17" s="82"/>
      <c r="D17" s="82"/>
      <c r="E17" s="82"/>
      <c r="F17" s="82"/>
      <c r="G17" s="82"/>
      <c r="H17" s="82"/>
      <c r="I17" s="82"/>
      <c r="J17" s="100"/>
      <c r="K17" s="253" t="s">
        <v>119</v>
      </c>
      <c r="L17" s="253"/>
      <c r="M17" s="253"/>
      <c r="N17" s="253"/>
      <c r="O17" s="253"/>
      <c r="P17" s="253"/>
      <c r="Q17" s="253"/>
      <c r="R17" s="253"/>
      <c r="S17" s="253"/>
      <c r="T17" s="253"/>
      <c r="U17" s="253"/>
      <c r="V17" s="253"/>
      <c r="W17" s="253"/>
      <c r="AA17" s="47"/>
    </row>
    <row r="18" spans="1:27" ht="19.899999999999999" customHeight="1">
      <c r="A18" s="80" t="s">
        <v>23</v>
      </c>
      <c r="B18" s="81">
        <f>AVERAGE(B12:B16)</f>
        <v>2.4</v>
      </c>
      <c r="C18" s="81">
        <f t="shared" ref="C18:I18" si="0">AVERAGE(C12:C16)</f>
        <v>1.8</v>
      </c>
      <c r="D18" s="81">
        <f t="shared" si="0"/>
        <v>2.2000000000000002</v>
      </c>
      <c r="E18" s="81">
        <f t="shared" si="0"/>
        <v>2.4</v>
      </c>
      <c r="F18" s="81">
        <f t="shared" si="0"/>
        <v>1</v>
      </c>
      <c r="G18" s="81">
        <f t="shared" si="0"/>
        <v>1.5</v>
      </c>
      <c r="H18" s="81">
        <f t="shared" si="0"/>
        <v>1</v>
      </c>
      <c r="I18" s="81">
        <f t="shared" si="0"/>
        <v>2</v>
      </c>
      <c r="J18" s="98"/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</row>
    <row r="19" spans="1:27" ht="37.9" customHeight="1">
      <c r="A19" s="249" t="s">
        <v>111</v>
      </c>
      <c r="B19" s="249"/>
      <c r="C19" s="249"/>
      <c r="D19" s="249"/>
      <c r="E19" s="249"/>
      <c r="F19" s="249"/>
      <c r="G19" s="249"/>
      <c r="H19" s="249"/>
      <c r="I19" s="249"/>
      <c r="J19" s="102"/>
      <c r="K19" s="258" t="s">
        <v>120</v>
      </c>
      <c r="L19" s="258"/>
      <c r="M19" s="258"/>
      <c r="N19" s="258"/>
      <c r="O19" s="258"/>
      <c r="P19" s="258"/>
      <c r="Q19" s="258"/>
      <c r="R19" s="258"/>
      <c r="S19" s="258"/>
      <c r="T19" s="258"/>
      <c r="U19" s="258"/>
      <c r="V19" s="258"/>
      <c r="W19" s="258"/>
    </row>
    <row r="20" spans="1:27" ht="28.9" customHeight="1">
      <c r="A20" s="249"/>
      <c r="B20" s="249"/>
      <c r="C20" s="249"/>
      <c r="D20" s="249"/>
      <c r="E20" s="249"/>
      <c r="F20" s="249"/>
      <c r="G20" s="249"/>
      <c r="H20" s="249"/>
      <c r="I20" s="249"/>
      <c r="J20" s="102"/>
      <c r="K20" s="259" t="s">
        <v>121</v>
      </c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</row>
    <row r="21" spans="1:27" ht="13.9" customHeight="1">
      <c r="A21" s="249"/>
      <c r="B21" s="249"/>
      <c r="C21" s="249"/>
      <c r="D21" s="249"/>
      <c r="E21" s="249"/>
      <c r="F21" s="249"/>
      <c r="G21" s="249"/>
      <c r="H21" s="249"/>
      <c r="I21" s="249"/>
      <c r="J21" s="102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9"/>
      <c r="V21" s="259"/>
      <c r="W21" s="259"/>
    </row>
    <row r="22" spans="1:27" ht="30.6" customHeight="1">
      <c r="A22"/>
      <c r="B22"/>
      <c r="C22"/>
      <c r="D22"/>
      <c r="E22"/>
      <c r="F22"/>
      <c r="G22"/>
      <c r="H22"/>
      <c r="I22"/>
      <c r="J22"/>
      <c r="K22" s="259" t="s">
        <v>122</v>
      </c>
      <c r="L22" s="259"/>
      <c r="M22" s="259"/>
      <c r="N22" s="259"/>
      <c r="O22" s="259"/>
      <c r="P22" s="259"/>
      <c r="Q22" s="259"/>
      <c r="R22" s="259"/>
      <c r="S22" s="259"/>
      <c r="T22" s="259"/>
      <c r="U22" s="259"/>
      <c r="V22" s="259"/>
      <c r="W22" s="259"/>
    </row>
    <row r="23" spans="1:27" ht="16.149999999999999" customHeight="1">
      <c r="A23"/>
      <c r="B23"/>
      <c r="C23"/>
      <c r="D23"/>
      <c r="E23"/>
      <c r="F23"/>
      <c r="G23"/>
      <c r="H23"/>
      <c r="I23"/>
      <c r="J23"/>
      <c r="K23" s="259"/>
      <c r="L23" s="259"/>
      <c r="M23" s="259"/>
      <c r="N23" s="259"/>
      <c r="O23" s="259"/>
      <c r="P23" s="259"/>
      <c r="Q23" s="259"/>
      <c r="R23" s="259"/>
      <c r="S23" s="259"/>
      <c r="T23" s="259"/>
      <c r="U23" s="259"/>
      <c r="V23" s="259"/>
      <c r="W23" s="259"/>
    </row>
    <row r="24" spans="1:27" ht="17.45" customHeight="1">
      <c r="A24" s="260" t="str">
        <f>SubjectDetails!$E$16</f>
        <v>Narsareddy Chude, Sonali Late</v>
      </c>
      <c r="B24" s="260"/>
      <c r="C24" s="260"/>
      <c r="K24" s="262" t="s">
        <v>105</v>
      </c>
      <c r="L24" s="262"/>
      <c r="M24" s="262"/>
      <c r="N24" s="262"/>
      <c r="O24" s="262"/>
      <c r="P24" s="262"/>
      <c r="Q24" s="262"/>
      <c r="R24" s="262"/>
      <c r="S24" s="262"/>
      <c r="T24" s="262"/>
      <c r="U24" s="262"/>
      <c r="V24" s="262"/>
      <c r="W24" s="262"/>
    </row>
    <row r="25" spans="1:27" ht="32.450000000000003" customHeight="1">
      <c r="A25" s="261" t="str">
        <f>SubjectDetails!$E$17</f>
        <v>Subject Faculty</v>
      </c>
      <c r="B25" s="261"/>
      <c r="C25" s="261"/>
      <c r="K25" s="263" t="s">
        <v>106</v>
      </c>
      <c r="L25" s="264"/>
      <c r="M25" s="264"/>
      <c r="N25" s="264"/>
      <c r="O25" s="264"/>
      <c r="P25" s="264"/>
      <c r="Q25" s="264"/>
      <c r="R25" s="264"/>
      <c r="S25" s="264"/>
      <c r="T25" s="264"/>
      <c r="U25" s="264"/>
      <c r="V25" s="264"/>
      <c r="W25" s="264"/>
    </row>
    <row r="26" spans="1:27" ht="34.9" customHeight="1">
      <c r="K26" s="257" t="s">
        <v>110</v>
      </c>
      <c r="L26" s="257"/>
      <c r="M26" s="257"/>
      <c r="N26" s="257"/>
      <c r="O26" s="257"/>
      <c r="P26" s="257"/>
      <c r="Q26" s="257"/>
      <c r="R26" s="257"/>
      <c r="S26" s="257"/>
      <c r="T26" s="257"/>
      <c r="U26" s="257"/>
      <c r="V26" s="257"/>
      <c r="W26" s="257"/>
    </row>
    <row r="27" spans="1:27" ht="36" customHeight="1">
      <c r="K27" s="244" t="s">
        <v>107</v>
      </c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</row>
    <row r="28" spans="1:27" ht="36.6" customHeight="1">
      <c r="A28" s="221" t="str">
        <f>SubjectDetails!$A$24</f>
        <v>Dr. Ravi Chourasiya</v>
      </c>
      <c r="B28" s="221"/>
      <c r="C28" s="221"/>
      <c r="D28"/>
      <c r="E28" s="224" t="str">
        <f>SubjectDetails!$E$24</f>
        <v>Dr. Ashwini Chavan</v>
      </c>
      <c r="F28" s="224"/>
      <c r="G28" s="224"/>
      <c r="H28"/>
      <c r="I28" s="222" t="str">
        <f>SubjectDetails!$H$24</f>
        <v>Dr. Priyanka Singh</v>
      </c>
      <c r="J28" s="222"/>
      <c r="K28" s="244" t="s">
        <v>108</v>
      </c>
      <c r="L28" s="244"/>
      <c r="M28" s="244"/>
      <c r="N28" s="244"/>
      <c r="O28" s="244"/>
      <c r="P28" s="244"/>
      <c r="Q28" s="244"/>
      <c r="R28" s="244"/>
      <c r="S28" s="244"/>
      <c r="T28" s="244"/>
      <c r="U28" s="244"/>
      <c r="V28" s="244"/>
      <c r="W28" s="244"/>
    </row>
    <row r="29" spans="1:27" ht="32.450000000000003" customHeight="1">
      <c r="A29" s="251" t="str">
        <f>SubjectDetails!$A$25</f>
        <v>(College Examination Officer)</v>
      </c>
      <c r="B29" s="251"/>
      <c r="C29" s="251"/>
      <c r="D29"/>
      <c r="E29" s="252" t="str">
        <f>SubjectDetails!$E$25</f>
        <v>HOD (MCA)</v>
      </c>
      <c r="F29" s="252"/>
      <c r="G29" s="252"/>
      <c r="H29"/>
      <c r="I29" s="250" t="str">
        <f>SubjectDetails!$H$25</f>
        <v>Director</v>
      </c>
      <c r="J29" s="250"/>
      <c r="K29" s="244" t="s">
        <v>109</v>
      </c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</row>
    <row r="30" spans="1:27" ht="17.45" customHeight="1"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</row>
    <row r="31" spans="1:27" ht="21" customHeight="1"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</row>
    <row r="33" ht="25.15" customHeight="1"/>
    <row r="34" ht="40.9" customHeight="1"/>
    <row r="35" ht="25.15" customHeight="1"/>
    <row r="36" ht="25.15" customHeight="1"/>
    <row r="37" ht="25.15" customHeight="1"/>
  </sheetData>
  <mergeCells count="30">
    <mergeCell ref="K26:W26"/>
    <mergeCell ref="K27:W27"/>
    <mergeCell ref="K19:W19"/>
    <mergeCell ref="K20:W21"/>
    <mergeCell ref="A24:C24"/>
    <mergeCell ref="A25:C25"/>
    <mergeCell ref="K22:W23"/>
    <mergeCell ref="K24:W24"/>
    <mergeCell ref="K25:W25"/>
    <mergeCell ref="K9:W9"/>
    <mergeCell ref="K10:W10"/>
    <mergeCell ref="K11:W12"/>
    <mergeCell ref="K13:W14"/>
    <mergeCell ref="K15:W16"/>
    <mergeCell ref="K28:W28"/>
    <mergeCell ref="K29:W29"/>
    <mergeCell ref="A1:O1"/>
    <mergeCell ref="A2:O2"/>
    <mergeCell ref="A3:O3"/>
    <mergeCell ref="A4:O4"/>
    <mergeCell ref="A5:O5"/>
    <mergeCell ref="A10:I10"/>
    <mergeCell ref="A19:I21"/>
    <mergeCell ref="I28:J28"/>
    <mergeCell ref="I29:J29"/>
    <mergeCell ref="A28:C28"/>
    <mergeCell ref="A29:C29"/>
    <mergeCell ref="E28:G28"/>
    <mergeCell ref="E29:G29"/>
    <mergeCell ref="K17:W18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Views>
    <sheetView topLeftCell="A118" workbookViewId="0">
      <selection activeCell="H1" sqref="H1"/>
    </sheetView>
  </sheetViews>
  <sheetFormatPr defaultColWidth="12.7109375" defaultRowHeight="15.75" customHeight="1"/>
  <cols>
    <col min="1" max="1" width="9.7109375" style="1" customWidth="1"/>
    <col min="2" max="2" width="18.28515625" style="1" customWidth="1"/>
    <col min="3" max="3" width="44.28515625" style="1" bestFit="1" customWidth="1"/>
    <col min="4" max="6" width="7.28515625" style="2" customWidth="1"/>
    <col min="7" max="7" width="14.5703125" style="3" customWidth="1"/>
    <col min="8" max="16384" width="12.7109375" style="7"/>
  </cols>
  <sheetData>
    <row r="1" spans="1:11" customFormat="1" ht="24.6" customHeight="1">
      <c r="A1" s="232" t="s">
        <v>94</v>
      </c>
      <c r="B1" s="233"/>
      <c r="C1" s="233"/>
      <c r="D1" s="233"/>
      <c r="E1" s="233"/>
      <c r="F1" s="233"/>
      <c r="G1" s="233"/>
      <c r="H1" s="83"/>
      <c r="I1" s="83"/>
      <c r="J1" s="83"/>
      <c r="K1" s="83"/>
    </row>
    <row r="2" spans="1:11" customFormat="1" ht="21" customHeight="1">
      <c r="A2" s="267" t="s">
        <v>95</v>
      </c>
      <c r="B2" s="268"/>
      <c r="C2" s="268"/>
      <c r="D2" s="268"/>
      <c r="E2" s="268"/>
      <c r="F2" s="268"/>
      <c r="G2" s="268"/>
      <c r="H2" s="84"/>
      <c r="I2" s="84"/>
      <c r="J2" s="84"/>
      <c r="K2" s="84"/>
    </row>
    <row r="3" spans="1:11" customFormat="1" ht="13.9" customHeight="1">
      <c r="A3" s="236" t="s">
        <v>96</v>
      </c>
      <c r="B3" s="237"/>
      <c r="C3" s="237"/>
      <c r="D3" s="237"/>
      <c r="E3" s="237"/>
      <c r="F3" s="237"/>
      <c r="G3" s="237"/>
      <c r="H3" s="85"/>
      <c r="I3" s="85"/>
      <c r="J3" s="85"/>
      <c r="K3" s="85"/>
    </row>
    <row r="4" spans="1:11" customFormat="1" ht="13.9" customHeight="1" thickBot="1">
      <c r="A4" s="269" t="s">
        <v>9</v>
      </c>
      <c r="B4" s="270"/>
      <c r="C4" s="270"/>
      <c r="D4" s="270"/>
      <c r="E4" s="270"/>
      <c r="F4" s="270"/>
      <c r="G4" s="270"/>
      <c r="H4" s="85"/>
      <c r="I4" s="85"/>
      <c r="J4" s="85"/>
      <c r="K4" s="85"/>
    </row>
    <row r="5" spans="1:11" ht="30.4" customHeight="1">
      <c r="A5" s="271" t="s">
        <v>5</v>
      </c>
      <c r="B5" s="272"/>
      <c r="C5" s="272"/>
      <c r="D5" s="272"/>
      <c r="E5" s="272"/>
      <c r="F5" s="272"/>
      <c r="G5" s="273"/>
    </row>
    <row r="6" spans="1:11" ht="34.5" customHeight="1">
      <c r="A6" s="274" t="str">
        <f>CONCATENATE(Class," ", spl)</f>
        <v xml:space="preserve">MCA I SEM I AY 2023-24 </v>
      </c>
      <c r="B6" s="274"/>
      <c r="C6" s="86" t="str">
        <f>CONCATENATE("Name of Faculty: ", Faculty)</f>
        <v>Name of Faculty: Narsareddy Chude, Sonali Late</v>
      </c>
      <c r="D6" s="277" t="str">
        <f>CONCATENATE("Course Name: ", Sub_Code)</f>
        <v>Course Name: Java Programming</v>
      </c>
      <c r="E6" s="278"/>
      <c r="F6" s="278"/>
      <c r="G6" s="279"/>
    </row>
    <row r="7" spans="1:11" ht="21" customHeight="1">
      <c r="A7" s="280" t="s">
        <v>0</v>
      </c>
      <c r="B7" s="280" t="s">
        <v>6</v>
      </c>
      <c r="C7" s="280" t="s">
        <v>1</v>
      </c>
      <c r="D7" s="276" t="s">
        <v>123</v>
      </c>
      <c r="E7" s="276"/>
      <c r="F7" s="276"/>
      <c r="G7" s="275" t="s">
        <v>50</v>
      </c>
    </row>
    <row r="8" spans="1:11" s="29" customFormat="1" ht="19.899999999999999" customHeight="1">
      <c r="A8" s="282"/>
      <c r="B8" s="282"/>
      <c r="C8" s="281"/>
      <c r="D8" s="105" t="s">
        <v>133</v>
      </c>
      <c r="E8" s="105" t="s">
        <v>134</v>
      </c>
      <c r="F8" s="105" t="s">
        <v>135</v>
      </c>
      <c r="G8" s="275"/>
    </row>
    <row r="9" spans="1:11" s="29" customFormat="1" ht="20.25">
      <c r="A9" s="282"/>
      <c r="B9" s="282"/>
      <c r="C9" s="72" t="s">
        <v>93</v>
      </c>
      <c r="D9" s="106">
        <v>10</v>
      </c>
      <c r="E9" s="106">
        <v>10</v>
      </c>
      <c r="F9" s="106">
        <v>10</v>
      </c>
      <c r="G9" s="265">
        <f>SUM(D9:F9)</f>
        <v>30</v>
      </c>
    </row>
    <row r="10" spans="1:11" s="29" customFormat="1" ht="20.25">
      <c r="A10" s="281"/>
      <c r="B10" s="283"/>
      <c r="C10" s="72" t="s">
        <v>138</v>
      </c>
      <c r="D10" s="107" t="s">
        <v>2</v>
      </c>
      <c r="E10" s="107" t="s">
        <v>2</v>
      </c>
      <c r="F10" s="107" t="s">
        <v>3</v>
      </c>
      <c r="G10" s="266"/>
    </row>
    <row r="11" spans="1:11" s="29" customFormat="1" ht="18" customHeight="1">
      <c r="A11" s="59">
        <v>1</v>
      </c>
      <c r="B11" s="171" t="s">
        <v>258</v>
      </c>
      <c r="C11" s="172" t="s">
        <v>150</v>
      </c>
      <c r="D11" s="173">
        <v>8</v>
      </c>
      <c r="E11" s="173">
        <v>5</v>
      </c>
      <c r="F11" s="173">
        <v>6</v>
      </c>
      <c r="G11" s="45">
        <f t="shared" ref="G11:G42" si="0">IF(F11&lt;&gt;"AB",SUM(D11:F11),"AB")</f>
        <v>19</v>
      </c>
      <c r="K11" s="58"/>
    </row>
    <row r="12" spans="1:11" ht="18" customHeight="1">
      <c r="A12" s="59">
        <v>2</v>
      </c>
      <c r="B12" s="171" t="s">
        <v>259</v>
      </c>
      <c r="C12" s="172" t="s">
        <v>260</v>
      </c>
      <c r="D12" s="173">
        <v>8</v>
      </c>
      <c r="E12" s="173">
        <v>3</v>
      </c>
      <c r="F12" s="173">
        <v>6</v>
      </c>
      <c r="G12" s="45">
        <f t="shared" si="0"/>
        <v>17</v>
      </c>
      <c r="I12" s="29"/>
      <c r="K12" s="58"/>
    </row>
    <row r="13" spans="1:11" ht="18" customHeight="1">
      <c r="A13" s="59">
        <v>3</v>
      </c>
      <c r="B13" s="171" t="s">
        <v>261</v>
      </c>
      <c r="C13" s="172" t="s">
        <v>196</v>
      </c>
      <c r="D13" s="173">
        <v>3</v>
      </c>
      <c r="E13" s="173">
        <v>8</v>
      </c>
      <c r="F13" s="173">
        <v>6</v>
      </c>
      <c r="G13" s="45">
        <f t="shared" si="0"/>
        <v>17</v>
      </c>
      <c r="I13" s="29"/>
      <c r="K13" s="58"/>
    </row>
    <row r="14" spans="1:11" ht="18" customHeight="1">
      <c r="A14" s="59">
        <v>4</v>
      </c>
      <c r="B14" s="171" t="s">
        <v>262</v>
      </c>
      <c r="C14" s="172" t="s">
        <v>225</v>
      </c>
      <c r="D14" s="173">
        <v>6</v>
      </c>
      <c r="E14" s="173">
        <v>8</v>
      </c>
      <c r="F14" s="173">
        <v>3</v>
      </c>
      <c r="G14" s="45">
        <f t="shared" si="0"/>
        <v>17</v>
      </c>
      <c r="I14" s="29"/>
      <c r="K14" s="58"/>
    </row>
    <row r="15" spans="1:11" ht="18" customHeight="1">
      <c r="A15" s="59">
        <v>5</v>
      </c>
      <c r="B15" s="171" t="s">
        <v>263</v>
      </c>
      <c r="C15" s="172" t="s">
        <v>206</v>
      </c>
      <c r="D15" s="173">
        <v>5</v>
      </c>
      <c r="E15" s="173">
        <v>5</v>
      </c>
      <c r="F15" s="173">
        <v>3</v>
      </c>
      <c r="G15" s="45">
        <f t="shared" si="0"/>
        <v>13</v>
      </c>
      <c r="I15" s="29"/>
      <c r="K15" s="58"/>
    </row>
    <row r="16" spans="1:11" ht="18" customHeight="1">
      <c r="A16" s="59">
        <v>6</v>
      </c>
      <c r="B16" s="171" t="s">
        <v>264</v>
      </c>
      <c r="C16" s="172" t="s">
        <v>216</v>
      </c>
      <c r="D16" s="173">
        <v>8</v>
      </c>
      <c r="E16" s="173">
        <v>6</v>
      </c>
      <c r="F16" s="173">
        <v>5</v>
      </c>
      <c r="G16" s="45">
        <f t="shared" si="0"/>
        <v>19</v>
      </c>
      <c r="I16" s="29"/>
      <c r="K16" s="58"/>
    </row>
    <row r="17" spans="1:11" ht="18" customHeight="1">
      <c r="A17" s="59">
        <v>7</v>
      </c>
      <c r="B17" s="171" t="s">
        <v>265</v>
      </c>
      <c r="C17" s="172" t="s">
        <v>188</v>
      </c>
      <c r="D17" s="173">
        <v>3</v>
      </c>
      <c r="E17" s="173">
        <v>8</v>
      </c>
      <c r="F17" s="173">
        <v>8</v>
      </c>
      <c r="G17" s="45">
        <f t="shared" si="0"/>
        <v>19</v>
      </c>
      <c r="I17" s="29"/>
      <c r="K17" s="58"/>
    </row>
    <row r="18" spans="1:11" ht="18" customHeight="1">
      <c r="A18" s="59">
        <v>8</v>
      </c>
      <c r="B18" s="171" t="s">
        <v>266</v>
      </c>
      <c r="C18" s="172" t="s">
        <v>176</v>
      </c>
      <c r="D18" s="173">
        <v>8</v>
      </c>
      <c r="E18" s="173">
        <v>8</v>
      </c>
      <c r="F18" s="173">
        <v>8</v>
      </c>
      <c r="G18" s="45">
        <f t="shared" si="0"/>
        <v>24</v>
      </c>
      <c r="I18" s="29"/>
      <c r="K18" s="58"/>
    </row>
    <row r="19" spans="1:11" ht="18" customHeight="1">
      <c r="A19" s="59">
        <v>9</v>
      </c>
      <c r="B19" s="171" t="s">
        <v>267</v>
      </c>
      <c r="C19" s="172" t="s">
        <v>172</v>
      </c>
      <c r="D19" s="173">
        <v>8</v>
      </c>
      <c r="E19" s="173">
        <v>5</v>
      </c>
      <c r="F19" s="173">
        <v>6</v>
      </c>
      <c r="G19" s="45">
        <f t="shared" si="0"/>
        <v>19</v>
      </c>
      <c r="I19" s="29"/>
      <c r="K19" s="58"/>
    </row>
    <row r="20" spans="1:11" ht="18" customHeight="1">
      <c r="A20" s="59">
        <v>10</v>
      </c>
      <c r="B20" s="171" t="s">
        <v>268</v>
      </c>
      <c r="C20" s="172" t="s">
        <v>235</v>
      </c>
      <c r="D20" s="173">
        <v>8</v>
      </c>
      <c r="E20" s="173">
        <v>8</v>
      </c>
      <c r="F20" s="173">
        <v>5</v>
      </c>
      <c r="G20" s="45">
        <f t="shared" si="0"/>
        <v>21</v>
      </c>
      <c r="I20" s="29"/>
      <c r="K20" s="58"/>
    </row>
    <row r="21" spans="1:11" ht="18" customHeight="1">
      <c r="A21" s="59">
        <v>11</v>
      </c>
      <c r="B21" s="171" t="s">
        <v>269</v>
      </c>
      <c r="C21" s="172" t="s">
        <v>203</v>
      </c>
      <c r="D21" s="173">
        <v>5</v>
      </c>
      <c r="E21" s="173">
        <v>8</v>
      </c>
      <c r="F21" s="173">
        <v>8</v>
      </c>
      <c r="G21" s="45">
        <f t="shared" si="0"/>
        <v>21</v>
      </c>
      <c r="I21" s="29"/>
      <c r="K21" s="58"/>
    </row>
    <row r="22" spans="1:11" ht="18" customHeight="1">
      <c r="A22" s="59">
        <v>12</v>
      </c>
      <c r="B22" s="171" t="s">
        <v>270</v>
      </c>
      <c r="C22" s="172" t="s">
        <v>240</v>
      </c>
      <c r="D22" s="173">
        <v>4</v>
      </c>
      <c r="E22" s="173">
        <v>4</v>
      </c>
      <c r="F22" s="173">
        <v>7</v>
      </c>
      <c r="G22" s="45">
        <f t="shared" si="0"/>
        <v>15</v>
      </c>
      <c r="I22" s="29"/>
      <c r="K22" s="58"/>
    </row>
    <row r="23" spans="1:11" ht="18" customHeight="1">
      <c r="A23" s="59">
        <v>13</v>
      </c>
      <c r="B23" s="171" t="s">
        <v>271</v>
      </c>
      <c r="C23" s="172" t="s">
        <v>249</v>
      </c>
      <c r="D23" s="173">
        <v>5</v>
      </c>
      <c r="E23" s="173">
        <v>8</v>
      </c>
      <c r="F23" s="173">
        <v>7</v>
      </c>
      <c r="G23" s="45">
        <f t="shared" si="0"/>
        <v>20</v>
      </c>
      <c r="I23" s="29"/>
      <c r="K23" s="58"/>
    </row>
    <row r="24" spans="1:11" ht="18" customHeight="1">
      <c r="A24" s="59">
        <v>14</v>
      </c>
      <c r="B24" s="171" t="s">
        <v>272</v>
      </c>
      <c r="C24" s="172" t="s">
        <v>226</v>
      </c>
      <c r="D24" s="173">
        <v>6</v>
      </c>
      <c r="E24" s="173">
        <v>8</v>
      </c>
      <c r="F24" s="173">
        <v>8</v>
      </c>
      <c r="G24" s="45">
        <f t="shared" si="0"/>
        <v>22</v>
      </c>
      <c r="I24" s="29"/>
      <c r="K24" s="58"/>
    </row>
    <row r="25" spans="1:11" ht="18" customHeight="1">
      <c r="A25" s="59">
        <v>15</v>
      </c>
      <c r="B25" s="171" t="s">
        <v>273</v>
      </c>
      <c r="C25" s="172" t="s">
        <v>224</v>
      </c>
      <c r="D25" s="173">
        <v>8</v>
      </c>
      <c r="E25" s="173">
        <v>8</v>
      </c>
      <c r="F25" s="173">
        <v>8</v>
      </c>
      <c r="G25" s="45">
        <f t="shared" si="0"/>
        <v>24</v>
      </c>
      <c r="I25" s="29"/>
      <c r="K25" s="58"/>
    </row>
    <row r="26" spans="1:11" ht="18" customHeight="1">
      <c r="A26" s="59">
        <v>16</v>
      </c>
      <c r="B26" s="171" t="s">
        <v>274</v>
      </c>
      <c r="C26" s="172" t="s">
        <v>154</v>
      </c>
      <c r="D26" s="173">
        <v>7</v>
      </c>
      <c r="E26" s="173">
        <v>4</v>
      </c>
      <c r="F26" s="173">
        <v>8</v>
      </c>
      <c r="G26" s="45">
        <f t="shared" si="0"/>
        <v>19</v>
      </c>
      <c r="I26" s="29"/>
      <c r="K26" s="58"/>
    </row>
    <row r="27" spans="1:11" ht="18" customHeight="1">
      <c r="A27" s="59">
        <v>17</v>
      </c>
      <c r="B27" s="171" t="s">
        <v>275</v>
      </c>
      <c r="C27" s="172" t="s">
        <v>217</v>
      </c>
      <c r="D27" s="173">
        <v>4</v>
      </c>
      <c r="E27" s="173">
        <v>6</v>
      </c>
      <c r="F27" s="173">
        <v>5</v>
      </c>
      <c r="G27" s="45">
        <f t="shared" si="0"/>
        <v>15</v>
      </c>
      <c r="I27" s="29"/>
      <c r="K27" s="58"/>
    </row>
    <row r="28" spans="1:11" ht="18" customHeight="1">
      <c r="A28" s="59">
        <v>18</v>
      </c>
      <c r="B28" s="171" t="s">
        <v>276</v>
      </c>
      <c r="C28" s="172" t="s">
        <v>214</v>
      </c>
      <c r="D28" s="173">
        <v>6</v>
      </c>
      <c r="E28" s="173">
        <v>4</v>
      </c>
      <c r="F28" s="173">
        <v>4</v>
      </c>
      <c r="G28" s="45">
        <f t="shared" si="0"/>
        <v>14</v>
      </c>
      <c r="I28" s="29"/>
      <c r="K28" s="58"/>
    </row>
    <row r="29" spans="1:11" ht="18" customHeight="1">
      <c r="A29" s="59">
        <v>19</v>
      </c>
      <c r="B29" s="171" t="s">
        <v>277</v>
      </c>
      <c r="C29" s="172" t="s">
        <v>200</v>
      </c>
      <c r="D29" s="173">
        <v>4</v>
      </c>
      <c r="E29" s="173">
        <v>7</v>
      </c>
      <c r="F29" s="173">
        <v>8</v>
      </c>
      <c r="G29" s="45">
        <f t="shared" si="0"/>
        <v>19</v>
      </c>
      <c r="I29" s="29"/>
      <c r="K29" s="58"/>
    </row>
    <row r="30" spans="1:11" ht="18" customHeight="1">
      <c r="A30" s="59">
        <v>20</v>
      </c>
      <c r="B30" s="171" t="s">
        <v>278</v>
      </c>
      <c r="C30" s="172" t="s">
        <v>209</v>
      </c>
      <c r="D30" s="173">
        <v>5</v>
      </c>
      <c r="E30" s="173">
        <v>4</v>
      </c>
      <c r="F30" s="173">
        <v>7</v>
      </c>
      <c r="G30" s="45">
        <f t="shared" si="0"/>
        <v>16</v>
      </c>
      <c r="I30" s="29"/>
      <c r="K30" s="58"/>
    </row>
    <row r="31" spans="1:11" ht="18" customHeight="1">
      <c r="A31" s="59">
        <v>21</v>
      </c>
      <c r="B31" s="171" t="s">
        <v>279</v>
      </c>
      <c r="C31" s="172" t="s">
        <v>228</v>
      </c>
      <c r="D31" s="173">
        <v>4</v>
      </c>
      <c r="E31" s="173">
        <v>4</v>
      </c>
      <c r="F31" s="173">
        <v>7</v>
      </c>
      <c r="G31" s="45">
        <f t="shared" si="0"/>
        <v>15</v>
      </c>
      <c r="I31" s="29"/>
      <c r="K31" s="58"/>
    </row>
    <row r="32" spans="1:11" ht="18" customHeight="1">
      <c r="A32" s="59">
        <v>22</v>
      </c>
      <c r="B32" s="171" t="s">
        <v>280</v>
      </c>
      <c r="C32" s="172" t="s">
        <v>281</v>
      </c>
      <c r="D32" s="173">
        <v>5</v>
      </c>
      <c r="E32" s="173">
        <v>7</v>
      </c>
      <c r="F32" s="173">
        <v>7</v>
      </c>
      <c r="G32" s="45">
        <f t="shared" si="0"/>
        <v>19</v>
      </c>
      <c r="I32" s="29"/>
      <c r="K32" s="58"/>
    </row>
    <row r="33" spans="1:11" ht="18" customHeight="1">
      <c r="A33" s="59">
        <v>23</v>
      </c>
      <c r="B33" s="171" t="s">
        <v>282</v>
      </c>
      <c r="C33" s="172" t="s">
        <v>164</v>
      </c>
      <c r="D33" s="173">
        <v>8</v>
      </c>
      <c r="E33" s="173">
        <v>8</v>
      </c>
      <c r="F33" s="173">
        <v>7</v>
      </c>
      <c r="G33" s="45">
        <f t="shared" si="0"/>
        <v>23</v>
      </c>
      <c r="I33" s="29"/>
      <c r="K33" s="58"/>
    </row>
    <row r="34" spans="1:11" ht="18" customHeight="1">
      <c r="A34" s="59">
        <v>24</v>
      </c>
      <c r="B34" s="171" t="s">
        <v>283</v>
      </c>
      <c r="C34" s="172" t="s">
        <v>152</v>
      </c>
      <c r="D34" s="173">
        <v>5</v>
      </c>
      <c r="E34" s="173">
        <v>4</v>
      </c>
      <c r="F34" s="173">
        <v>8</v>
      </c>
      <c r="G34" s="45">
        <f t="shared" si="0"/>
        <v>17</v>
      </c>
      <c r="I34" s="29"/>
      <c r="K34" s="58"/>
    </row>
    <row r="35" spans="1:11" ht="18" customHeight="1">
      <c r="A35" s="59">
        <v>25</v>
      </c>
      <c r="B35" s="171" t="s">
        <v>284</v>
      </c>
      <c r="C35" s="172" t="s">
        <v>285</v>
      </c>
      <c r="D35" s="173">
        <v>4</v>
      </c>
      <c r="E35" s="173">
        <v>8</v>
      </c>
      <c r="F35" s="173">
        <v>5</v>
      </c>
      <c r="G35" s="45">
        <f t="shared" si="0"/>
        <v>17</v>
      </c>
      <c r="I35" s="29"/>
      <c r="K35" s="58"/>
    </row>
    <row r="36" spans="1:11" ht="18" customHeight="1">
      <c r="A36" s="59">
        <v>26</v>
      </c>
      <c r="B36" s="171" t="s">
        <v>286</v>
      </c>
      <c r="C36" s="172" t="s">
        <v>287</v>
      </c>
      <c r="D36" s="173">
        <v>7</v>
      </c>
      <c r="E36" s="173">
        <v>4</v>
      </c>
      <c r="F36" s="173">
        <v>5</v>
      </c>
      <c r="G36" s="45">
        <f t="shared" si="0"/>
        <v>16</v>
      </c>
      <c r="I36" s="29"/>
      <c r="K36" s="58"/>
    </row>
    <row r="37" spans="1:11" ht="18" customHeight="1">
      <c r="A37" s="59">
        <v>27</v>
      </c>
      <c r="B37" s="171" t="s">
        <v>288</v>
      </c>
      <c r="C37" s="172" t="s">
        <v>189</v>
      </c>
      <c r="D37" s="173">
        <v>5</v>
      </c>
      <c r="E37" s="173">
        <v>7</v>
      </c>
      <c r="F37" s="173">
        <v>8</v>
      </c>
      <c r="G37" s="45">
        <f t="shared" si="0"/>
        <v>20</v>
      </c>
      <c r="I37" s="29"/>
      <c r="K37" s="58"/>
    </row>
    <row r="38" spans="1:11" ht="18" customHeight="1">
      <c r="A38" s="59">
        <v>28</v>
      </c>
      <c r="B38" s="171" t="s">
        <v>289</v>
      </c>
      <c r="C38" s="172" t="s">
        <v>218</v>
      </c>
      <c r="D38" s="173">
        <v>4</v>
      </c>
      <c r="E38" s="173">
        <v>5</v>
      </c>
      <c r="F38" s="173">
        <v>7</v>
      </c>
      <c r="G38" s="45">
        <f t="shared" si="0"/>
        <v>16</v>
      </c>
      <c r="I38" s="29"/>
      <c r="K38" s="58"/>
    </row>
    <row r="39" spans="1:11" ht="18" customHeight="1">
      <c r="A39" s="59">
        <v>29</v>
      </c>
      <c r="B39" s="171" t="s">
        <v>290</v>
      </c>
      <c r="C39" s="172" t="s">
        <v>155</v>
      </c>
      <c r="D39" s="173">
        <v>5</v>
      </c>
      <c r="E39" s="173">
        <v>5</v>
      </c>
      <c r="F39" s="173">
        <v>6</v>
      </c>
      <c r="G39" s="45">
        <f t="shared" si="0"/>
        <v>16</v>
      </c>
      <c r="I39" s="29"/>
      <c r="K39" s="58"/>
    </row>
    <row r="40" spans="1:11" ht="18" customHeight="1">
      <c r="A40" s="59">
        <v>30</v>
      </c>
      <c r="B40" s="171" t="s">
        <v>291</v>
      </c>
      <c r="C40" s="172" t="s">
        <v>253</v>
      </c>
      <c r="D40" s="173">
        <v>7</v>
      </c>
      <c r="E40" s="173">
        <v>7</v>
      </c>
      <c r="F40" s="173">
        <v>7</v>
      </c>
      <c r="G40" s="45">
        <f t="shared" si="0"/>
        <v>21</v>
      </c>
      <c r="I40" s="29"/>
      <c r="K40" s="58"/>
    </row>
    <row r="41" spans="1:11" ht="18" customHeight="1">
      <c r="A41" s="59">
        <v>31</v>
      </c>
      <c r="B41" s="171" t="s">
        <v>292</v>
      </c>
      <c r="C41" s="172" t="s">
        <v>293</v>
      </c>
      <c r="D41" s="173">
        <v>8</v>
      </c>
      <c r="E41" s="173">
        <v>5</v>
      </c>
      <c r="F41" s="173">
        <v>5</v>
      </c>
      <c r="G41" s="45">
        <f t="shared" si="0"/>
        <v>18</v>
      </c>
      <c r="I41" s="29"/>
      <c r="K41" s="58"/>
    </row>
    <row r="42" spans="1:11" ht="18" customHeight="1">
      <c r="A42" s="59">
        <v>32</v>
      </c>
      <c r="B42" s="171" t="s">
        <v>294</v>
      </c>
      <c r="C42" s="172" t="s">
        <v>160</v>
      </c>
      <c r="D42" s="173">
        <v>4</v>
      </c>
      <c r="E42" s="173">
        <v>8</v>
      </c>
      <c r="F42" s="173">
        <v>4</v>
      </c>
      <c r="G42" s="45">
        <f t="shared" si="0"/>
        <v>16</v>
      </c>
      <c r="I42" s="29"/>
      <c r="K42" s="58"/>
    </row>
    <row r="43" spans="1:11" ht="18" customHeight="1">
      <c r="A43" s="59">
        <v>33</v>
      </c>
      <c r="B43" s="171" t="s">
        <v>295</v>
      </c>
      <c r="C43" s="172" t="s">
        <v>148</v>
      </c>
      <c r="D43" s="173">
        <v>6</v>
      </c>
      <c r="E43" s="173">
        <v>8</v>
      </c>
      <c r="F43" s="173">
        <v>6</v>
      </c>
      <c r="G43" s="45">
        <f t="shared" ref="G43:G74" si="1">IF(F43&lt;&gt;"AB",SUM(D43:F43),"AB")</f>
        <v>20</v>
      </c>
      <c r="I43" s="29"/>
      <c r="K43" s="58"/>
    </row>
    <row r="44" spans="1:11" ht="18" customHeight="1">
      <c r="A44" s="59">
        <v>34</v>
      </c>
      <c r="B44" s="171" t="s">
        <v>296</v>
      </c>
      <c r="C44" s="172" t="s">
        <v>183</v>
      </c>
      <c r="D44" s="173">
        <v>6</v>
      </c>
      <c r="E44" s="173">
        <v>8</v>
      </c>
      <c r="F44" s="173">
        <v>7</v>
      </c>
      <c r="G44" s="45">
        <f t="shared" si="1"/>
        <v>21</v>
      </c>
      <c r="I44" s="29"/>
      <c r="K44" s="58"/>
    </row>
    <row r="45" spans="1:11" ht="18" customHeight="1">
      <c r="A45" s="59">
        <v>35</v>
      </c>
      <c r="B45" s="171" t="s">
        <v>297</v>
      </c>
      <c r="C45" s="172" t="s">
        <v>159</v>
      </c>
      <c r="D45" s="173">
        <v>7</v>
      </c>
      <c r="E45" s="173">
        <v>6</v>
      </c>
      <c r="F45" s="173">
        <v>6</v>
      </c>
      <c r="G45" s="45">
        <f t="shared" si="1"/>
        <v>19</v>
      </c>
      <c r="I45" s="29"/>
      <c r="K45" s="58"/>
    </row>
    <row r="46" spans="1:11" ht="18" customHeight="1">
      <c r="A46" s="59">
        <v>36</v>
      </c>
      <c r="B46" s="171" t="s">
        <v>298</v>
      </c>
      <c r="C46" s="172" t="s">
        <v>299</v>
      </c>
      <c r="D46" s="173">
        <v>5</v>
      </c>
      <c r="E46" s="173">
        <v>6</v>
      </c>
      <c r="F46" s="173">
        <v>6</v>
      </c>
      <c r="G46" s="45">
        <f t="shared" si="1"/>
        <v>17</v>
      </c>
      <c r="I46" s="29"/>
      <c r="K46" s="58"/>
    </row>
    <row r="47" spans="1:11" ht="18" customHeight="1">
      <c r="A47" s="59">
        <v>37</v>
      </c>
      <c r="B47" s="171" t="s">
        <v>300</v>
      </c>
      <c r="C47" s="172" t="s">
        <v>177</v>
      </c>
      <c r="D47" s="173">
        <v>6</v>
      </c>
      <c r="E47" s="173">
        <v>7</v>
      </c>
      <c r="F47" s="173">
        <v>8</v>
      </c>
      <c r="G47" s="45">
        <f t="shared" si="1"/>
        <v>21</v>
      </c>
      <c r="I47" s="29"/>
      <c r="K47" s="58"/>
    </row>
    <row r="48" spans="1:11" ht="18" customHeight="1">
      <c r="A48" s="59">
        <v>38</v>
      </c>
      <c r="B48" s="171" t="s">
        <v>301</v>
      </c>
      <c r="C48" s="172" t="s">
        <v>302</v>
      </c>
      <c r="D48" s="173">
        <v>5</v>
      </c>
      <c r="E48" s="173">
        <v>7</v>
      </c>
      <c r="F48" s="173">
        <v>5</v>
      </c>
      <c r="G48" s="45">
        <f t="shared" si="1"/>
        <v>17</v>
      </c>
      <c r="I48" s="29"/>
      <c r="K48" s="58"/>
    </row>
    <row r="49" spans="1:11" ht="18" customHeight="1">
      <c r="A49" s="59">
        <v>39</v>
      </c>
      <c r="B49" s="171" t="s">
        <v>303</v>
      </c>
      <c r="C49" s="172" t="s">
        <v>156</v>
      </c>
      <c r="D49" s="173">
        <v>6</v>
      </c>
      <c r="E49" s="173">
        <v>6</v>
      </c>
      <c r="F49" s="173">
        <v>5</v>
      </c>
      <c r="G49" s="45">
        <f t="shared" si="1"/>
        <v>17</v>
      </c>
      <c r="I49" s="29"/>
      <c r="K49" s="58"/>
    </row>
    <row r="50" spans="1:11" ht="18" customHeight="1">
      <c r="A50" s="59">
        <v>40</v>
      </c>
      <c r="B50" s="171" t="s">
        <v>304</v>
      </c>
      <c r="C50" s="172" t="s">
        <v>178</v>
      </c>
      <c r="D50" s="173">
        <v>5</v>
      </c>
      <c r="E50" s="173">
        <v>6</v>
      </c>
      <c r="F50" s="173">
        <v>6</v>
      </c>
      <c r="G50" s="45">
        <f t="shared" si="1"/>
        <v>17</v>
      </c>
      <c r="I50" s="29"/>
      <c r="K50" s="58"/>
    </row>
    <row r="51" spans="1:11" ht="18" customHeight="1">
      <c r="A51" s="59">
        <v>41</v>
      </c>
      <c r="B51" s="171" t="s">
        <v>305</v>
      </c>
      <c r="C51" s="172" t="s">
        <v>306</v>
      </c>
      <c r="D51" s="173">
        <v>5</v>
      </c>
      <c r="E51" s="173">
        <v>7</v>
      </c>
      <c r="F51" s="173">
        <v>6</v>
      </c>
      <c r="G51" s="45">
        <f t="shared" si="1"/>
        <v>18</v>
      </c>
      <c r="I51" s="29"/>
      <c r="K51" s="58"/>
    </row>
    <row r="52" spans="1:11" ht="18" customHeight="1">
      <c r="A52" s="59">
        <v>42</v>
      </c>
      <c r="B52" s="171" t="s">
        <v>307</v>
      </c>
      <c r="C52" s="172" t="s">
        <v>202</v>
      </c>
      <c r="D52" s="173">
        <v>7</v>
      </c>
      <c r="E52" s="173">
        <v>6</v>
      </c>
      <c r="F52" s="173">
        <v>5</v>
      </c>
      <c r="G52" s="45">
        <f t="shared" si="1"/>
        <v>18</v>
      </c>
      <c r="I52" s="29"/>
      <c r="K52" s="58"/>
    </row>
    <row r="53" spans="1:11" ht="18" customHeight="1">
      <c r="A53" s="59">
        <v>43</v>
      </c>
      <c r="B53" s="171" t="s">
        <v>308</v>
      </c>
      <c r="C53" s="172" t="s">
        <v>162</v>
      </c>
      <c r="D53" s="173">
        <v>8</v>
      </c>
      <c r="E53" s="173">
        <v>5</v>
      </c>
      <c r="F53" s="173">
        <v>7</v>
      </c>
      <c r="G53" s="45">
        <f t="shared" si="1"/>
        <v>20</v>
      </c>
      <c r="I53" s="29"/>
      <c r="K53" s="58"/>
    </row>
    <row r="54" spans="1:11" ht="18" customHeight="1">
      <c r="A54" s="59">
        <v>44</v>
      </c>
      <c r="B54" s="171" t="s">
        <v>309</v>
      </c>
      <c r="C54" s="172" t="s">
        <v>310</v>
      </c>
      <c r="D54" s="173">
        <v>7</v>
      </c>
      <c r="E54" s="173">
        <v>6</v>
      </c>
      <c r="F54" s="173">
        <v>6</v>
      </c>
      <c r="G54" s="45">
        <f t="shared" si="1"/>
        <v>19</v>
      </c>
      <c r="I54" s="29"/>
      <c r="K54" s="58"/>
    </row>
    <row r="55" spans="1:11" ht="18" customHeight="1">
      <c r="A55" s="59">
        <v>45</v>
      </c>
      <c r="B55" s="171" t="s">
        <v>311</v>
      </c>
      <c r="C55" s="172" t="s">
        <v>312</v>
      </c>
      <c r="D55" s="173">
        <v>8</v>
      </c>
      <c r="E55" s="173">
        <v>6</v>
      </c>
      <c r="F55" s="173">
        <v>8</v>
      </c>
      <c r="G55" s="45">
        <f t="shared" si="1"/>
        <v>22</v>
      </c>
      <c r="I55" s="29"/>
      <c r="K55" s="58"/>
    </row>
    <row r="56" spans="1:11" ht="18" customHeight="1">
      <c r="A56" s="59">
        <v>46</v>
      </c>
      <c r="B56" s="171" t="s">
        <v>313</v>
      </c>
      <c r="C56" s="172" t="s">
        <v>170</v>
      </c>
      <c r="D56" s="173">
        <v>5</v>
      </c>
      <c r="E56" s="173">
        <v>8</v>
      </c>
      <c r="F56" s="173">
        <v>6</v>
      </c>
      <c r="G56" s="45">
        <f t="shared" si="1"/>
        <v>19</v>
      </c>
      <c r="I56" s="29"/>
      <c r="K56" s="58"/>
    </row>
    <row r="57" spans="1:11" ht="18" customHeight="1">
      <c r="A57" s="59">
        <v>47</v>
      </c>
      <c r="B57" s="171" t="s">
        <v>314</v>
      </c>
      <c r="C57" s="172" t="s">
        <v>315</v>
      </c>
      <c r="D57" s="173">
        <v>5</v>
      </c>
      <c r="E57" s="173">
        <v>6</v>
      </c>
      <c r="F57" s="173">
        <v>5</v>
      </c>
      <c r="G57" s="45">
        <f t="shared" si="1"/>
        <v>16</v>
      </c>
      <c r="I57" s="29"/>
      <c r="K57" s="58"/>
    </row>
    <row r="58" spans="1:11" ht="18" customHeight="1">
      <c r="A58" s="59">
        <v>48</v>
      </c>
      <c r="B58" s="171" t="s">
        <v>316</v>
      </c>
      <c r="C58" s="172" t="s">
        <v>153</v>
      </c>
      <c r="D58" s="173">
        <v>6</v>
      </c>
      <c r="E58" s="173">
        <v>5</v>
      </c>
      <c r="F58" s="173">
        <v>6</v>
      </c>
      <c r="G58" s="45">
        <f t="shared" si="1"/>
        <v>17</v>
      </c>
      <c r="I58" s="29"/>
      <c r="K58" s="58"/>
    </row>
    <row r="59" spans="1:11" ht="18" customHeight="1">
      <c r="A59" s="59">
        <v>49</v>
      </c>
      <c r="B59" s="171" t="s">
        <v>317</v>
      </c>
      <c r="C59" s="172" t="s">
        <v>163</v>
      </c>
      <c r="D59" s="173">
        <v>8</v>
      </c>
      <c r="E59" s="173">
        <v>6</v>
      </c>
      <c r="F59" s="173">
        <v>6</v>
      </c>
      <c r="G59" s="45">
        <f t="shared" si="1"/>
        <v>20</v>
      </c>
      <c r="I59" s="29"/>
      <c r="K59" s="58"/>
    </row>
    <row r="60" spans="1:11" ht="18" customHeight="1">
      <c r="A60" s="59">
        <v>50</v>
      </c>
      <c r="B60" s="171" t="s">
        <v>318</v>
      </c>
      <c r="C60" s="172" t="s">
        <v>319</v>
      </c>
      <c r="D60" s="173">
        <v>8</v>
      </c>
      <c r="E60" s="173">
        <v>6</v>
      </c>
      <c r="F60" s="173">
        <v>7</v>
      </c>
      <c r="G60" s="45">
        <f t="shared" si="1"/>
        <v>21</v>
      </c>
      <c r="I60" s="29"/>
      <c r="K60" s="58"/>
    </row>
    <row r="61" spans="1:11" ht="18" customHeight="1">
      <c r="A61" s="59">
        <v>51</v>
      </c>
      <c r="B61" s="171" t="s">
        <v>320</v>
      </c>
      <c r="C61" s="172" t="s">
        <v>236</v>
      </c>
      <c r="D61" s="173">
        <v>6</v>
      </c>
      <c r="E61" s="173">
        <v>6</v>
      </c>
      <c r="F61" s="173">
        <v>6</v>
      </c>
      <c r="G61" s="45">
        <f t="shared" si="1"/>
        <v>18</v>
      </c>
      <c r="I61" s="29"/>
      <c r="K61" s="58"/>
    </row>
    <row r="62" spans="1:11" ht="18" customHeight="1">
      <c r="A62" s="59">
        <v>52</v>
      </c>
      <c r="B62" s="171" t="s">
        <v>321</v>
      </c>
      <c r="C62" s="172" t="s">
        <v>322</v>
      </c>
      <c r="D62" s="173">
        <v>6</v>
      </c>
      <c r="E62" s="173">
        <v>7</v>
      </c>
      <c r="F62" s="173">
        <v>6</v>
      </c>
      <c r="G62" s="45">
        <f t="shared" si="1"/>
        <v>19</v>
      </c>
      <c r="I62" s="29"/>
      <c r="K62" s="58"/>
    </row>
    <row r="63" spans="1:11" ht="18" customHeight="1">
      <c r="A63" s="59">
        <v>53</v>
      </c>
      <c r="B63" s="171" t="s">
        <v>323</v>
      </c>
      <c r="C63" s="172" t="s">
        <v>246</v>
      </c>
      <c r="D63" s="173">
        <v>8</v>
      </c>
      <c r="E63" s="173">
        <v>8</v>
      </c>
      <c r="F63" s="173">
        <v>8</v>
      </c>
      <c r="G63" s="45">
        <f t="shared" si="1"/>
        <v>24</v>
      </c>
      <c r="I63" s="29"/>
      <c r="K63" s="58"/>
    </row>
    <row r="64" spans="1:11" ht="18" customHeight="1">
      <c r="A64" s="59">
        <v>54</v>
      </c>
      <c r="B64" s="171" t="s">
        <v>324</v>
      </c>
      <c r="C64" s="172" t="s">
        <v>325</v>
      </c>
      <c r="D64" s="173">
        <v>6</v>
      </c>
      <c r="E64" s="173">
        <v>7</v>
      </c>
      <c r="F64" s="173">
        <v>6</v>
      </c>
      <c r="G64" s="45">
        <f t="shared" si="1"/>
        <v>19</v>
      </c>
      <c r="I64" s="29"/>
      <c r="K64" s="58"/>
    </row>
    <row r="65" spans="1:11" ht="18" customHeight="1">
      <c r="A65" s="59">
        <v>55</v>
      </c>
      <c r="B65" s="171" t="s">
        <v>326</v>
      </c>
      <c r="C65" s="172" t="s">
        <v>327</v>
      </c>
      <c r="D65" s="173">
        <v>6</v>
      </c>
      <c r="E65" s="173">
        <v>6</v>
      </c>
      <c r="F65" s="173">
        <v>7</v>
      </c>
      <c r="G65" s="45">
        <f t="shared" si="1"/>
        <v>19</v>
      </c>
      <c r="I65" s="29"/>
      <c r="K65" s="58"/>
    </row>
    <row r="66" spans="1:11" ht="18" customHeight="1">
      <c r="A66" s="59">
        <v>56</v>
      </c>
      <c r="B66" s="171" t="s">
        <v>328</v>
      </c>
      <c r="C66" s="172" t="s">
        <v>179</v>
      </c>
      <c r="D66" s="173">
        <v>8</v>
      </c>
      <c r="E66" s="173">
        <v>6</v>
      </c>
      <c r="F66" s="173">
        <v>8</v>
      </c>
      <c r="G66" s="45">
        <f t="shared" si="1"/>
        <v>22</v>
      </c>
      <c r="I66" s="29"/>
      <c r="K66" s="58"/>
    </row>
    <row r="67" spans="1:11" ht="18" customHeight="1">
      <c r="A67" s="59">
        <v>57</v>
      </c>
      <c r="B67" s="171" t="s">
        <v>329</v>
      </c>
      <c r="C67" s="172" t="s">
        <v>149</v>
      </c>
      <c r="D67" s="173">
        <v>6</v>
      </c>
      <c r="E67" s="173">
        <v>6</v>
      </c>
      <c r="F67" s="173">
        <v>7</v>
      </c>
      <c r="G67" s="45">
        <f t="shared" si="1"/>
        <v>19</v>
      </c>
      <c r="I67" s="29"/>
      <c r="K67" s="58"/>
    </row>
    <row r="68" spans="1:11" ht="18" customHeight="1">
      <c r="A68" s="59">
        <v>58</v>
      </c>
      <c r="B68" s="171" t="s">
        <v>330</v>
      </c>
      <c r="C68" s="172" t="s">
        <v>204</v>
      </c>
      <c r="D68" s="173">
        <v>6</v>
      </c>
      <c r="E68" s="173">
        <v>6</v>
      </c>
      <c r="F68" s="173">
        <v>8</v>
      </c>
      <c r="G68" s="45">
        <f t="shared" si="1"/>
        <v>20</v>
      </c>
      <c r="I68" s="29"/>
      <c r="K68" s="58"/>
    </row>
    <row r="69" spans="1:11" ht="18" customHeight="1">
      <c r="A69" s="59">
        <v>59</v>
      </c>
      <c r="B69" s="171" t="s">
        <v>331</v>
      </c>
      <c r="C69" s="172" t="s">
        <v>238</v>
      </c>
      <c r="D69" s="173">
        <v>6</v>
      </c>
      <c r="E69" s="173">
        <v>7</v>
      </c>
      <c r="F69" s="173">
        <v>6</v>
      </c>
      <c r="G69" s="45">
        <f t="shared" si="1"/>
        <v>19</v>
      </c>
      <c r="I69" s="29"/>
      <c r="K69" s="58"/>
    </row>
    <row r="70" spans="1:11" ht="18" customHeight="1">
      <c r="A70" s="59">
        <v>60</v>
      </c>
      <c r="B70" s="171" t="s">
        <v>332</v>
      </c>
      <c r="C70" s="172" t="s">
        <v>167</v>
      </c>
      <c r="D70" s="173">
        <v>8</v>
      </c>
      <c r="E70" s="173">
        <v>7</v>
      </c>
      <c r="F70" s="173">
        <v>6</v>
      </c>
      <c r="G70" s="45">
        <f t="shared" si="1"/>
        <v>21</v>
      </c>
      <c r="I70" s="29"/>
      <c r="K70" s="58"/>
    </row>
    <row r="71" spans="1:11" ht="18" customHeight="1">
      <c r="A71" s="59">
        <v>61</v>
      </c>
      <c r="B71" s="171" t="s">
        <v>333</v>
      </c>
      <c r="C71" s="172" t="s">
        <v>247</v>
      </c>
      <c r="D71" s="173">
        <v>6</v>
      </c>
      <c r="E71" s="173">
        <v>8</v>
      </c>
      <c r="F71" s="173">
        <v>8</v>
      </c>
      <c r="G71" s="45">
        <f t="shared" si="1"/>
        <v>22</v>
      </c>
      <c r="I71" s="29"/>
      <c r="K71" s="58"/>
    </row>
    <row r="72" spans="1:11" ht="18" customHeight="1">
      <c r="A72" s="59">
        <v>62</v>
      </c>
      <c r="B72" s="171" t="s">
        <v>334</v>
      </c>
      <c r="C72" s="172" t="s">
        <v>166</v>
      </c>
      <c r="D72" s="173">
        <v>8</v>
      </c>
      <c r="E72" s="173">
        <v>6</v>
      </c>
      <c r="F72" s="173">
        <v>8</v>
      </c>
      <c r="G72" s="45">
        <f t="shared" si="1"/>
        <v>22</v>
      </c>
      <c r="I72" s="29"/>
      <c r="K72" s="58"/>
    </row>
    <row r="73" spans="1:11" ht="18" customHeight="1">
      <c r="A73" s="59">
        <v>63</v>
      </c>
      <c r="B73" s="171" t="s">
        <v>335</v>
      </c>
      <c r="C73" s="172" t="s">
        <v>195</v>
      </c>
      <c r="D73" s="173">
        <v>6</v>
      </c>
      <c r="E73" s="173">
        <v>7</v>
      </c>
      <c r="F73" s="173">
        <v>8</v>
      </c>
      <c r="G73" s="45">
        <f t="shared" si="1"/>
        <v>21</v>
      </c>
      <c r="I73" s="29"/>
      <c r="K73" s="58"/>
    </row>
    <row r="74" spans="1:11" ht="18" customHeight="1">
      <c r="A74" s="59">
        <v>64</v>
      </c>
      <c r="B74" s="171" t="s">
        <v>336</v>
      </c>
      <c r="C74" s="172" t="s">
        <v>245</v>
      </c>
      <c r="D74" s="173">
        <v>7</v>
      </c>
      <c r="E74" s="173">
        <v>6</v>
      </c>
      <c r="F74" s="173">
        <v>7</v>
      </c>
      <c r="G74" s="45">
        <f t="shared" si="1"/>
        <v>20</v>
      </c>
      <c r="I74" s="29"/>
      <c r="K74" s="58"/>
    </row>
    <row r="75" spans="1:11" ht="18" customHeight="1">
      <c r="A75" s="59">
        <v>65</v>
      </c>
      <c r="B75" s="171" t="s">
        <v>337</v>
      </c>
      <c r="C75" s="172" t="s">
        <v>174</v>
      </c>
      <c r="D75" s="173">
        <v>6</v>
      </c>
      <c r="E75" s="173">
        <v>8</v>
      </c>
      <c r="F75" s="173">
        <v>5</v>
      </c>
      <c r="G75" s="45">
        <f t="shared" ref="G75:G106" si="2">IF(F75&lt;&gt;"AB",SUM(D75:F75),"AB")</f>
        <v>19</v>
      </c>
      <c r="I75" s="29"/>
      <c r="K75" s="58"/>
    </row>
    <row r="76" spans="1:11" ht="18" customHeight="1">
      <c r="A76" s="59">
        <v>66</v>
      </c>
      <c r="B76" s="171" t="s">
        <v>338</v>
      </c>
      <c r="C76" s="172" t="s">
        <v>161</v>
      </c>
      <c r="D76" s="173">
        <v>6</v>
      </c>
      <c r="E76" s="173">
        <v>6</v>
      </c>
      <c r="F76" s="173">
        <v>8</v>
      </c>
      <c r="G76" s="45">
        <f t="shared" si="2"/>
        <v>20</v>
      </c>
      <c r="I76" s="29"/>
      <c r="K76" s="58"/>
    </row>
    <row r="77" spans="1:11" ht="18" customHeight="1">
      <c r="A77" s="59">
        <v>67</v>
      </c>
      <c r="B77" s="171" t="s">
        <v>339</v>
      </c>
      <c r="C77" s="172" t="s">
        <v>229</v>
      </c>
      <c r="D77" s="173">
        <v>6</v>
      </c>
      <c r="E77" s="173">
        <v>6</v>
      </c>
      <c r="F77" s="173">
        <v>7</v>
      </c>
      <c r="G77" s="45">
        <f t="shared" si="2"/>
        <v>19</v>
      </c>
      <c r="I77" s="29"/>
      <c r="K77" s="58"/>
    </row>
    <row r="78" spans="1:11" ht="18" customHeight="1">
      <c r="A78" s="59">
        <v>68</v>
      </c>
      <c r="B78" s="171" t="s">
        <v>340</v>
      </c>
      <c r="C78" s="172" t="s">
        <v>211</v>
      </c>
      <c r="D78" s="173">
        <v>6</v>
      </c>
      <c r="E78" s="173">
        <v>6</v>
      </c>
      <c r="F78" s="173">
        <v>8</v>
      </c>
      <c r="G78" s="45">
        <f t="shared" si="2"/>
        <v>20</v>
      </c>
      <c r="I78" s="29"/>
      <c r="K78" s="58"/>
    </row>
    <row r="79" spans="1:11" ht="18" customHeight="1">
      <c r="A79" s="59">
        <v>69</v>
      </c>
      <c r="B79" s="171" t="s">
        <v>341</v>
      </c>
      <c r="C79" s="172" t="s">
        <v>222</v>
      </c>
      <c r="D79" s="173">
        <v>5</v>
      </c>
      <c r="E79" s="173">
        <v>5</v>
      </c>
      <c r="F79" s="173">
        <v>6</v>
      </c>
      <c r="G79" s="45">
        <f t="shared" si="2"/>
        <v>16</v>
      </c>
      <c r="I79" s="29"/>
      <c r="K79" s="58"/>
    </row>
    <row r="80" spans="1:11" ht="18" customHeight="1">
      <c r="A80" s="59">
        <v>70</v>
      </c>
      <c r="B80" s="171" t="s">
        <v>342</v>
      </c>
      <c r="C80" s="172" t="s">
        <v>231</v>
      </c>
      <c r="D80" s="173">
        <v>7</v>
      </c>
      <c r="E80" s="173">
        <v>5</v>
      </c>
      <c r="F80" s="173">
        <v>6</v>
      </c>
      <c r="G80" s="45">
        <f t="shared" si="2"/>
        <v>18</v>
      </c>
      <c r="I80" s="29"/>
      <c r="K80" s="58"/>
    </row>
    <row r="81" spans="1:11" ht="18" customHeight="1">
      <c r="A81" s="59">
        <v>71</v>
      </c>
      <c r="B81" s="171" t="s">
        <v>343</v>
      </c>
      <c r="C81" s="172" t="s">
        <v>344</v>
      </c>
      <c r="D81" s="173">
        <v>5</v>
      </c>
      <c r="E81" s="173">
        <v>8</v>
      </c>
      <c r="F81" s="173">
        <v>7</v>
      </c>
      <c r="G81" s="45">
        <f t="shared" si="2"/>
        <v>20</v>
      </c>
      <c r="I81" s="29"/>
      <c r="K81" s="58"/>
    </row>
    <row r="82" spans="1:11" ht="18" customHeight="1">
      <c r="A82" s="59">
        <v>72</v>
      </c>
      <c r="B82" s="171" t="s">
        <v>345</v>
      </c>
      <c r="C82" s="172" t="s">
        <v>219</v>
      </c>
      <c r="D82" s="173">
        <v>8</v>
      </c>
      <c r="E82" s="173">
        <v>7</v>
      </c>
      <c r="F82" s="173">
        <v>6</v>
      </c>
      <c r="G82" s="45">
        <f t="shared" si="2"/>
        <v>21</v>
      </c>
      <c r="I82" s="29"/>
      <c r="K82" s="58"/>
    </row>
    <row r="83" spans="1:11" ht="18" customHeight="1">
      <c r="A83" s="59">
        <v>73</v>
      </c>
      <c r="B83" s="171" t="s">
        <v>346</v>
      </c>
      <c r="C83" s="172" t="s">
        <v>220</v>
      </c>
      <c r="D83" s="173">
        <v>5</v>
      </c>
      <c r="E83" s="173">
        <v>6</v>
      </c>
      <c r="F83" s="173">
        <v>6</v>
      </c>
      <c r="G83" s="45">
        <f t="shared" si="2"/>
        <v>17</v>
      </c>
      <c r="I83" s="29"/>
      <c r="K83" s="58"/>
    </row>
    <row r="84" spans="1:11" ht="18" customHeight="1">
      <c r="A84" s="59">
        <v>74</v>
      </c>
      <c r="B84" s="171" t="s">
        <v>347</v>
      </c>
      <c r="C84" s="172" t="s">
        <v>201</v>
      </c>
      <c r="D84" s="173">
        <v>6</v>
      </c>
      <c r="E84" s="173">
        <v>6</v>
      </c>
      <c r="F84" s="173">
        <v>7</v>
      </c>
      <c r="G84" s="45">
        <f t="shared" si="2"/>
        <v>19</v>
      </c>
      <c r="I84" s="29"/>
      <c r="K84" s="58"/>
    </row>
    <row r="85" spans="1:11" ht="18" customHeight="1">
      <c r="A85" s="59">
        <v>75</v>
      </c>
      <c r="B85" s="171" t="s">
        <v>348</v>
      </c>
      <c r="C85" s="172" t="s">
        <v>237</v>
      </c>
      <c r="D85" s="173">
        <v>6</v>
      </c>
      <c r="E85" s="173">
        <v>7</v>
      </c>
      <c r="F85" s="173">
        <v>5</v>
      </c>
      <c r="G85" s="45">
        <f t="shared" si="2"/>
        <v>18</v>
      </c>
      <c r="I85" s="29"/>
      <c r="K85" s="58"/>
    </row>
    <row r="86" spans="1:11" ht="18" customHeight="1">
      <c r="A86" s="59">
        <v>76</v>
      </c>
      <c r="B86" s="171" t="s">
        <v>349</v>
      </c>
      <c r="C86" s="172" t="s">
        <v>350</v>
      </c>
      <c r="D86" s="173">
        <v>7</v>
      </c>
      <c r="E86" s="173">
        <v>6</v>
      </c>
      <c r="F86" s="173">
        <v>8</v>
      </c>
      <c r="G86" s="45">
        <f t="shared" si="2"/>
        <v>21</v>
      </c>
      <c r="I86" s="29"/>
      <c r="K86" s="58"/>
    </row>
    <row r="87" spans="1:11" ht="18" customHeight="1">
      <c r="A87" s="59">
        <v>77</v>
      </c>
      <c r="B87" s="171" t="s">
        <v>351</v>
      </c>
      <c r="C87" s="172" t="s">
        <v>242</v>
      </c>
      <c r="D87" s="173">
        <v>5</v>
      </c>
      <c r="E87" s="173">
        <v>7</v>
      </c>
      <c r="F87" s="173">
        <v>8</v>
      </c>
      <c r="G87" s="45">
        <f t="shared" si="2"/>
        <v>20</v>
      </c>
      <c r="I87" s="29"/>
      <c r="K87" s="58"/>
    </row>
    <row r="88" spans="1:11" ht="18" customHeight="1">
      <c r="A88" s="59">
        <v>78</v>
      </c>
      <c r="B88" s="171" t="s">
        <v>352</v>
      </c>
      <c r="C88" s="172" t="s">
        <v>192</v>
      </c>
      <c r="D88" s="173">
        <v>5</v>
      </c>
      <c r="E88" s="173">
        <v>6</v>
      </c>
      <c r="F88" s="173">
        <v>7</v>
      </c>
      <c r="G88" s="45">
        <f t="shared" si="2"/>
        <v>18</v>
      </c>
      <c r="I88" s="29"/>
      <c r="K88" s="58"/>
    </row>
    <row r="89" spans="1:11" ht="18" customHeight="1">
      <c r="A89" s="59">
        <v>79</v>
      </c>
      <c r="B89" s="171" t="s">
        <v>353</v>
      </c>
      <c r="C89" s="172" t="s">
        <v>354</v>
      </c>
      <c r="D89" s="173">
        <v>8</v>
      </c>
      <c r="E89" s="173">
        <v>8</v>
      </c>
      <c r="F89" s="173">
        <v>6</v>
      </c>
      <c r="G89" s="45">
        <f t="shared" si="2"/>
        <v>22</v>
      </c>
      <c r="I89" s="29"/>
      <c r="K89" s="58"/>
    </row>
    <row r="90" spans="1:11" ht="18" customHeight="1">
      <c r="A90" s="59">
        <v>80</v>
      </c>
      <c r="B90" s="171" t="s">
        <v>355</v>
      </c>
      <c r="C90" s="172" t="s">
        <v>157</v>
      </c>
      <c r="D90" s="173">
        <v>7</v>
      </c>
      <c r="E90" s="173">
        <v>8</v>
      </c>
      <c r="F90" s="173">
        <v>5</v>
      </c>
      <c r="G90" s="45">
        <f t="shared" si="2"/>
        <v>20</v>
      </c>
      <c r="I90" s="29"/>
      <c r="K90" s="58"/>
    </row>
    <row r="91" spans="1:11" ht="18" customHeight="1">
      <c r="A91" s="59">
        <v>81</v>
      </c>
      <c r="B91" s="171" t="s">
        <v>356</v>
      </c>
      <c r="C91" s="172" t="s">
        <v>221</v>
      </c>
      <c r="D91" s="173">
        <v>7</v>
      </c>
      <c r="E91" s="173">
        <v>6</v>
      </c>
      <c r="F91" s="173">
        <v>6</v>
      </c>
      <c r="G91" s="45">
        <f t="shared" si="2"/>
        <v>19</v>
      </c>
      <c r="I91" s="29"/>
      <c r="K91" s="58"/>
    </row>
    <row r="92" spans="1:11" ht="18" customHeight="1">
      <c r="A92" s="59">
        <v>82</v>
      </c>
      <c r="B92" s="171" t="s">
        <v>357</v>
      </c>
      <c r="C92" s="172" t="s">
        <v>358</v>
      </c>
      <c r="D92" s="173">
        <v>6</v>
      </c>
      <c r="E92" s="173">
        <v>6</v>
      </c>
      <c r="F92" s="173">
        <v>5</v>
      </c>
      <c r="G92" s="45">
        <f t="shared" si="2"/>
        <v>17</v>
      </c>
      <c r="I92" s="29"/>
      <c r="K92" s="58"/>
    </row>
    <row r="93" spans="1:11" ht="18" customHeight="1">
      <c r="A93" s="59">
        <v>83</v>
      </c>
      <c r="B93" s="171" t="s">
        <v>359</v>
      </c>
      <c r="C93" s="172" t="s">
        <v>244</v>
      </c>
      <c r="D93" s="173">
        <v>7</v>
      </c>
      <c r="E93" s="173">
        <v>6</v>
      </c>
      <c r="F93" s="173">
        <v>5</v>
      </c>
      <c r="G93" s="45">
        <f t="shared" si="2"/>
        <v>18</v>
      </c>
      <c r="I93" s="29"/>
      <c r="K93" s="58"/>
    </row>
    <row r="94" spans="1:11" ht="18" customHeight="1">
      <c r="A94" s="59">
        <v>84</v>
      </c>
      <c r="B94" s="171" t="s">
        <v>360</v>
      </c>
      <c r="C94" s="172" t="s">
        <v>233</v>
      </c>
      <c r="D94" s="173">
        <v>5</v>
      </c>
      <c r="E94" s="173">
        <v>6</v>
      </c>
      <c r="F94" s="173">
        <v>7</v>
      </c>
      <c r="G94" s="45">
        <f t="shared" si="2"/>
        <v>18</v>
      </c>
      <c r="I94" s="29"/>
      <c r="K94" s="58"/>
    </row>
    <row r="95" spans="1:11" ht="18" customHeight="1">
      <c r="A95" s="59">
        <v>85</v>
      </c>
      <c r="B95" s="171" t="s">
        <v>361</v>
      </c>
      <c r="C95" s="172" t="s">
        <v>212</v>
      </c>
      <c r="D95" s="173">
        <v>6</v>
      </c>
      <c r="E95" s="173">
        <v>6</v>
      </c>
      <c r="F95" s="173">
        <v>7</v>
      </c>
      <c r="G95" s="45">
        <f t="shared" si="2"/>
        <v>19</v>
      </c>
      <c r="I95" s="29"/>
      <c r="K95" s="58"/>
    </row>
    <row r="96" spans="1:11" ht="18" customHeight="1">
      <c r="A96" s="59">
        <v>86</v>
      </c>
      <c r="B96" s="171" t="s">
        <v>362</v>
      </c>
      <c r="C96" s="172" t="s">
        <v>363</v>
      </c>
      <c r="D96" s="173">
        <v>6</v>
      </c>
      <c r="E96" s="173">
        <v>7</v>
      </c>
      <c r="F96" s="173">
        <v>8</v>
      </c>
      <c r="G96" s="45">
        <f t="shared" si="2"/>
        <v>21</v>
      </c>
      <c r="I96" s="29"/>
      <c r="K96" s="58"/>
    </row>
    <row r="97" spans="1:11" ht="18" customHeight="1">
      <c r="A97" s="59">
        <v>87</v>
      </c>
      <c r="B97" s="171" t="s">
        <v>364</v>
      </c>
      <c r="C97" s="172" t="s">
        <v>197</v>
      </c>
      <c r="D97" s="173">
        <v>5</v>
      </c>
      <c r="E97" s="173">
        <v>7</v>
      </c>
      <c r="F97" s="173">
        <v>7</v>
      </c>
      <c r="G97" s="45">
        <f t="shared" si="2"/>
        <v>19</v>
      </c>
      <c r="I97" s="29"/>
      <c r="K97" s="58"/>
    </row>
    <row r="98" spans="1:11" ht="18" customHeight="1">
      <c r="A98" s="59">
        <v>88</v>
      </c>
      <c r="B98" s="171" t="s">
        <v>365</v>
      </c>
      <c r="C98" s="172" t="s">
        <v>366</v>
      </c>
      <c r="D98" s="173">
        <v>8</v>
      </c>
      <c r="E98" s="173">
        <v>5</v>
      </c>
      <c r="F98" s="173">
        <v>5</v>
      </c>
      <c r="G98" s="45">
        <f t="shared" si="2"/>
        <v>18</v>
      </c>
      <c r="I98" s="29"/>
      <c r="K98" s="58"/>
    </row>
    <row r="99" spans="1:11" ht="18" customHeight="1">
      <c r="A99" s="59">
        <v>89</v>
      </c>
      <c r="B99" s="171" t="s">
        <v>367</v>
      </c>
      <c r="C99" s="172" t="s">
        <v>158</v>
      </c>
      <c r="D99" s="173">
        <v>7</v>
      </c>
      <c r="E99" s="173">
        <v>5</v>
      </c>
      <c r="F99" s="173">
        <v>8</v>
      </c>
      <c r="G99" s="45">
        <f t="shared" si="2"/>
        <v>20</v>
      </c>
      <c r="I99" s="29"/>
      <c r="K99" s="58"/>
    </row>
    <row r="100" spans="1:11" ht="18" customHeight="1">
      <c r="A100" s="59">
        <v>90</v>
      </c>
      <c r="B100" s="171" t="s">
        <v>368</v>
      </c>
      <c r="C100" s="172" t="s">
        <v>180</v>
      </c>
      <c r="D100" s="173">
        <v>5</v>
      </c>
      <c r="E100" s="173">
        <v>8</v>
      </c>
      <c r="F100" s="173">
        <v>6</v>
      </c>
      <c r="G100" s="45">
        <f t="shared" si="2"/>
        <v>19</v>
      </c>
      <c r="I100" s="29"/>
      <c r="K100" s="58"/>
    </row>
    <row r="101" spans="1:11" ht="18" customHeight="1">
      <c r="A101" s="59">
        <v>91</v>
      </c>
      <c r="B101" s="171" t="s">
        <v>369</v>
      </c>
      <c r="C101" s="172" t="s">
        <v>243</v>
      </c>
      <c r="D101" s="173">
        <v>6</v>
      </c>
      <c r="E101" s="173">
        <v>6</v>
      </c>
      <c r="F101" s="173">
        <v>7</v>
      </c>
      <c r="G101" s="45">
        <f t="shared" si="2"/>
        <v>19</v>
      </c>
      <c r="I101" s="29"/>
      <c r="K101" s="58"/>
    </row>
    <row r="102" spans="1:11" ht="18" customHeight="1">
      <c r="A102" s="59">
        <v>92</v>
      </c>
      <c r="B102" s="171" t="s">
        <v>370</v>
      </c>
      <c r="C102" s="172" t="s">
        <v>151</v>
      </c>
      <c r="D102" s="173">
        <v>5</v>
      </c>
      <c r="E102" s="173">
        <v>7</v>
      </c>
      <c r="F102" s="173">
        <v>8</v>
      </c>
      <c r="G102" s="45">
        <f t="shared" si="2"/>
        <v>20</v>
      </c>
      <c r="I102" s="29"/>
      <c r="K102" s="58"/>
    </row>
    <row r="103" spans="1:11" ht="18" customHeight="1">
      <c r="A103" s="59">
        <v>93</v>
      </c>
      <c r="B103" s="171" t="s">
        <v>371</v>
      </c>
      <c r="C103" s="172" t="s">
        <v>208</v>
      </c>
      <c r="D103" s="173">
        <v>6</v>
      </c>
      <c r="E103" s="173">
        <v>6</v>
      </c>
      <c r="F103" s="173">
        <v>8</v>
      </c>
      <c r="G103" s="45">
        <f t="shared" si="2"/>
        <v>20</v>
      </c>
      <c r="I103" s="29"/>
      <c r="K103" s="58"/>
    </row>
    <row r="104" spans="1:11" ht="18" customHeight="1">
      <c r="A104" s="59">
        <v>94</v>
      </c>
      <c r="B104" s="171" t="s">
        <v>372</v>
      </c>
      <c r="C104" s="172" t="s">
        <v>373</v>
      </c>
      <c r="D104" s="173">
        <v>8</v>
      </c>
      <c r="E104" s="173">
        <v>7</v>
      </c>
      <c r="F104" s="173">
        <v>6</v>
      </c>
      <c r="G104" s="45">
        <f t="shared" si="2"/>
        <v>21</v>
      </c>
      <c r="I104" s="29"/>
      <c r="K104" s="58"/>
    </row>
    <row r="105" spans="1:11" ht="18" customHeight="1">
      <c r="A105" s="59">
        <v>95</v>
      </c>
      <c r="B105" s="171" t="s">
        <v>374</v>
      </c>
      <c r="C105" s="172" t="s">
        <v>248</v>
      </c>
      <c r="D105" s="173">
        <v>7</v>
      </c>
      <c r="E105" s="173">
        <v>8</v>
      </c>
      <c r="F105" s="173">
        <v>8</v>
      </c>
      <c r="G105" s="45">
        <f t="shared" si="2"/>
        <v>23</v>
      </c>
      <c r="I105" s="29"/>
      <c r="K105" s="58"/>
    </row>
    <row r="106" spans="1:11" ht="18" customHeight="1">
      <c r="A106" s="59">
        <v>96</v>
      </c>
      <c r="B106" s="171" t="s">
        <v>375</v>
      </c>
      <c r="C106" s="172" t="s">
        <v>376</v>
      </c>
      <c r="D106" s="173">
        <v>6</v>
      </c>
      <c r="E106" s="173">
        <v>7</v>
      </c>
      <c r="F106" s="173">
        <v>6</v>
      </c>
      <c r="G106" s="45">
        <f t="shared" si="2"/>
        <v>19</v>
      </c>
      <c r="I106" s="29"/>
      <c r="K106" s="58"/>
    </row>
    <row r="107" spans="1:11" ht="18" customHeight="1">
      <c r="A107" s="59">
        <v>97</v>
      </c>
      <c r="B107" s="171" t="s">
        <v>377</v>
      </c>
      <c r="C107" s="172" t="s">
        <v>184</v>
      </c>
      <c r="D107" s="173">
        <v>6</v>
      </c>
      <c r="E107" s="173">
        <v>6</v>
      </c>
      <c r="F107" s="173">
        <v>5</v>
      </c>
      <c r="G107" s="45">
        <f t="shared" ref="G107:G121" si="3">IF(F107&lt;&gt;"AB",SUM(D107:F107),"AB")</f>
        <v>17</v>
      </c>
      <c r="I107" s="29"/>
      <c r="K107" s="58"/>
    </row>
    <row r="108" spans="1:11" ht="18" customHeight="1">
      <c r="A108" s="59">
        <v>98</v>
      </c>
      <c r="B108" s="171" t="s">
        <v>378</v>
      </c>
      <c r="C108" s="172" t="s">
        <v>250</v>
      </c>
      <c r="D108" s="173">
        <v>6</v>
      </c>
      <c r="E108" s="173">
        <v>6</v>
      </c>
      <c r="F108" s="173">
        <v>7</v>
      </c>
      <c r="G108" s="45">
        <f t="shared" si="3"/>
        <v>19</v>
      </c>
      <c r="I108" s="29"/>
      <c r="K108" s="58"/>
    </row>
    <row r="109" spans="1:11" ht="18" customHeight="1">
      <c r="A109" s="59">
        <v>99</v>
      </c>
      <c r="B109" s="171" t="s">
        <v>379</v>
      </c>
      <c r="C109" s="172" t="s">
        <v>182</v>
      </c>
      <c r="D109" s="173">
        <v>7</v>
      </c>
      <c r="E109" s="173">
        <v>7</v>
      </c>
      <c r="F109" s="173">
        <v>5</v>
      </c>
      <c r="G109" s="45">
        <f t="shared" si="3"/>
        <v>19</v>
      </c>
      <c r="I109" s="29"/>
      <c r="K109" s="58"/>
    </row>
    <row r="110" spans="1:11" ht="18" customHeight="1">
      <c r="A110" s="59">
        <v>100</v>
      </c>
      <c r="B110" s="171" t="s">
        <v>380</v>
      </c>
      <c r="C110" s="172" t="s">
        <v>381</v>
      </c>
      <c r="D110" s="173">
        <v>7</v>
      </c>
      <c r="E110" s="173">
        <v>5</v>
      </c>
      <c r="F110" s="173">
        <v>6</v>
      </c>
      <c r="G110" s="45">
        <f t="shared" si="3"/>
        <v>18</v>
      </c>
      <c r="I110" s="29"/>
      <c r="K110" s="58"/>
    </row>
    <row r="111" spans="1:11" ht="18" customHeight="1">
      <c r="A111" s="59">
        <v>101</v>
      </c>
      <c r="B111" s="171" t="s">
        <v>382</v>
      </c>
      <c r="C111" s="172" t="s">
        <v>198</v>
      </c>
      <c r="D111" s="173">
        <v>6</v>
      </c>
      <c r="E111" s="173">
        <v>6</v>
      </c>
      <c r="F111" s="173">
        <v>5</v>
      </c>
      <c r="G111" s="45">
        <f t="shared" si="3"/>
        <v>17</v>
      </c>
      <c r="I111" s="29"/>
      <c r="K111" s="58"/>
    </row>
    <row r="112" spans="1:11" ht="18" customHeight="1">
      <c r="A112" s="59">
        <v>102</v>
      </c>
      <c r="B112" s="171" t="s">
        <v>383</v>
      </c>
      <c r="C112" s="172" t="s">
        <v>384</v>
      </c>
      <c r="D112" s="173">
        <v>6</v>
      </c>
      <c r="E112" s="173">
        <v>6</v>
      </c>
      <c r="F112" s="173">
        <v>7</v>
      </c>
      <c r="G112" s="45">
        <f t="shared" si="3"/>
        <v>19</v>
      </c>
      <c r="I112" s="29"/>
      <c r="K112" s="58"/>
    </row>
    <row r="113" spans="1:12" ht="18" customHeight="1">
      <c r="A113" s="59">
        <v>103</v>
      </c>
      <c r="B113" s="171" t="s">
        <v>385</v>
      </c>
      <c r="C113" s="172" t="s">
        <v>165</v>
      </c>
      <c r="D113" s="173">
        <v>6</v>
      </c>
      <c r="E113" s="173">
        <v>6</v>
      </c>
      <c r="F113" s="173">
        <v>6</v>
      </c>
      <c r="G113" s="45">
        <f t="shared" si="3"/>
        <v>18</v>
      </c>
      <c r="I113" s="29"/>
      <c r="K113" s="58"/>
    </row>
    <row r="114" spans="1:12" ht="18" customHeight="1">
      <c r="A114" s="59">
        <v>104</v>
      </c>
      <c r="B114" s="171" t="s">
        <v>386</v>
      </c>
      <c r="C114" s="172" t="s">
        <v>215</v>
      </c>
      <c r="D114" s="173">
        <v>6</v>
      </c>
      <c r="E114" s="173">
        <v>6</v>
      </c>
      <c r="F114" s="173">
        <v>7</v>
      </c>
      <c r="G114" s="45">
        <f t="shared" si="3"/>
        <v>19</v>
      </c>
      <c r="I114" s="29"/>
      <c r="K114" s="58"/>
    </row>
    <row r="115" spans="1:12" ht="18" customHeight="1">
      <c r="A115" s="59">
        <v>105</v>
      </c>
      <c r="B115" s="171" t="s">
        <v>387</v>
      </c>
      <c r="C115" s="172" t="s">
        <v>227</v>
      </c>
      <c r="D115" s="173">
        <v>7</v>
      </c>
      <c r="E115" s="173">
        <v>8</v>
      </c>
      <c r="F115" s="173">
        <v>8</v>
      </c>
      <c r="G115" s="45">
        <f t="shared" si="3"/>
        <v>23</v>
      </c>
      <c r="I115" s="29"/>
      <c r="K115" s="58"/>
    </row>
    <row r="116" spans="1:12" ht="18" customHeight="1">
      <c r="A116" s="59">
        <v>106</v>
      </c>
      <c r="B116" s="171" t="s">
        <v>388</v>
      </c>
      <c r="C116" s="172" t="s">
        <v>205</v>
      </c>
      <c r="D116" s="173">
        <v>6</v>
      </c>
      <c r="E116" s="173">
        <v>6</v>
      </c>
      <c r="F116" s="173">
        <v>5</v>
      </c>
      <c r="G116" s="45">
        <f t="shared" si="3"/>
        <v>17</v>
      </c>
      <c r="I116" s="29"/>
      <c r="K116" s="58"/>
    </row>
    <row r="117" spans="1:12" ht="18" customHeight="1">
      <c r="A117" s="59">
        <v>107</v>
      </c>
      <c r="B117" s="171" t="s">
        <v>389</v>
      </c>
      <c r="C117" s="172" t="s">
        <v>390</v>
      </c>
      <c r="D117" s="173">
        <v>7</v>
      </c>
      <c r="E117" s="173">
        <v>8</v>
      </c>
      <c r="F117" s="173">
        <v>7</v>
      </c>
      <c r="G117" s="45">
        <f t="shared" si="3"/>
        <v>22</v>
      </c>
      <c r="I117" s="29"/>
      <c r="K117" s="58"/>
    </row>
    <row r="118" spans="1:12" ht="18" customHeight="1">
      <c r="A118" s="59">
        <v>108</v>
      </c>
      <c r="B118" s="171" t="s">
        <v>391</v>
      </c>
      <c r="C118" s="172" t="s">
        <v>207</v>
      </c>
      <c r="D118" s="173">
        <v>5</v>
      </c>
      <c r="E118" s="173">
        <v>6</v>
      </c>
      <c r="F118" s="173">
        <v>8</v>
      </c>
      <c r="G118" s="45">
        <f t="shared" si="3"/>
        <v>19</v>
      </c>
      <c r="I118" s="29"/>
      <c r="K118" s="58"/>
    </row>
    <row r="119" spans="1:12" ht="15.75" customHeight="1">
      <c r="A119" s="167">
        <v>109</v>
      </c>
      <c r="B119" s="171" t="s">
        <v>392</v>
      </c>
      <c r="C119" s="172" t="s">
        <v>232</v>
      </c>
      <c r="D119" s="173">
        <v>8</v>
      </c>
      <c r="E119" s="173">
        <v>7</v>
      </c>
      <c r="F119" s="173">
        <v>6</v>
      </c>
      <c r="G119" s="45">
        <f t="shared" si="3"/>
        <v>21</v>
      </c>
    </row>
    <row r="120" spans="1:12" ht="15.75" customHeight="1">
      <c r="A120" s="167">
        <v>110</v>
      </c>
      <c r="B120" s="171" t="s">
        <v>393</v>
      </c>
      <c r="C120" s="172" t="s">
        <v>394</v>
      </c>
      <c r="D120" s="173">
        <v>8</v>
      </c>
      <c r="E120" s="173">
        <v>5</v>
      </c>
      <c r="F120" s="173">
        <v>8</v>
      </c>
      <c r="G120" s="45">
        <f t="shared" si="3"/>
        <v>21</v>
      </c>
    </row>
    <row r="121" spans="1:12" ht="15.75" customHeight="1">
      <c r="A121" s="167">
        <v>111</v>
      </c>
      <c r="B121" s="171" t="s">
        <v>395</v>
      </c>
      <c r="C121" s="172" t="s">
        <v>194</v>
      </c>
      <c r="D121" s="173">
        <v>5</v>
      </c>
      <c r="E121" s="173">
        <v>7</v>
      </c>
      <c r="F121" s="173">
        <v>7</v>
      </c>
      <c r="G121" s="45">
        <f t="shared" si="3"/>
        <v>19</v>
      </c>
      <c r="H121" s="27"/>
      <c r="I121" s="27"/>
      <c r="J121" s="27"/>
      <c r="K121" s="27"/>
      <c r="L121" s="27"/>
    </row>
    <row r="122" spans="1:12" ht="15.75" customHeight="1">
      <c r="A122" s="166"/>
      <c r="B122" s="175"/>
      <c r="C122" s="175"/>
      <c r="D122" s="176" t="str">
        <f>D10</f>
        <v>CO1</v>
      </c>
      <c r="E122" s="176" t="str">
        <f t="shared" ref="E122:G122" si="4">E10</f>
        <v>CO1</v>
      </c>
      <c r="F122" s="176" t="str">
        <f t="shared" si="4"/>
        <v>CO2</v>
      </c>
      <c r="G122" s="176">
        <f t="shared" si="4"/>
        <v>0</v>
      </c>
      <c r="H122" s="27"/>
      <c r="I122" s="27"/>
      <c r="J122" s="27"/>
      <c r="K122" s="27"/>
      <c r="L122" s="27"/>
    </row>
    <row r="123" spans="1:12" ht="15.75" customHeight="1">
      <c r="A123" s="166"/>
      <c r="B123" s="177">
        <v>1</v>
      </c>
      <c r="C123" s="178" t="s">
        <v>26</v>
      </c>
      <c r="D123" s="176">
        <f t="shared" ref="D123:G123" si="5">IFERROR(COUNT(D11:D121),"NA")</f>
        <v>111</v>
      </c>
      <c r="E123" s="176">
        <f t="shared" si="5"/>
        <v>111</v>
      </c>
      <c r="F123" s="176">
        <f t="shared" si="5"/>
        <v>111</v>
      </c>
      <c r="G123" s="176">
        <f t="shared" si="5"/>
        <v>111</v>
      </c>
      <c r="H123" s="27"/>
      <c r="I123" s="27"/>
      <c r="J123" s="27"/>
      <c r="K123" s="27"/>
      <c r="L123" s="27"/>
    </row>
    <row r="124" spans="1:12" ht="15.75" customHeight="1">
      <c r="A124" s="166"/>
      <c r="B124" s="179">
        <v>2</v>
      </c>
      <c r="C124" s="180" t="str">
        <f>CONCATENATE("No of students more than ",70, "% = (x1)")</f>
        <v>No of students more than 70% = (x1)</v>
      </c>
      <c r="D124" s="176">
        <f>COUNTIF(D11:D121,"&gt;="&amp;D9*70%)</f>
        <v>41</v>
      </c>
      <c r="E124" s="176">
        <f t="shared" ref="E124:G124" si="6">COUNTIF(E11:E121,"&gt;="&amp;E9*70%)</f>
        <v>48</v>
      </c>
      <c r="F124" s="176">
        <f t="shared" si="6"/>
        <v>56</v>
      </c>
      <c r="G124" s="176">
        <f t="shared" si="6"/>
        <v>27</v>
      </c>
      <c r="H124" s="27"/>
      <c r="I124" s="27"/>
      <c r="J124" s="27"/>
      <c r="K124" s="27"/>
      <c r="L124" s="27"/>
    </row>
    <row r="125" spans="1:12" ht="15.75" customHeight="1">
      <c r="A125" s="166"/>
      <c r="B125" s="177">
        <v>3</v>
      </c>
      <c r="C125" s="181" t="str">
        <f>CONCATENATE("No of students between 70 and ",60, "% = (x2)")</f>
        <v>No of students between 70 and 60% = (x2)</v>
      </c>
      <c r="D125" s="176">
        <f>COUNTIFS(D11:D121,"&gt;="&amp;D9*60%,D11:D121,"&lt;"&amp;D9*70%)</f>
        <v>36</v>
      </c>
      <c r="E125" s="176">
        <f t="shared" ref="E125:G125" si="7">COUNTIFS(E11:E121,"&gt;="&amp;E9*60%,E11:E121,"&lt;"&amp;E9*70%)</f>
        <v>41</v>
      </c>
      <c r="F125" s="176">
        <f t="shared" si="7"/>
        <v>31</v>
      </c>
      <c r="G125" s="176">
        <f t="shared" si="7"/>
        <v>57</v>
      </c>
      <c r="H125" s="27"/>
      <c r="I125" s="27"/>
      <c r="J125" s="27"/>
      <c r="K125" s="27"/>
      <c r="L125" s="27"/>
    </row>
    <row r="126" spans="1:12" ht="15.75" customHeight="1">
      <c r="A126" s="166"/>
      <c r="B126" s="177">
        <v>4</v>
      </c>
      <c r="C126" s="182" t="str">
        <f>CONCATENATE("No of students between 60 and ",50, "% = (x3)")</f>
        <v>No of students between 60 and 50% = (x3)</v>
      </c>
      <c r="D126" s="176">
        <f>COUNTIFS(D11:D121,"&gt;="&amp;D9*50%,D11:D121,"&lt;"&amp;D9*60%)</f>
        <v>25</v>
      </c>
      <c r="E126" s="176">
        <f t="shared" ref="E126:G126" si="8">COUNTIFS(E11:E121,"&gt;="&amp;E9*50%,E11:E121,"&lt;"&amp;E9*60%)</f>
        <v>14</v>
      </c>
      <c r="F126" s="176">
        <f t="shared" si="8"/>
        <v>20</v>
      </c>
      <c r="G126" s="176">
        <f t="shared" si="8"/>
        <v>25</v>
      </c>
      <c r="H126" s="27"/>
      <c r="I126" s="27"/>
      <c r="J126" s="27"/>
      <c r="K126" s="27"/>
      <c r="L126" s="27"/>
    </row>
    <row r="127" spans="1:12" ht="15.75" customHeight="1">
      <c r="A127" s="166"/>
      <c r="B127" s="177">
        <v>5</v>
      </c>
      <c r="C127" s="183" t="s">
        <v>396</v>
      </c>
      <c r="D127" s="176">
        <f>COUNTIFS(D11:D121,"&gt;="&amp;D9*40%,D11:D121,"&lt;"&amp;D9*50%)</f>
        <v>7</v>
      </c>
      <c r="E127" s="176">
        <f t="shared" ref="E127:G127" si="9">COUNTIFS(E11:E121,"&gt;="&amp;E9*40%,E11:E121,"&lt;"&amp;E9*50%)</f>
        <v>7</v>
      </c>
      <c r="F127" s="176">
        <f t="shared" si="9"/>
        <v>2</v>
      </c>
      <c r="G127" s="176">
        <f t="shared" si="9"/>
        <v>2</v>
      </c>
      <c r="H127" s="27"/>
      <c r="I127" s="27"/>
      <c r="J127" s="27"/>
      <c r="K127" s="27"/>
      <c r="L127" s="27"/>
    </row>
    <row r="128" spans="1:12" ht="15.75" customHeight="1">
      <c r="A128" s="166"/>
      <c r="B128" s="177">
        <v>6</v>
      </c>
      <c r="C128" s="184" t="s">
        <v>397</v>
      </c>
      <c r="D128" s="176">
        <f>COUNTIF(D11:D121,"&lt;"&amp;D9*40%)</f>
        <v>2</v>
      </c>
      <c r="E128" s="176">
        <f t="shared" ref="E128:G128" si="10">COUNTIF(E11:E121,"&lt;"&amp;E9*40%)</f>
        <v>1</v>
      </c>
      <c r="F128" s="176">
        <f t="shared" si="10"/>
        <v>2</v>
      </c>
      <c r="G128" s="176">
        <f t="shared" si="10"/>
        <v>0</v>
      </c>
      <c r="H128" s="27"/>
      <c r="I128" s="27"/>
      <c r="J128" s="27"/>
      <c r="K128" s="27"/>
      <c r="L128" s="27"/>
    </row>
    <row r="129" spans="1:12" s="1" customFormat="1" ht="15.75" customHeight="1">
      <c r="A129" s="165"/>
      <c r="B129" s="187">
        <v>7</v>
      </c>
      <c r="C129" s="178" t="s">
        <v>29</v>
      </c>
      <c r="D129" s="188">
        <f t="shared" ref="D129:G129" si="11">(D124*3+D125*2+D126*1)/(COUNT(D8:D121)*3)*100</f>
        <v>65.476190476190482</v>
      </c>
      <c r="E129" s="188">
        <f t="shared" si="11"/>
        <v>71.428571428571431</v>
      </c>
      <c r="F129" s="188">
        <f t="shared" si="11"/>
        <v>74.404761904761912</v>
      </c>
      <c r="G129" s="188">
        <f t="shared" si="11"/>
        <v>65.476190476190482</v>
      </c>
      <c r="H129" s="39"/>
      <c r="I129" s="39"/>
      <c r="J129" s="39"/>
      <c r="K129" s="39"/>
      <c r="L129" s="39"/>
    </row>
    <row r="130" spans="1:12" ht="15.75" customHeight="1">
      <c r="A130" s="166"/>
      <c r="B130" s="177">
        <v>8</v>
      </c>
      <c r="C130" s="186" t="s">
        <v>398</v>
      </c>
      <c r="D130" s="176">
        <f t="shared" ref="D130:G130" si="12">IF(D129&lt;&gt;"NA",IF(D129&gt;=70,3,IF(D129&gt;=60,2,IF(D129&gt;=50,1,"0"))),"NA")</f>
        <v>2</v>
      </c>
      <c r="E130" s="176">
        <f t="shared" si="12"/>
        <v>3</v>
      </c>
      <c r="F130" s="176">
        <f t="shared" si="12"/>
        <v>3</v>
      </c>
      <c r="G130" s="176">
        <f t="shared" si="12"/>
        <v>2</v>
      </c>
      <c r="H130" s="27"/>
      <c r="I130" s="27"/>
      <c r="J130" s="27"/>
      <c r="K130" s="27"/>
      <c r="L130" s="27"/>
    </row>
    <row r="131" spans="1:12" ht="15.75" customHeight="1">
      <c r="A131" s="166"/>
      <c r="B131" s="27"/>
      <c r="C131" s="27"/>
      <c r="D131" s="174"/>
      <c r="E131" s="174"/>
      <c r="F131" s="174"/>
      <c r="G131" s="27"/>
      <c r="H131" s="27"/>
      <c r="I131" s="27"/>
      <c r="J131" s="27"/>
      <c r="K131" s="27"/>
      <c r="L131" s="27"/>
    </row>
    <row r="132" spans="1:12" ht="15.75" customHeight="1">
      <c r="A132" s="166"/>
      <c r="B132" s="27"/>
      <c r="C132" s="27"/>
      <c r="D132" s="174"/>
      <c r="E132" s="174"/>
      <c r="F132" s="174"/>
      <c r="G132" s="27"/>
      <c r="H132" s="27"/>
      <c r="I132" s="27"/>
      <c r="J132" s="27"/>
      <c r="K132" s="27"/>
      <c r="L132" s="27"/>
    </row>
    <row r="133" spans="1:12" ht="15.75" customHeight="1">
      <c r="A133" s="28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</row>
    <row r="134" spans="1:12" ht="15.75" customHeight="1">
      <c r="A134" t="str">
        <f>Faculty</f>
        <v>Narsareddy Chude, Sonali Late</v>
      </c>
      <c r="B134"/>
      <c r="C134"/>
      <c r="D134"/>
      <c r="E134"/>
      <c r="F134"/>
      <c r="G134"/>
      <c r="H134"/>
      <c r="I134"/>
      <c r="J134"/>
      <c r="K134"/>
      <c r="L134"/>
    </row>
    <row r="135" spans="1:12" ht="15.75" customHeight="1">
      <c r="A135" t="str">
        <f>SubjectDetails!E17</f>
        <v>Subject Faculty</v>
      </c>
      <c r="B135"/>
      <c r="C135"/>
      <c r="D135"/>
      <c r="E135"/>
      <c r="F135"/>
      <c r="G135"/>
      <c r="H135"/>
      <c r="I135"/>
      <c r="J135"/>
      <c r="K135"/>
      <c r="L135"/>
    </row>
    <row r="136" spans="1:12" ht="15.75" customHeight="1">
      <c r="A136" s="28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</row>
  </sheetData>
  <sortState ref="A11:H37">
    <sortCondition ref="B11:B37"/>
  </sortState>
  <mergeCells count="13">
    <mergeCell ref="G9:G10"/>
    <mergeCell ref="A1:G1"/>
    <mergeCell ref="A2:G2"/>
    <mergeCell ref="A3:G3"/>
    <mergeCell ref="A4:G4"/>
    <mergeCell ref="A5:G5"/>
    <mergeCell ref="A6:B6"/>
    <mergeCell ref="G7:G8"/>
    <mergeCell ref="D7:F7"/>
    <mergeCell ref="D6:G6"/>
    <mergeCell ref="C7:C8"/>
    <mergeCell ref="A7:A10"/>
    <mergeCell ref="B7:B10"/>
  </mergeCells>
  <pageMargins left="0.7" right="0.7" top="0.75" bottom="0.75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0"/>
  <sheetViews>
    <sheetView topLeftCell="A118" workbookViewId="0">
      <selection activeCell="I11" sqref="I11"/>
    </sheetView>
  </sheetViews>
  <sheetFormatPr defaultColWidth="12.7109375" defaultRowHeight="15.75" customHeight="1"/>
  <cols>
    <col min="1" max="1" width="9.28515625" style="1" customWidth="1"/>
    <col min="2" max="2" width="15.7109375" style="1" customWidth="1"/>
    <col min="3" max="3" width="44.28515625" style="42" bestFit="1" customWidth="1"/>
    <col min="4" max="8" width="7.7109375" style="42" customWidth="1"/>
    <col min="9" max="9" width="15.28515625" style="43" customWidth="1"/>
    <col min="10" max="16384" width="12.7109375" style="7"/>
  </cols>
  <sheetData>
    <row r="1" spans="1:13" customFormat="1" ht="24.6" customHeight="1">
      <c r="A1" s="284" t="s">
        <v>94</v>
      </c>
      <c r="B1" s="285"/>
      <c r="C1" s="285"/>
      <c r="D1" s="285"/>
      <c r="E1" s="285"/>
      <c r="F1" s="285"/>
      <c r="G1" s="285"/>
      <c r="H1" s="285"/>
      <c r="I1" s="285"/>
      <c r="J1" s="83"/>
      <c r="K1" s="83"/>
      <c r="L1" s="83"/>
      <c r="M1" s="83"/>
    </row>
    <row r="2" spans="1:13" customFormat="1" ht="21" customHeight="1">
      <c r="A2" s="267" t="s">
        <v>95</v>
      </c>
      <c r="B2" s="268"/>
      <c r="C2" s="268"/>
      <c r="D2" s="268"/>
      <c r="E2" s="268"/>
      <c r="F2" s="268"/>
      <c r="G2" s="268"/>
      <c r="H2" s="268"/>
      <c r="I2" s="268"/>
      <c r="J2" s="84"/>
      <c r="K2" s="84"/>
      <c r="L2" s="84"/>
      <c r="M2" s="84"/>
    </row>
    <row r="3" spans="1:13" customFormat="1" ht="13.9" customHeight="1">
      <c r="A3" s="236" t="s">
        <v>96</v>
      </c>
      <c r="B3" s="237"/>
      <c r="C3" s="237"/>
      <c r="D3" s="237"/>
      <c r="E3" s="237"/>
      <c r="F3" s="237"/>
      <c r="G3" s="237"/>
      <c r="H3" s="237"/>
      <c r="I3" s="237"/>
      <c r="J3" s="85"/>
      <c r="K3" s="85"/>
      <c r="L3" s="85"/>
      <c r="M3" s="85"/>
    </row>
    <row r="4" spans="1:13" customFormat="1" ht="13.9" customHeight="1" thickBot="1">
      <c r="A4" s="269" t="s">
        <v>9</v>
      </c>
      <c r="B4" s="270"/>
      <c r="C4" s="270"/>
      <c r="D4" s="270"/>
      <c r="E4" s="270"/>
      <c r="F4" s="270"/>
      <c r="G4" s="270"/>
      <c r="H4" s="270"/>
      <c r="I4" s="270"/>
      <c r="J4" s="85"/>
      <c r="K4" s="85"/>
      <c r="L4" s="85"/>
      <c r="M4" s="85"/>
    </row>
    <row r="5" spans="1:13" ht="30.4" customHeight="1">
      <c r="A5" s="271" t="s">
        <v>5</v>
      </c>
      <c r="B5" s="272"/>
      <c r="C5" s="272"/>
      <c r="D5" s="272"/>
      <c r="E5" s="272"/>
      <c r="F5" s="272"/>
      <c r="G5" s="272"/>
      <c r="H5" s="272"/>
      <c r="I5" s="273"/>
    </row>
    <row r="6" spans="1:13" ht="32.25" customHeight="1">
      <c r="A6" s="290" t="str">
        <f>CONCATENATE(Class," ", spl)</f>
        <v xml:space="preserve">MCA I SEM I AY 2023-24 </v>
      </c>
      <c r="B6" s="291"/>
      <c r="C6" s="103" t="str">
        <f>CONCATENATE("Name of Faculty: ", Faculty)</f>
        <v>Name of Faculty: Narsareddy Chude, Sonali Late</v>
      </c>
      <c r="D6" s="290" t="str">
        <f>CONCATENATE("Course Name: ", Sub_Code)</f>
        <v>Course Name: Java Programming</v>
      </c>
      <c r="E6" s="293"/>
      <c r="F6" s="293"/>
      <c r="G6" s="293"/>
      <c r="H6" s="293"/>
      <c r="I6" s="291"/>
    </row>
    <row r="7" spans="1:13" ht="21" customHeight="1">
      <c r="A7" s="286" t="s">
        <v>0</v>
      </c>
      <c r="B7" s="286" t="s">
        <v>6</v>
      </c>
      <c r="C7" s="280" t="s">
        <v>1</v>
      </c>
      <c r="D7" s="294" t="s">
        <v>124</v>
      </c>
      <c r="E7" s="294"/>
      <c r="F7" s="294"/>
      <c r="G7" s="294"/>
      <c r="H7" s="294"/>
      <c r="I7" s="292" t="s">
        <v>50</v>
      </c>
    </row>
    <row r="8" spans="1:13" s="29" customFormat="1" ht="19.5" customHeight="1">
      <c r="A8" s="287"/>
      <c r="B8" s="287"/>
      <c r="C8" s="281"/>
      <c r="D8" s="108" t="s">
        <v>133</v>
      </c>
      <c r="E8" s="108" t="s">
        <v>134</v>
      </c>
      <c r="F8" s="108" t="s">
        <v>135</v>
      </c>
      <c r="G8" s="108" t="s">
        <v>136</v>
      </c>
      <c r="H8" s="108" t="s">
        <v>137</v>
      </c>
      <c r="I8" s="292"/>
    </row>
    <row r="9" spans="1:13" s="29" customFormat="1" ht="20.25">
      <c r="A9" s="287"/>
      <c r="B9" s="287"/>
      <c r="C9" s="72" t="s">
        <v>93</v>
      </c>
      <c r="D9" s="109">
        <v>5</v>
      </c>
      <c r="E9" s="109">
        <v>5</v>
      </c>
      <c r="F9" s="109">
        <v>5</v>
      </c>
      <c r="G9" s="109">
        <v>5</v>
      </c>
      <c r="H9" s="109">
        <v>5</v>
      </c>
      <c r="I9" s="265">
        <f>D9+E9+F9+G9+H9</f>
        <v>25</v>
      </c>
    </row>
    <row r="10" spans="1:13" s="29" customFormat="1" ht="20.25">
      <c r="A10" s="288"/>
      <c r="B10" s="289"/>
      <c r="C10" s="72" t="s">
        <v>138</v>
      </c>
      <c r="D10" s="107" t="s">
        <v>2</v>
      </c>
      <c r="E10" s="107" t="s">
        <v>3</v>
      </c>
      <c r="F10" s="107" t="s">
        <v>4</v>
      </c>
      <c r="G10" s="107" t="s">
        <v>10</v>
      </c>
      <c r="H10" s="107" t="s">
        <v>12</v>
      </c>
      <c r="I10" s="266"/>
    </row>
    <row r="11" spans="1:13" s="29" customFormat="1" ht="18" customHeight="1">
      <c r="A11" s="59">
        <v>1</v>
      </c>
      <c r="B11" s="171" t="s">
        <v>258</v>
      </c>
      <c r="C11" s="172" t="s">
        <v>150</v>
      </c>
      <c r="D11" s="170">
        <v>3</v>
      </c>
      <c r="E11" s="170">
        <v>3</v>
      </c>
      <c r="F11" s="170">
        <v>3</v>
      </c>
      <c r="G11" s="170">
        <v>3</v>
      </c>
      <c r="H11" s="170">
        <v>2</v>
      </c>
      <c r="I11" s="25">
        <f t="shared" ref="I11:I42" si="0">IF(E11&lt;&gt;"AB",SUM(D11:H11),"AB")</f>
        <v>14</v>
      </c>
    </row>
    <row r="12" spans="1:13" ht="18" customHeight="1">
      <c r="A12" s="59">
        <v>2</v>
      </c>
      <c r="B12" s="171" t="s">
        <v>259</v>
      </c>
      <c r="C12" s="172" t="s">
        <v>260</v>
      </c>
      <c r="D12" s="170">
        <v>3</v>
      </c>
      <c r="E12" s="170">
        <v>5</v>
      </c>
      <c r="F12" s="170">
        <v>5</v>
      </c>
      <c r="G12" s="170">
        <v>3</v>
      </c>
      <c r="H12" s="170">
        <v>5</v>
      </c>
      <c r="I12" s="25">
        <f t="shared" si="0"/>
        <v>21</v>
      </c>
    </row>
    <row r="13" spans="1:13" ht="18" customHeight="1">
      <c r="A13" s="59">
        <v>3</v>
      </c>
      <c r="B13" s="171" t="s">
        <v>261</v>
      </c>
      <c r="C13" s="172" t="s">
        <v>196</v>
      </c>
      <c r="D13" s="170">
        <v>3</v>
      </c>
      <c r="E13" s="170">
        <v>5</v>
      </c>
      <c r="F13" s="170">
        <v>3</v>
      </c>
      <c r="G13" s="170">
        <v>5</v>
      </c>
      <c r="H13" s="170">
        <v>3</v>
      </c>
      <c r="I13" s="25">
        <f t="shared" si="0"/>
        <v>19</v>
      </c>
    </row>
    <row r="14" spans="1:13" ht="18" customHeight="1">
      <c r="A14" s="59">
        <v>4</v>
      </c>
      <c r="B14" s="171" t="s">
        <v>262</v>
      </c>
      <c r="C14" s="172" t="s">
        <v>225</v>
      </c>
      <c r="D14" s="170">
        <v>2</v>
      </c>
      <c r="E14" s="170">
        <v>3</v>
      </c>
      <c r="F14" s="170">
        <v>2</v>
      </c>
      <c r="G14" s="170">
        <v>5</v>
      </c>
      <c r="H14" s="170">
        <v>2</v>
      </c>
      <c r="I14" s="25">
        <f t="shared" si="0"/>
        <v>14</v>
      </c>
    </row>
    <row r="15" spans="1:13" ht="18" customHeight="1">
      <c r="A15" s="59">
        <v>5</v>
      </c>
      <c r="B15" s="171" t="s">
        <v>263</v>
      </c>
      <c r="C15" s="172" t="s">
        <v>206</v>
      </c>
      <c r="D15" s="170">
        <v>5</v>
      </c>
      <c r="E15" s="170">
        <v>3</v>
      </c>
      <c r="F15" s="170">
        <v>5</v>
      </c>
      <c r="G15" s="170">
        <v>5</v>
      </c>
      <c r="H15" s="170">
        <v>3</v>
      </c>
      <c r="I15" s="25">
        <f t="shared" si="0"/>
        <v>21</v>
      </c>
    </row>
    <row r="16" spans="1:13" ht="18" customHeight="1">
      <c r="A16" s="59">
        <v>6</v>
      </c>
      <c r="B16" s="171" t="s">
        <v>264</v>
      </c>
      <c r="C16" s="172" t="s">
        <v>216</v>
      </c>
      <c r="D16" s="170">
        <v>3</v>
      </c>
      <c r="E16" s="170">
        <v>3</v>
      </c>
      <c r="F16" s="170">
        <v>3</v>
      </c>
      <c r="G16" s="170">
        <v>3</v>
      </c>
      <c r="H16" s="170">
        <v>5</v>
      </c>
      <c r="I16" s="25">
        <f t="shared" si="0"/>
        <v>17</v>
      </c>
    </row>
    <row r="17" spans="1:9" ht="18" customHeight="1">
      <c r="A17" s="59">
        <v>7</v>
      </c>
      <c r="B17" s="171" t="s">
        <v>265</v>
      </c>
      <c r="C17" s="172" t="s">
        <v>188</v>
      </c>
      <c r="D17" s="170">
        <v>2</v>
      </c>
      <c r="E17" s="170">
        <v>5</v>
      </c>
      <c r="F17" s="170">
        <v>3</v>
      </c>
      <c r="G17" s="170">
        <v>5</v>
      </c>
      <c r="H17" s="170">
        <v>3</v>
      </c>
      <c r="I17" s="25">
        <f t="shared" si="0"/>
        <v>18</v>
      </c>
    </row>
    <row r="18" spans="1:9" ht="18" customHeight="1">
      <c r="A18" s="59">
        <v>8</v>
      </c>
      <c r="B18" s="171" t="s">
        <v>266</v>
      </c>
      <c r="C18" s="172" t="s">
        <v>176</v>
      </c>
      <c r="D18" s="170">
        <v>3</v>
      </c>
      <c r="E18" s="170">
        <v>2</v>
      </c>
      <c r="F18" s="170">
        <v>3</v>
      </c>
      <c r="G18" s="170">
        <v>5</v>
      </c>
      <c r="H18" s="170">
        <v>3</v>
      </c>
      <c r="I18" s="25">
        <f t="shared" si="0"/>
        <v>16</v>
      </c>
    </row>
    <row r="19" spans="1:9" ht="18" customHeight="1">
      <c r="A19" s="59">
        <v>9</v>
      </c>
      <c r="B19" s="171" t="s">
        <v>267</v>
      </c>
      <c r="C19" s="172" t="s">
        <v>172</v>
      </c>
      <c r="D19" s="170">
        <v>5</v>
      </c>
      <c r="E19" s="170">
        <v>3</v>
      </c>
      <c r="F19" s="170">
        <v>5</v>
      </c>
      <c r="G19" s="170">
        <v>3</v>
      </c>
      <c r="H19" s="170">
        <v>3</v>
      </c>
      <c r="I19" s="25">
        <f t="shared" si="0"/>
        <v>19</v>
      </c>
    </row>
    <row r="20" spans="1:9" ht="18" customHeight="1">
      <c r="A20" s="59">
        <v>10</v>
      </c>
      <c r="B20" s="171" t="s">
        <v>268</v>
      </c>
      <c r="C20" s="172" t="s">
        <v>235</v>
      </c>
      <c r="D20" s="170">
        <v>3</v>
      </c>
      <c r="E20" s="170">
        <v>3</v>
      </c>
      <c r="F20" s="170">
        <v>3</v>
      </c>
      <c r="G20" s="170">
        <v>3</v>
      </c>
      <c r="H20" s="170">
        <v>4</v>
      </c>
      <c r="I20" s="25">
        <f t="shared" si="0"/>
        <v>16</v>
      </c>
    </row>
    <row r="21" spans="1:9" ht="18" customHeight="1">
      <c r="A21" s="59">
        <v>11</v>
      </c>
      <c r="B21" s="171" t="s">
        <v>269</v>
      </c>
      <c r="C21" s="172" t="s">
        <v>203</v>
      </c>
      <c r="D21" s="170">
        <v>3</v>
      </c>
      <c r="E21" s="170">
        <v>2</v>
      </c>
      <c r="F21" s="170">
        <v>3</v>
      </c>
      <c r="G21" s="170">
        <v>5</v>
      </c>
      <c r="H21" s="170">
        <v>4</v>
      </c>
      <c r="I21" s="25">
        <f t="shared" si="0"/>
        <v>17</v>
      </c>
    </row>
    <row r="22" spans="1:9" ht="18" customHeight="1">
      <c r="A22" s="59">
        <v>12</v>
      </c>
      <c r="B22" s="171" t="s">
        <v>270</v>
      </c>
      <c r="C22" s="172" t="s">
        <v>240</v>
      </c>
      <c r="D22" s="170">
        <v>3</v>
      </c>
      <c r="E22" s="170">
        <v>4</v>
      </c>
      <c r="F22" s="170">
        <v>2</v>
      </c>
      <c r="G22" s="170">
        <v>2</v>
      </c>
      <c r="H22" s="170">
        <v>5</v>
      </c>
      <c r="I22" s="25">
        <f t="shared" si="0"/>
        <v>16</v>
      </c>
    </row>
    <row r="23" spans="1:9" ht="18" customHeight="1">
      <c r="A23" s="59">
        <v>13</v>
      </c>
      <c r="B23" s="171" t="s">
        <v>271</v>
      </c>
      <c r="C23" s="172" t="s">
        <v>249</v>
      </c>
      <c r="D23" s="170">
        <v>4</v>
      </c>
      <c r="E23" s="170">
        <v>5</v>
      </c>
      <c r="F23" s="170">
        <v>3</v>
      </c>
      <c r="G23" s="170">
        <v>3</v>
      </c>
      <c r="H23" s="170">
        <v>3</v>
      </c>
      <c r="I23" s="25">
        <f t="shared" si="0"/>
        <v>18</v>
      </c>
    </row>
    <row r="24" spans="1:9" ht="18" customHeight="1">
      <c r="A24" s="59">
        <v>14</v>
      </c>
      <c r="B24" s="171" t="s">
        <v>272</v>
      </c>
      <c r="C24" s="172" t="s">
        <v>226</v>
      </c>
      <c r="D24" s="170">
        <v>4</v>
      </c>
      <c r="E24" s="170">
        <v>5</v>
      </c>
      <c r="F24" s="170">
        <v>5</v>
      </c>
      <c r="G24" s="170">
        <v>3</v>
      </c>
      <c r="H24" s="170">
        <v>4</v>
      </c>
      <c r="I24" s="25">
        <f t="shared" si="0"/>
        <v>21</v>
      </c>
    </row>
    <row r="25" spans="1:9" ht="18" customHeight="1">
      <c r="A25" s="59">
        <v>15</v>
      </c>
      <c r="B25" s="171" t="s">
        <v>273</v>
      </c>
      <c r="C25" s="172" t="s">
        <v>224</v>
      </c>
      <c r="D25" s="170">
        <v>5</v>
      </c>
      <c r="E25" s="170">
        <v>5</v>
      </c>
      <c r="F25" s="170">
        <v>3</v>
      </c>
      <c r="G25" s="170">
        <v>4</v>
      </c>
      <c r="H25" s="170">
        <v>5</v>
      </c>
      <c r="I25" s="25">
        <f t="shared" si="0"/>
        <v>22</v>
      </c>
    </row>
    <row r="26" spans="1:9" ht="18" customHeight="1">
      <c r="A26" s="59">
        <v>16</v>
      </c>
      <c r="B26" s="171" t="s">
        <v>274</v>
      </c>
      <c r="C26" s="172" t="s">
        <v>154</v>
      </c>
      <c r="D26" s="170">
        <v>3</v>
      </c>
      <c r="E26" s="170">
        <v>4</v>
      </c>
      <c r="F26" s="170">
        <v>5</v>
      </c>
      <c r="G26" s="170">
        <v>5</v>
      </c>
      <c r="H26" s="170">
        <v>5</v>
      </c>
      <c r="I26" s="25">
        <f t="shared" si="0"/>
        <v>22</v>
      </c>
    </row>
    <row r="27" spans="1:9" ht="18" customHeight="1">
      <c r="A27" s="59">
        <v>17</v>
      </c>
      <c r="B27" s="171" t="s">
        <v>275</v>
      </c>
      <c r="C27" s="172" t="s">
        <v>217</v>
      </c>
      <c r="D27" s="170">
        <v>4</v>
      </c>
      <c r="E27" s="170">
        <v>3</v>
      </c>
      <c r="F27" s="170">
        <v>3</v>
      </c>
      <c r="G27" s="170">
        <v>5</v>
      </c>
      <c r="H27" s="170">
        <v>5</v>
      </c>
      <c r="I27" s="25">
        <f t="shared" si="0"/>
        <v>20</v>
      </c>
    </row>
    <row r="28" spans="1:9" ht="18" customHeight="1">
      <c r="A28" s="59">
        <v>18</v>
      </c>
      <c r="B28" s="171" t="s">
        <v>276</v>
      </c>
      <c r="C28" s="172" t="s">
        <v>214</v>
      </c>
      <c r="D28" s="170">
        <v>5</v>
      </c>
      <c r="E28" s="170">
        <v>2</v>
      </c>
      <c r="F28" s="170">
        <v>4</v>
      </c>
      <c r="G28" s="170">
        <v>5</v>
      </c>
      <c r="H28" s="170">
        <v>3</v>
      </c>
      <c r="I28" s="25">
        <f t="shared" si="0"/>
        <v>19</v>
      </c>
    </row>
    <row r="29" spans="1:9" ht="18" customHeight="1">
      <c r="A29" s="59">
        <v>19</v>
      </c>
      <c r="B29" s="171" t="s">
        <v>277</v>
      </c>
      <c r="C29" s="172" t="s">
        <v>200</v>
      </c>
      <c r="D29" s="170">
        <v>5</v>
      </c>
      <c r="E29" s="170">
        <v>3</v>
      </c>
      <c r="F29" s="170">
        <v>5</v>
      </c>
      <c r="G29" s="170">
        <v>5</v>
      </c>
      <c r="H29" s="170">
        <v>3</v>
      </c>
      <c r="I29" s="25">
        <f t="shared" si="0"/>
        <v>21</v>
      </c>
    </row>
    <row r="30" spans="1:9" ht="18" customHeight="1">
      <c r="A30" s="59">
        <v>20</v>
      </c>
      <c r="B30" s="171" t="s">
        <v>278</v>
      </c>
      <c r="C30" s="172" t="s">
        <v>209</v>
      </c>
      <c r="D30" s="170">
        <v>5</v>
      </c>
      <c r="E30" s="170">
        <v>3</v>
      </c>
      <c r="F30" s="170">
        <v>5</v>
      </c>
      <c r="G30" s="170">
        <v>5</v>
      </c>
      <c r="H30" s="170">
        <v>4</v>
      </c>
      <c r="I30" s="25">
        <f t="shared" si="0"/>
        <v>22</v>
      </c>
    </row>
    <row r="31" spans="1:9" ht="18" customHeight="1">
      <c r="A31" s="59">
        <v>21</v>
      </c>
      <c r="B31" s="171" t="s">
        <v>279</v>
      </c>
      <c r="C31" s="172" t="s">
        <v>228</v>
      </c>
      <c r="D31" s="170">
        <v>3</v>
      </c>
      <c r="E31" s="170">
        <v>3</v>
      </c>
      <c r="F31" s="170">
        <v>2</v>
      </c>
      <c r="G31" s="170">
        <v>2</v>
      </c>
      <c r="H31" s="170">
        <v>3</v>
      </c>
      <c r="I31" s="25">
        <f t="shared" si="0"/>
        <v>13</v>
      </c>
    </row>
    <row r="32" spans="1:9" ht="18" customHeight="1">
      <c r="A32" s="59">
        <v>22</v>
      </c>
      <c r="B32" s="171" t="s">
        <v>280</v>
      </c>
      <c r="C32" s="172" t="s">
        <v>281</v>
      </c>
      <c r="D32" s="170">
        <v>3</v>
      </c>
      <c r="E32" s="170">
        <v>4</v>
      </c>
      <c r="F32" s="170">
        <v>4</v>
      </c>
      <c r="G32" s="170">
        <v>5</v>
      </c>
      <c r="H32" s="170">
        <v>3</v>
      </c>
      <c r="I32" s="25">
        <f t="shared" si="0"/>
        <v>19</v>
      </c>
    </row>
    <row r="33" spans="1:9" ht="18" customHeight="1">
      <c r="A33" s="59">
        <v>23</v>
      </c>
      <c r="B33" s="171" t="s">
        <v>282</v>
      </c>
      <c r="C33" s="172" t="s">
        <v>164</v>
      </c>
      <c r="D33" s="170">
        <v>4</v>
      </c>
      <c r="E33" s="170">
        <v>5</v>
      </c>
      <c r="F33" s="170">
        <v>3</v>
      </c>
      <c r="G33" s="170">
        <v>5</v>
      </c>
      <c r="H33" s="170">
        <v>5</v>
      </c>
      <c r="I33" s="25">
        <f t="shared" si="0"/>
        <v>22</v>
      </c>
    </row>
    <row r="34" spans="1:9" ht="18" customHeight="1">
      <c r="A34" s="59">
        <v>24</v>
      </c>
      <c r="B34" s="171" t="s">
        <v>283</v>
      </c>
      <c r="C34" s="172" t="s">
        <v>152</v>
      </c>
      <c r="D34" s="170">
        <v>3</v>
      </c>
      <c r="E34" s="170">
        <v>5</v>
      </c>
      <c r="F34" s="170">
        <v>4</v>
      </c>
      <c r="G34" s="170">
        <v>5</v>
      </c>
      <c r="H34" s="170">
        <v>4</v>
      </c>
      <c r="I34" s="25">
        <f t="shared" si="0"/>
        <v>21</v>
      </c>
    </row>
    <row r="35" spans="1:9" ht="18" customHeight="1">
      <c r="A35" s="59">
        <v>25</v>
      </c>
      <c r="B35" s="171" t="s">
        <v>284</v>
      </c>
      <c r="C35" s="172" t="s">
        <v>285</v>
      </c>
      <c r="D35" s="170">
        <v>3</v>
      </c>
      <c r="E35" s="170">
        <v>3</v>
      </c>
      <c r="F35" s="170">
        <v>3</v>
      </c>
      <c r="G35" s="170">
        <v>5</v>
      </c>
      <c r="H35" s="170">
        <v>4</v>
      </c>
      <c r="I35" s="25">
        <f t="shared" si="0"/>
        <v>18</v>
      </c>
    </row>
    <row r="36" spans="1:9" ht="18" customHeight="1">
      <c r="A36" s="59">
        <v>26</v>
      </c>
      <c r="B36" s="171" t="s">
        <v>286</v>
      </c>
      <c r="C36" s="172" t="s">
        <v>287</v>
      </c>
      <c r="D36" s="170">
        <v>5</v>
      </c>
      <c r="E36" s="170">
        <v>3</v>
      </c>
      <c r="F36" s="170">
        <v>3</v>
      </c>
      <c r="G36" s="170">
        <v>4</v>
      </c>
      <c r="H36" s="170">
        <v>4</v>
      </c>
      <c r="I36" s="25">
        <f t="shared" si="0"/>
        <v>19</v>
      </c>
    </row>
    <row r="37" spans="1:9" ht="18" customHeight="1">
      <c r="A37" s="59">
        <v>27</v>
      </c>
      <c r="B37" s="171" t="s">
        <v>288</v>
      </c>
      <c r="C37" s="172" t="s">
        <v>189</v>
      </c>
      <c r="D37" s="170">
        <v>4</v>
      </c>
      <c r="E37" s="170">
        <v>3</v>
      </c>
      <c r="F37" s="170">
        <v>4</v>
      </c>
      <c r="G37" s="170">
        <v>4</v>
      </c>
      <c r="H37" s="170">
        <v>5</v>
      </c>
      <c r="I37" s="25">
        <f t="shared" si="0"/>
        <v>20</v>
      </c>
    </row>
    <row r="38" spans="1:9" ht="18" customHeight="1">
      <c r="A38" s="59">
        <v>28</v>
      </c>
      <c r="B38" s="171" t="s">
        <v>289</v>
      </c>
      <c r="C38" s="172" t="s">
        <v>218</v>
      </c>
      <c r="D38" s="170">
        <v>4</v>
      </c>
      <c r="E38" s="170">
        <v>3</v>
      </c>
      <c r="F38" s="170">
        <v>3</v>
      </c>
      <c r="G38" s="170">
        <v>4</v>
      </c>
      <c r="H38" s="170">
        <v>5</v>
      </c>
      <c r="I38" s="25">
        <f t="shared" si="0"/>
        <v>19</v>
      </c>
    </row>
    <row r="39" spans="1:9" ht="18" customHeight="1">
      <c r="A39" s="59">
        <v>29</v>
      </c>
      <c r="B39" s="171" t="s">
        <v>290</v>
      </c>
      <c r="C39" s="172" t="s">
        <v>155</v>
      </c>
      <c r="D39" s="170">
        <v>4</v>
      </c>
      <c r="E39" s="170">
        <v>3</v>
      </c>
      <c r="F39" s="170">
        <v>5</v>
      </c>
      <c r="G39" s="170">
        <v>3</v>
      </c>
      <c r="H39" s="170">
        <v>4</v>
      </c>
      <c r="I39" s="25">
        <f t="shared" si="0"/>
        <v>19</v>
      </c>
    </row>
    <row r="40" spans="1:9" ht="18" customHeight="1">
      <c r="A40" s="59">
        <v>30</v>
      </c>
      <c r="B40" s="171" t="s">
        <v>291</v>
      </c>
      <c r="C40" s="172" t="s">
        <v>253</v>
      </c>
      <c r="D40" s="170">
        <v>5</v>
      </c>
      <c r="E40" s="170">
        <v>5</v>
      </c>
      <c r="F40" s="170">
        <v>3</v>
      </c>
      <c r="G40" s="170">
        <v>3</v>
      </c>
      <c r="H40" s="170">
        <v>2</v>
      </c>
      <c r="I40" s="25">
        <f t="shared" si="0"/>
        <v>18</v>
      </c>
    </row>
    <row r="41" spans="1:9" ht="18" customHeight="1">
      <c r="A41" s="59">
        <v>31</v>
      </c>
      <c r="B41" s="171" t="s">
        <v>292</v>
      </c>
      <c r="C41" s="172" t="s">
        <v>293</v>
      </c>
      <c r="D41" s="170">
        <v>5</v>
      </c>
      <c r="E41" s="170">
        <v>5</v>
      </c>
      <c r="F41" s="170">
        <v>2</v>
      </c>
      <c r="G41" s="170">
        <v>5</v>
      </c>
      <c r="H41" s="170">
        <v>5</v>
      </c>
      <c r="I41" s="25">
        <f t="shared" si="0"/>
        <v>22</v>
      </c>
    </row>
    <row r="42" spans="1:9" ht="18" customHeight="1">
      <c r="A42" s="59">
        <v>32</v>
      </c>
      <c r="B42" s="171" t="s">
        <v>294</v>
      </c>
      <c r="C42" s="172" t="s">
        <v>160</v>
      </c>
      <c r="D42" s="170">
        <v>4</v>
      </c>
      <c r="E42" s="170">
        <v>4</v>
      </c>
      <c r="F42" s="170">
        <v>4</v>
      </c>
      <c r="G42" s="170">
        <v>4</v>
      </c>
      <c r="H42" s="170">
        <v>5</v>
      </c>
      <c r="I42" s="25">
        <f t="shared" si="0"/>
        <v>21</v>
      </c>
    </row>
    <row r="43" spans="1:9" ht="18" customHeight="1">
      <c r="A43" s="59">
        <v>33</v>
      </c>
      <c r="B43" s="171" t="s">
        <v>295</v>
      </c>
      <c r="C43" s="172" t="s">
        <v>148</v>
      </c>
      <c r="D43" s="170">
        <v>2</v>
      </c>
      <c r="E43" s="170">
        <v>2</v>
      </c>
      <c r="F43" s="170">
        <v>5</v>
      </c>
      <c r="G43" s="170">
        <v>3</v>
      </c>
      <c r="H43" s="170">
        <v>5</v>
      </c>
      <c r="I43" s="25">
        <f t="shared" ref="I43:I74" si="1">IF(E43&lt;&gt;"AB",SUM(D43:H43),"AB")</f>
        <v>17</v>
      </c>
    </row>
    <row r="44" spans="1:9" ht="18" customHeight="1">
      <c r="A44" s="59">
        <v>34</v>
      </c>
      <c r="B44" s="171" t="s">
        <v>296</v>
      </c>
      <c r="C44" s="172" t="s">
        <v>183</v>
      </c>
      <c r="D44" s="170">
        <v>5</v>
      </c>
      <c r="E44" s="170">
        <v>5</v>
      </c>
      <c r="F44" s="170">
        <v>4</v>
      </c>
      <c r="G44" s="170">
        <v>3</v>
      </c>
      <c r="H44" s="170">
        <v>4</v>
      </c>
      <c r="I44" s="25">
        <f t="shared" si="1"/>
        <v>21</v>
      </c>
    </row>
    <row r="45" spans="1:9" ht="18" customHeight="1">
      <c r="A45" s="59">
        <v>35</v>
      </c>
      <c r="B45" s="171" t="s">
        <v>297</v>
      </c>
      <c r="C45" s="172" t="s">
        <v>159</v>
      </c>
      <c r="D45" s="170">
        <v>5</v>
      </c>
      <c r="E45" s="170">
        <v>5</v>
      </c>
      <c r="F45" s="170">
        <v>4</v>
      </c>
      <c r="G45" s="170">
        <v>2</v>
      </c>
      <c r="H45" s="170">
        <v>4</v>
      </c>
      <c r="I45" s="25">
        <f t="shared" si="1"/>
        <v>20</v>
      </c>
    </row>
    <row r="46" spans="1:9" ht="18" customHeight="1">
      <c r="A46" s="59">
        <v>36</v>
      </c>
      <c r="B46" s="171" t="s">
        <v>298</v>
      </c>
      <c r="C46" s="172" t="s">
        <v>299</v>
      </c>
      <c r="D46" s="170">
        <v>5</v>
      </c>
      <c r="E46" s="170">
        <v>4</v>
      </c>
      <c r="F46" s="170">
        <v>3</v>
      </c>
      <c r="G46" s="170">
        <v>4</v>
      </c>
      <c r="H46" s="170">
        <v>2</v>
      </c>
      <c r="I46" s="25">
        <f t="shared" si="1"/>
        <v>18</v>
      </c>
    </row>
    <row r="47" spans="1:9" ht="18" customHeight="1">
      <c r="A47" s="59">
        <v>37</v>
      </c>
      <c r="B47" s="171" t="s">
        <v>300</v>
      </c>
      <c r="C47" s="172" t="s">
        <v>177</v>
      </c>
      <c r="D47" s="170">
        <v>4</v>
      </c>
      <c r="E47" s="170">
        <v>4</v>
      </c>
      <c r="F47" s="170">
        <v>4</v>
      </c>
      <c r="G47" s="170">
        <v>5</v>
      </c>
      <c r="H47" s="170">
        <v>3</v>
      </c>
      <c r="I47" s="25">
        <f t="shared" si="1"/>
        <v>20</v>
      </c>
    </row>
    <row r="48" spans="1:9" ht="18" customHeight="1">
      <c r="A48" s="59">
        <v>38</v>
      </c>
      <c r="B48" s="171" t="s">
        <v>301</v>
      </c>
      <c r="C48" s="172" t="s">
        <v>302</v>
      </c>
      <c r="D48" s="170">
        <v>4</v>
      </c>
      <c r="E48" s="170">
        <v>4</v>
      </c>
      <c r="F48" s="170">
        <v>4</v>
      </c>
      <c r="G48" s="170">
        <v>5</v>
      </c>
      <c r="H48" s="170">
        <v>4</v>
      </c>
      <c r="I48" s="25">
        <f t="shared" si="1"/>
        <v>21</v>
      </c>
    </row>
    <row r="49" spans="1:9" ht="18" customHeight="1">
      <c r="A49" s="59">
        <v>39</v>
      </c>
      <c r="B49" s="171" t="s">
        <v>303</v>
      </c>
      <c r="C49" s="172" t="s">
        <v>156</v>
      </c>
      <c r="D49" s="170">
        <v>2</v>
      </c>
      <c r="E49" s="170">
        <v>5</v>
      </c>
      <c r="F49" s="170">
        <v>5</v>
      </c>
      <c r="G49" s="170">
        <v>5</v>
      </c>
      <c r="H49" s="170">
        <v>3</v>
      </c>
      <c r="I49" s="25">
        <f t="shared" si="1"/>
        <v>20</v>
      </c>
    </row>
    <row r="50" spans="1:9" ht="18" customHeight="1">
      <c r="A50" s="59">
        <v>40</v>
      </c>
      <c r="B50" s="171" t="s">
        <v>304</v>
      </c>
      <c r="C50" s="172" t="s">
        <v>178</v>
      </c>
      <c r="D50" s="170">
        <v>3</v>
      </c>
      <c r="E50" s="170">
        <v>5</v>
      </c>
      <c r="F50" s="170">
        <v>3</v>
      </c>
      <c r="G50" s="170">
        <v>4</v>
      </c>
      <c r="H50" s="170">
        <v>4</v>
      </c>
      <c r="I50" s="25">
        <f t="shared" si="1"/>
        <v>19</v>
      </c>
    </row>
    <row r="51" spans="1:9" ht="18" customHeight="1">
      <c r="A51" s="59">
        <v>41</v>
      </c>
      <c r="B51" s="171" t="s">
        <v>305</v>
      </c>
      <c r="C51" s="172" t="s">
        <v>306</v>
      </c>
      <c r="D51" s="170">
        <v>4</v>
      </c>
      <c r="E51" s="170">
        <v>4</v>
      </c>
      <c r="F51" s="170">
        <v>4</v>
      </c>
      <c r="G51" s="170">
        <v>3</v>
      </c>
      <c r="H51" s="170">
        <v>5</v>
      </c>
      <c r="I51" s="25">
        <f t="shared" si="1"/>
        <v>20</v>
      </c>
    </row>
    <row r="52" spans="1:9" ht="18" customHeight="1">
      <c r="A52" s="59">
        <v>42</v>
      </c>
      <c r="B52" s="171" t="s">
        <v>307</v>
      </c>
      <c r="C52" s="172" t="s">
        <v>202</v>
      </c>
      <c r="D52" s="170">
        <v>3</v>
      </c>
      <c r="E52" s="170">
        <v>5</v>
      </c>
      <c r="F52" s="170">
        <v>5</v>
      </c>
      <c r="G52" s="170">
        <v>2</v>
      </c>
      <c r="H52" s="170">
        <v>5</v>
      </c>
      <c r="I52" s="25">
        <f t="shared" si="1"/>
        <v>20</v>
      </c>
    </row>
    <row r="53" spans="1:9" ht="18" customHeight="1">
      <c r="A53" s="59">
        <v>43</v>
      </c>
      <c r="B53" s="171" t="s">
        <v>308</v>
      </c>
      <c r="C53" s="172" t="s">
        <v>162</v>
      </c>
      <c r="D53" s="170">
        <v>4</v>
      </c>
      <c r="E53" s="170">
        <v>3</v>
      </c>
      <c r="F53" s="170">
        <v>5</v>
      </c>
      <c r="G53" s="170">
        <v>3</v>
      </c>
      <c r="H53" s="170">
        <v>5</v>
      </c>
      <c r="I53" s="25">
        <f t="shared" si="1"/>
        <v>20</v>
      </c>
    </row>
    <row r="54" spans="1:9" ht="18" customHeight="1">
      <c r="A54" s="59">
        <v>44</v>
      </c>
      <c r="B54" s="171" t="s">
        <v>309</v>
      </c>
      <c r="C54" s="172" t="s">
        <v>310</v>
      </c>
      <c r="D54" s="170">
        <v>5</v>
      </c>
      <c r="E54" s="170">
        <v>5</v>
      </c>
      <c r="F54" s="170">
        <v>5</v>
      </c>
      <c r="G54" s="170">
        <v>3</v>
      </c>
      <c r="H54" s="170">
        <v>3</v>
      </c>
      <c r="I54" s="25">
        <f t="shared" si="1"/>
        <v>21</v>
      </c>
    </row>
    <row r="55" spans="1:9" ht="18" customHeight="1">
      <c r="A55" s="59">
        <v>45</v>
      </c>
      <c r="B55" s="171" t="s">
        <v>311</v>
      </c>
      <c r="C55" s="172" t="s">
        <v>312</v>
      </c>
      <c r="D55" s="170">
        <v>5</v>
      </c>
      <c r="E55" s="170">
        <v>3</v>
      </c>
      <c r="F55" s="170">
        <v>2</v>
      </c>
      <c r="G55" s="170">
        <v>2</v>
      </c>
      <c r="H55" s="170">
        <v>5</v>
      </c>
      <c r="I55" s="25">
        <f t="shared" si="1"/>
        <v>17</v>
      </c>
    </row>
    <row r="56" spans="1:9" ht="18" customHeight="1">
      <c r="A56" s="59">
        <v>46</v>
      </c>
      <c r="B56" s="171" t="s">
        <v>313</v>
      </c>
      <c r="C56" s="172" t="s">
        <v>170</v>
      </c>
      <c r="D56" s="170">
        <v>5</v>
      </c>
      <c r="E56" s="170">
        <v>3</v>
      </c>
      <c r="F56" s="170">
        <v>3</v>
      </c>
      <c r="G56" s="170">
        <v>4</v>
      </c>
      <c r="H56" s="170">
        <v>5</v>
      </c>
      <c r="I56" s="25">
        <f t="shared" si="1"/>
        <v>20</v>
      </c>
    </row>
    <row r="57" spans="1:9" ht="18" customHeight="1">
      <c r="A57" s="59">
        <v>47</v>
      </c>
      <c r="B57" s="171" t="s">
        <v>314</v>
      </c>
      <c r="C57" s="172" t="s">
        <v>315</v>
      </c>
      <c r="D57" s="170">
        <v>3</v>
      </c>
      <c r="E57" s="170">
        <v>5</v>
      </c>
      <c r="F57" s="170">
        <v>4</v>
      </c>
      <c r="G57" s="170">
        <v>5</v>
      </c>
      <c r="H57" s="170">
        <v>4</v>
      </c>
      <c r="I57" s="25">
        <f t="shared" si="1"/>
        <v>21</v>
      </c>
    </row>
    <row r="58" spans="1:9" ht="18" customHeight="1">
      <c r="A58" s="59">
        <v>48</v>
      </c>
      <c r="B58" s="171" t="s">
        <v>316</v>
      </c>
      <c r="C58" s="172" t="s">
        <v>153</v>
      </c>
      <c r="D58" s="170">
        <v>5</v>
      </c>
      <c r="E58" s="170">
        <v>3</v>
      </c>
      <c r="F58" s="170">
        <v>3</v>
      </c>
      <c r="G58" s="170">
        <v>5</v>
      </c>
      <c r="H58" s="170">
        <v>5</v>
      </c>
      <c r="I58" s="25">
        <f t="shared" si="1"/>
        <v>21</v>
      </c>
    </row>
    <row r="59" spans="1:9" ht="18" customHeight="1">
      <c r="A59" s="59">
        <v>49</v>
      </c>
      <c r="B59" s="171" t="s">
        <v>317</v>
      </c>
      <c r="C59" s="172" t="s">
        <v>163</v>
      </c>
      <c r="D59" s="170">
        <v>5</v>
      </c>
      <c r="E59" s="170">
        <v>4</v>
      </c>
      <c r="F59" s="170">
        <v>2</v>
      </c>
      <c r="G59" s="170">
        <v>3</v>
      </c>
      <c r="H59" s="170">
        <v>3</v>
      </c>
      <c r="I59" s="25">
        <f t="shared" si="1"/>
        <v>17</v>
      </c>
    </row>
    <row r="60" spans="1:9" ht="18" customHeight="1">
      <c r="A60" s="59">
        <v>50</v>
      </c>
      <c r="B60" s="171" t="s">
        <v>318</v>
      </c>
      <c r="C60" s="172" t="s">
        <v>319</v>
      </c>
      <c r="D60" s="170">
        <v>4</v>
      </c>
      <c r="E60" s="170">
        <v>4</v>
      </c>
      <c r="F60" s="170">
        <v>5</v>
      </c>
      <c r="G60" s="170">
        <v>4</v>
      </c>
      <c r="H60" s="170">
        <v>5</v>
      </c>
      <c r="I60" s="25">
        <f t="shared" si="1"/>
        <v>22</v>
      </c>
    </row>
    <row r="61" spans="1:9" ht="18" customHeight="1">
      <c r="A61" s="59">
        <v>51</v>
      </c>
      <c r="B61" s="171" t="s">
        <v>320</v>
      </c>
      <c r="C61" s="172" t="s">
        <v>236</v>
      </c>
      <c r="D61" s="170">
        <v>5</v>
      </c>
      <c r="E61" s="170">
        <v>4</v>
      </c>
      <c r="F61" s="170">
        <v>3</v>
      </c>
      <c r="G61" s="170">
        <v>3</v>
      </c>
      <c r="H61" s="170">
        <v>3</v>
      </c>
      <c r="I61" s="25">
        <f t="shared" si="1"/>
        <v>18</v>
      </c>
    </row>
    <row r="62" spans="1:9" ht="18" customHeight="1">
      <c r="A62" s="59">
        <v>52</v>
      </c>
      <c r="B62" s="171" t="s">
        <v>321</v>
      </c>
      <c r="C62" s="172" t="s">
        <v>322</v>
      </c>
      <c r="D62" s="170">
        <v>3</v>
      </c>
      <c r="E62" s="170">
        <v>3</v>
      </c>
      <c r="F62" s="170">
        <v>5</v>
      </c>
      <c r="G62" s="170">
        <v>3</v>
      </c>
      <c r="H62" s="170">
        <v>2</v>
      </c>
      <c r="I62" s="25">
        <f t="shared" si="1"/>
        <v>16</v>
      </c>
    </row>
    <row r="63" spans="1:9" ht="18" customHeight="1">
      <c r="A63" s="59">
        <v>53</v>
      </c>
      <c r="B63" s="171" t="s">
        <v>323</v>
      </c>
      <c r="C63" s="172" t="s">
        <v>246</v>
      </c>
      <c r="D63" s="170">
        <v>5</v>
      </c>
      <c r="E63" s="170">
        <v>3</v>
      </c>
      <c r="F63" s="170">
        <v>3</v>
      </c>
      <c r="G63" s="170">
        <v>5</v>
      </c>
      <c r="H63" s="170">
        <v>5</v>
      </c>
      <c r="I63" s="25">
        <f t="shared" si="1"/>
        <v>21</v>
      </c>
    </row>
    <row r="64" spans="1:9" ht="18" customHeight="1">
      <c r="A64" s="59">
        <v>54</v>
      </c>
      <c r="B64" s="171" t="s">
        <v>324</v>
      </c>
      <c r="C64" s="172" t="s">
        <v>325</v>
      </c>
      <c r="D64" s="170">
        <v>3</v>
      </c>
      <c r="E64" s="170">
        <v>5</v>
      </c>
      <c r="F64" s="170">
        <v>2</v>
      </c>
      <c r="G64" s="170">
        <v>5</v>
      </c>
      <c r="H64" s="170">
        <v>4</v>
      </c>
      <c r="I64" s="25">
        <f t="shared" si="1"/>
        <v>19</v>
      </c>
    </row>
    <row r="65" spans="1:9" ht="18" customHeight="1">
      <c r="A65" s="59">
        <v>55</v>
      </c>
      <c r="B65" s="171" t="s">
        <v>326</v>
      </c>
      <c r="C65" s="172" t="s">
        <v>327</v>
      </c>
      <c r="D65" s="170">
        <v>2</v>
      </c>
      <c r="E65" s="170">
        <v>5</v>
      </c>
      <c r="F65" s="170">
        <v>5</v>
      </c>
      <c r="G65" s="170">
        <v>5</v>
      </c>
      <c r="H65" s="170">
        <v>4</v>
      </c>
      <c r="I65" s="25">
        <f t="shared" si="1"/>
        <v>21</v>
      </c>
    </row>
    <row r="66" spans="1:9" ht="18" customHeight="1">
      <c r="A66" s="59">
        <v>56</v>
      </c>
      <c r="B66" s="171" t="s">
        <v>328</v>
      </c>
      <c r="C66" s="172" t="s">
        <v>179</v>
      </c>
      <c r="D66" s="170">
        <v>5</v>
      </c>
      <c r="E66" s="170">
        <v>5</v>
      </c>
      <c r="F66" s="170">
        <v>4</v>
      </c>
      <c r="G66" s="170">
        <v>4</v>
      </c>
      <c r="H66" s="170">
        <v>4</v>
      </c>
      <c r="I66" s="25">
        <f t="shared" si="1"/>
        <v>22</v>
      </c>
    </row>
    <row r="67" spans="1:9" ht="18" customHeight="1">
      <c r="A67" s="59">
        <v>57</v>
      </c>
      <c r="B67" s="171" t="s">
        <v>329</v>
      </c>
      <c r="C67" s="172" t="s">
        <v>149</v>
      </c>
      <c r="D67" s="170">
        <v>4</v>
      </c>
      <c r="E67" s="170">
        <v>4</v>
      </c>
      <c r="F67" s="170">
        <v>4</v>
      </c>
      <c r="G67" s="170">
        <v>5</v>
      </c>
      <c r="H67" s="170">
        <v>5</v>
      </c>
      <c r="I67" s="25">
        <f t="shared" si="1"/>
        <v>22</v>
      </c>
    </row>
    <row r="68" spans="1:9" ht="18" customHeight="1">
      <c r="A68" s="59">
        <v>58</v>
      </c>
      <c r="B68" s="171" t="s">
        <v>330</v>
      </c>
      <c r="C68" s="172" t="s">
        <v>204</v>
      </c>
      <c r="D68" s="170">
        <v>4</v>
      </c>
      <c r="E68" s="170">
        <v>5</v>
      </c>
      <c r="F68" s="170">
        <v>4</v>
      </c>
      <c r="G68" s="170">
        <v>5</v>
      </c>
      <c r="H68" s="170">
        <v>4</v>
      </c>
      <c r="I68" s="25">
        <f t="shared" si="1"/>
        <v>22</v>
      </c>
    </row>
    <row r="69" spans="1:9" ht="18" customHeight="1">
      <c r="A69" s="59">
        <v>59</v>
      </c>
      <c r="B69" s="171" t="s">
        <v>331</v>
      </c>
      <c r="C69" s="172" t="s">
        <v>238</v>
      </c>
      <c r="D69" s="170">
        <v>4</v>
      </c>
      <c r="E69" s="170">
        <v>5</v>
      </c>
      <c r="F69" s="170">
        <v>5</v>
      </c>
      <c r="G69" s="170">
        <v>4</v>
      </c>
      <c r="H69" s="170">
        <v>3</v>
      </c>
      <c r="I69" s="25">
        <f t="shared" si="1"/>
        <v>21</v>
      </c>
    </row>
    <row r="70" spans="1:9" ht="18" customHeight="1">
      <c r="A70" s="59">
        <v>60</v>
      </c>
      <c r="B70" s="171" t="s">
        <v>332</v>
      </c>
      <c r="C70" s="172" t="s">
        <v>167</v>
      </c>
      <c r="D70" s="170">
        <v>5</v>
      </c>
      <c r="E70" s="170">
        <v>4</v>
      </c>
      <c r="F70" s="170">
        <v>4</v>
      </c>
      <c r="G70" s="170">
        <v>4</v>
      </c>
      <c r="H70" s="170">
        <v>3</v>
      </c>
      <c r="I70" s="25">
        <f t="shared" si="1"/>
        <v>20</v>
      </c>
    </row>
    <row r="71" spans="1:9" ht="18" customHeight="1">
      <c r="A71" s="59">
        <v>61</v>
      </c>
      <c r="B71" s="171" t="s">
        <v>333</v>
      </c>
      <c r="C71" s="172" t="s">
        <v>247</v>
      </c>
      <c r="D71" s="170">
        <v>4</v>
      </c>
      <c r="E71" s="170">
        <v>4</v>
      </c>
      <c r="F71" s="170">
        <v>3</v>
      </c>
      <c r="G71" s="170">
        <v>5</v>
      </c>
      <c r="H71" s="170">
        <v>3</v>
      </c>
      <c r="I71" s="25">
        <f t="shared" si="1"/>
        <v>19</v>
      </c>
    </row>
    <row r="72" spans="1:9" ht="18" customHeight="1">
      <c r="A72" s="59">
        <v>62</v>
      </c>
      <c r="B72" s="171" t="s">
        <v>334</v>
      </c>
      <c r="C72" s="172" t="s">
        <v>166</v>
      </c>
      <c r="D72" s="170">
        <v>3</v>
      </c>
      <c r="E72" s="170">
        <v>5</v>
      </c>
      <c r="F72" s="170">
        <v>3</v>
      </c>
      <c r="G72" s="170">
        <v>3</v>
      </c>
      <c r="H72" s="170">
        <v>5</v>
      </c>
      <c r="I72" s="25">
        <f t="shared" si="1"/>
        <v>19</v>
      </c>
    </row>
    <row r="73" spans="1:9" ht="18" customHeight="1">
      <c r="A73" s="59">
        <v>63</v>
      </c>
      <c r="B73" s="171" t="s">
        <v>335</v>
      </c>
      <c r="C73" s="172" t="s">
        <v>195</v>
      </c>
      <c r="D73" s="170">
        <v>3</v>
      </c>
      <c r="E73" s="170">
        <v>3</v>
      </c>
      <c r="F73" s="170">
        <v>3</v>
      </c>
      <c r="G73" s="170">
        <v>3</v>
      </c>
      <c r="H73" s="170">
        <v>3</v>
      </c>
      <c r="I73" s="25">
        <f t="shared" si="1"/>
        <v>15</v>
      </c>
    </row>
    <row r="74" spans="1:9" ht="18" customHeight="1">
      <c r="A74" s="59">
        <v>64</v>
      </c>
      <c r="B74" s="171" t="s">
        <v>336</v>
      </c>
      <c r="C74" s="172" t="s">
        <v>245</v>
      </c>
      <c r="D74" s="170">
        <v>3</v>
      </c>
      <c r="E74" s="170">
        <v>3</v>
      </c>
      <c r="F74" s="170">
        <v>5</v>
      </c>
      <c r="G74" s="170">
        <v>3</v>
      </c>
      <c r="H74" s="170">
        <v>5</v>
      </c>
      <c r="I74" s="25">
        <f t="shared" si="1"/>
        <v>19</v>
      </c>
    </row>
    <row r="75" spans="1:9" ht="18" customHeight="1">
      <c r="A75" s="59">
        <v>65</v>
      </c>
      <c r="B75" s="171" t="s">
        <v>337</v>
      </c>
      <c r="C75" s="172" t="s">
        <v>174</v>
      </c>
      <c r="D75" s="170">
        <v>5</v>
      </c>
      <c r="E75" s="170">
        <v>3</v>
      </c>
      <c r="F75" s="170">
        <v>3</v>
      </c>
      <c r="G75" s="170">
        <v>4</v>
      </c>
      <c r="H75" s="170">
        <v>3</v>
      </c>
      <c r="I75" s="25">
        <f t="shared" ref="I75:I106" si="2">IF(E75&lt;&gt;"AB",SUM(D75:H75),"AB")</f>
        <v>18</v>
      </c>
    </row>
    <row r="76" spans="1:9" ht="18" customHeight="1">
      <c r="A76" s="59">
        <v>66</v>
      </c>
      <c r="B76" s="171" t="s">
        <v>338</v>
      </c>
      <c r="C76" s="172" t="s">
        <v>161</v>
      </c>
      <c r="D76" s="170">
        <v>3</v>
      </c>
      <c r="E76" s="170">
        <v>4</v>
      </c>
      <c r="F76" s="170">
        <v>5</v>
      </c>
      <c r="G76" s="170">
        <v>5</v>
      </c>
      <c r="H76" s="170">
        <v>4</v>
      </c>
      <c r="I76" s="25">
        <f t="shared" si="2"/>
        <v>21</v>
      </c>
    </row>
    <row r="77" spans="1:9" ht="18" customHeight="1">
      <c r="A77" s="59">
        <v>67</v>
      </c>
      <c r="B77" s="171" t="s">
        <v>339</v>
      </c>
      <c r="C77" s="172" t="s">
        <v>229</v>
      </c>
      <c r="D77" s="170">
        <v>5</v>
      </c>
      <c r="E77" s="170">
        <v>5</v>
      </c>
      <c r="F77" s="170">
        <v>3</v>
      </c>
      <c r="G77" s="170">
        <v>2</v>
      </c>
      <c r="H77" s="170">
        <v>5</v>
      </c>
      <c r="I77" s="25">
        <f t="shared" si="2"/>
        <v>20</v>
      </c>
    </row>
    <row r="78" spans="1:9" ht="18" customHeight="1">
      <c r="A78" s="59">
        <v>68</v>
      </c>
      <c r="B78" s="171" t="s">
        <v>340</v>
      </c>
      <c r="C78" s="172" t="s">
        <v>211</v>
      </c>
      <c r="D78" s="170">
        <v>3</v>
      </c>
      <c r="E78" s="170">
        <v>5</v>
      </c>
      <c r="F78" s="170">
        <v>4</v>
      </c>
      <c r="G78" s="170">
        <v>5</v>
      </c>
      <c r="H78" s="170">
        <v>5</v>
      </c>
      <c r="I78" s="25">
        <f t="shared" si="2"/>
        <v>22</v>
      </c>
    </row>
    <row r="79" spans="1:9" ht="18" customHeight="1">
      <c r="A79" s="59">
        <v>69</v>
      </c>
      <c r="B79" s="171" t="s">
        <v>341</v>
      </c>
      <c r="C79" s="172" t="s">
        <v>222</v>
      </c>
      <c r="D79" s="170">
        <v>4</v>
      </c>
      <c r="E79" s="170">
        <v>5</v>
      </c>
      <c r="F79" s="170">
        <v>5</v>
      </c>
      <c r="G79" s="170">
        <v>5</v>
      </c>
      <c r="H79" s="170">
        <v>2</v>
      </c>
      <c r="I79" s="25">
        <f t="shared" si="2"/>
        <v>21</v>
      </c>
    </row>
    <row r="80" spans="1:9" ht="18" customHeight="1">
      <c r="A80" s="59">
        <v>70</v>
      </c>
      <c r="B80" s="171" t="s">
        <v>342</v>
      </c>
      <c r="C80" s="172" t="s">
        <v>231</v>
      </c>
      <c r="D80" s="170">
        <v>5</v>
      </c>
      <c r="E80" s="170">
        <v>5</v>
      </c>
      <c r="F80" s="170">
        <v>5</v>
      </c>
      <c r="G80" s="170">
        <v>5</v>
      </c>
      <c r="H80" s="170">
        <v>4</v>
      </c>
      <c r="I80" s="25">
        <f t="shared" si="2"/>
        <v>24</v>
      </c>
    </row>
    <row r="81" spans="1:9" ht="18" customHeight="1">
      <c r="A81" s="59">
        <v>71</v>
      </c>
      <c r="B81" s="171" t="s">
        <v>343</v>
      </c>
      <c r="C81" s="172" t="s">
        <v>344</v>
      </c>
      <c r="D81" s="170">
        <v>5</v>
      </c>
      <c r="E81" s="170">
        <v>5</v>
      </c>
      <c r="F81" s="170">
        <v>2</v>
      </c>
      <c r="G81" s="170">
        <v>2</v>
      </c>
      <c r="H81" s="170">
        <v>3</v>
      </c>
      <c r="I81" s="25">
        <f t="shared" si="2"/>
        <v>17</v>
      </c>
    </row>
    <row r="82" spans="1:9" ht="18" customHeight="1">
      <c r="A82" s="59">
        <v>72</v>
      </c>
      <c r="B82" s="171" t="s">
        <v>345</v>
      </c>
      <c r="C82" s="172" t="s">
        <v>219</v>
      </c>
      <c r="D82" s="170">
        <v>2</v>
      </c>
      <c r="E82" s="170">
        <v>2</v>
      </c>
      <c r="F82" s="170">
        <v>4</v>
      </c>
      <c r="G82" s="170">
        <v>5</v>
      </c>
      <c r="H82" s="170">
        <v>4</v>
      </c>
      <c r="I82" s="25">
        <f t="shared" si="2"/>
        <v>17</v>
      </c>
    </row>
    <row r="83" spans="1:9" ht="18" customHeight="1">
      <c r="A83" s="59">
        <v>73</v>
      </c>
      <c r="B83" s="171" t="s">
        <v>346</v>
      </c>
      <c r="C83" s="172" t="s">
        <v>220</v>
      </c>
      <c r="D83" s="170">
        <v>4</v>
      </c>
      <c r="E83" s="170">
        <v>5</v>
      </c>
      <c r="F83" s="170">
        <v>3</v>
      </c>
      <c r="G83" s="170">
        <v>5</v>
      </c>
      <c r="H83" s="170">
        <v>3</v>
      </c>
      <c r="I83" s="25">
        <f t="shared" si="2"/>
        <v>20</v>
      </c>
    </row>
    <row r="84" spans="1:9" ht="18" customHeight="1">
      <c r="A84" s="59">
        <v>74</v>
      </c>
      <c r="B84" s="171" t="s">
        <v>347</v>
      </c>
      <c r="C84" s="172" t="s">
        <v>201</v>
      </c>
      <c r="D84" s="170">
        <v>3</v>
      </c>
      <c r="E84" s="170">
        <v>5</v>
      </c>
      <c r="F84" s="170">
        <v>4</v>
      </c>
      <c r="G84" s="170">
        <v>5</v>
      </c>
      <c r="H84" s="170">
        <v>3</v>
      </c>
      <c r="I84" s="25">
        <f t="shared" si="2"/>
        <v>20</v>
      </c>
    </row>
    <row r="85" spans="1:9" ht="18" customHeight="1">
      <c r="A85" s="59">
        <v>75</v>
      </c>
      <c r="B85" s="171" t="s">
        <v>348</v>
      </c>
      <c r="C85" s="172" t="s">
        <v>237</v>
      </c>
      <c r="D85" s="170">
        <v>4</v>
      </c>
      <c r="E85" s="170">
        <v>5</v>
      </c>
      <c r="F85" s="170">
        <v>3</v>
      </c>
      <c r="G85" s="170">
        <v>5</v>
      </c>
      <c r="H85" s="170">
        <v>4</v>
      </c>
      <c r="I85" s="25">
        <f t="shared" si="2"/>
        <v>21</v>
      </c>
    </row>
    <row r="86" spans="1:9" ht="18" customHeight="1">
      <c r="A86" s="59">
        <v>76</v>
      </c>
      <c r="B86" s="171" t="s">
        <v>349</v>
      </c>
      <c r="C86" s="172" t="s">
        <v>350</v>
      </c>
      <c r="D86" s="170">
        <v>3</v>
      </c>
      <c r="E86" s="170">
        <v>5</v>
      </c>
      <c r="F86" s="170">
        <v>3</v>
      </c>
      <c r="G86" s="170">
        <v>4</v>
      </c>
      <c r="H86" s="170">
        <v>5</v>
      </c>
      <c r="I86" s="25">
        <f t="shared" si="2"/>
        <v>20</v>
      </c>
    </row>
    <row r="87" spans="1:9" ht="18" customHeight="1">
      <c r="A87" s="59">
        <v>77</v>
      </c>
      <c r="B87" s="171" t="s">
        <v>351</v>
      </c>
      <c r="C87" s="172" t="s">
        <v>242</v>
      </c>
      <c r="D87" s="170">
        <v>3</v>
      </c>
      <c r="E87" s="170">
        <v>4</v>
      </c>
      <c r="F87" s="170">
        <v>4</v>
      </c>
      <c r="G87" s="170">
        <v>4</v>
      </c>
      <c r="H87" s="170">
        <v>4</v>
      </c>
      <c r="I87" s="25">
        <f t="shared" si="2"/>
        <v>19</v>
      </c>
    </row>
    <row r="88" spans="1:9" ht="18" customHeight="1">
      <c r="A88" s="59">
        <v>78</v>
      </c>
      <c r="B88" s="171" t="s">
        <v>352</v>
      </c>
      <c r="C88" s="172" t="s">
        <v>192</v>
      </c>
      <c r="D88" s="170">
        <v>4</v>
      </c>
      <c r="E88" s="170">
        <v>4</v>
      </c>
      <c r="F88" s="170">
        <v>5</v>
      </c>
      <c r="G88" s="170">
        <v>4</v>
      </c>
      <c r="H88" s="170">
        <v>5</v>
      </c>
      <c r="I88" s="25">
        <f t="shared" si="2"/>
        <v>22</v>
      </c>
    </row>
    <row r="89" spans="1:9" ht="18" customHeight="1">
      <c r="A89" s="59">
        <v>79</v>
      </c>
      <c r="B89" s="171" t="s">
        <v>353</v>
      </c>
      <c r="C89" s="172" t="s">
        <v>354</v>
      </c>
      <c r="D89" s="170">
        <v>5</v>
      </c>
      <c r="E89" s="170">
        <v>3</v>
      </c>
      <c r="F89" s="170">
        <v>3</v>
      </c>
      <c r="G89" s="170">
        <v>3</v>
      </c>
      <c r="H89" s="170">
        <v>4</v>
      </c>
      <c r="I89" s="25">
        <f t="shared" si="2"/>
        <v>18</v>
      </c>
    </row>
    <row r="90" spans="1:9" ht="18" customHeight="1">
      <c r="A90" s="59">
        <v>80</v>
      </c>
      <c r="B90" s="171" t="s">
        <v>355</v>
      </c>
      <c r="C90" s="172" t="s">
        <v>157</v>
      </c>
      <c r="D90" s="170">
        <v>4</v>
      </c>
      <c r="E90" s="170">
        <v>4</v>
      </c>
      <c r="F90" s="170">
        <v>5</v>
      </c>
      <c r="G90" s="170">
        <v>3</v>
      </c>
      <c r="H90" s="170">
        <v>5</v>
      </c>
      <c r="I90" s="25">
        <f t="shared" si="2"/>
        <v>21</v>
      </c>
    </row>
    <row r="91" spans="1:9" ht="18" customHeight="1">
      <c r="A91" s="59">
        <v>81</v>
      </c>
      <c r="B91" s="171" t="s">
        <v>356</v>
      </c>
      <c r="C91" s="172" t="s">
        <v>221</v>
      </c>
      <c r="D91" s="170">
        <v>5</v>
      </c>
      <c r="E91" s="170">
        <v>4</v>
      </c>
      <c r="F91" s="170">
        <v>3</v>
      </c>
      <c r="G91" s="170">
        <v>5</v>
      </c>
      <c r="H91" s="170">
        <v>5</v>
      </c>
      <c r="I91" s="25">
        <f t="shared" si="2"/>
        <v>22</v>
      </c>
    </row>
    <row r="92" spans="1:9" ht="18" customHeight="1">
      <c r="A92" s="59">
        <v>82</v>
      </c>
      <c r="B92" s="171" t="s">
        <v>357</v>
      </c>
      <c r="C92" s="172" t="s">
        <v>358</v>
      </c>
      <c r="D92" s="170">
        <v>4</v>
      </c>
      <c r="E92" s="170">
        <v>4</v>
      </c>
      <c r="F92" s="170">
        <v>2</v>
      </c>
      <c r="G92" s="170">
        <v>5</v>
      </c>
      <c r="H92" s="170">
        <v>3</v>
      </c>
      <c r="I92" s="25">
        <f t="shared" si="2"/>
        <v>18</v>
      </c>
    </row>
    <row r="93" spans="1:9" ht="18" customHeight="1">
      <c r="A93" s="59">
        <v>83</v>
      </c>
      <c r="B93" s="171" t="s">
        <v>359</v>
      </c>
      <c r="C93" s="172" t="s">
        <v>244</v>
      </c>
      <c r="D93" s="170">
        <v>5</v>
      </c>
      <c r="E93" s="170">
        <v>3</v>
      </c>
      <c r="F93" s="170">
        <v>5</v>
      </c>
      <c r="G93" s="170">
        <v>5</v>
      </c>
      <c r="H93" s="170">
        <v>3</v>
      </c>
      <c r="I93" s="25">
        <f t="shared" si="2"/>
        <v>21</v>
      </c>
    </row>
    <row r="94" spans="1:9" ht="18" customHeight="1">
      <c r="A94" s="59">
        <v>84</v>
      </c>
      <c r="B94" s="171" t="s">
        <v>360</v>
      </c>
      <c r="C94" s="172" t="s">
        <v>233</v>
      </c>
      <c r="D94" s="170">
        <v>5</v>
      </c>
      <c r="E94" s="170">
        <v>3</v>
      </c>
      <c r="F94" s="170">
        <v>4</v>
      </c>
      <c r="G94" s="170">
        <v>4</v>
      </c>
      <c r="H94" s="170">
        <v>3</v>
      </c>
      <c r="I94" s="25">
        <f t="shared" si="2"/>
        <v>19</v>
      </c>
    </row>
    <row r="95" spans="1:9" ht="18" customHeight="1">
      <c r="A95" s="59">
        <v>85</v>
      </c>
      <c r="B95" s="171" t="s">
        <v>361</v>
      </c>
      <c r="C95" s="172" t="s">
        <v>212</v>
      </c>
      <c r="D95" s="170">
        <v>3</v>
      </c>
      <c r="E95" s="170">
        <v>5</v>
      </c>
      <c r="F95" s="170">
        <v>4</v>
      </c>
      <c r="G95" s="170">
        <v>5</v>
      </c>
      <c r="H95" s="170">
        <v>3</v>
      </c>
      <c r="I95" s="25">
        <f t="shared" si="2"/>
        <v>20</v>
      </c>
    </row>
    <row r="96" spans="1:9" ht="18" customHeight="1">
      <c r="A96" s="59">
        <v>86</v>
      </c>
      <c r="B96" s="171" t="s">
        <v>362</v>
      </c>
      <c r="C96" s="172" t="s">
        <v>363</v>
      </c>
      <c r="D96" s="170">
        <v>3</v>
      </c>
      <c r="E96" s="170">
        <v>4</v>
      </c>
      <c r="F96" s="170">
        <v>4</v>
      </c>
      <c r="G96" s="170">
        <v>5</v>
      </c>
      <c r="H96" s="170">
        <v>4</v>
      </c>
      <c r="I96" s="25">
        <f t="shared" si="2"/>
        <v>20</v>
      </c>
    </row>
    <row r="97" spans="1:9" ht="18" customHeight="1">
      <c r="A97" s="59">
        <v>87</v>
      </c>
      <c r="B97" s="171" t="s">
        <v>364</v>
      </c>
      <c r="C97" s="172" t="s">
        <v>197</v>
      </c>
      <c r="D97" s="170">
        <v>3</v>
      </c>
      <c r="E97" s="170">
        <v>4</v>
      </c>
      <c r="F97" s="170">
        <v>5</v>
      </c>
      <c r="G97" s="170">
        <v>4</v>
      </c>
      <c r="H97" s="170">
        <v>5</v>
      </c>
      <c r="I97" s="25">
        <f t="shared" si="2"/>
        <v>21</v>
      </c>
    </row>
    <row r="98" spans="1:9" ht="18" customHeight="1">
      <c r="A98" s="59">
        <v>88</v>
      </c>
      <c r="B98" s="171" t="s">
        <v>365</v>
      </c>
      <c r="C98" s="172" t="s">
        <v>366</v>
      </c>
      <c r="D98" s="170">
        <v>3</v>
      </c>
      <c r="E98" s="170">
        <v>4</v>
      </c>
      <c r="F98" s="170">
        <v>4</v>
      </c>
      <c r="G98" s="170">
        <v>4</v>
      </c>
      <c r="H98" s="170">
        <v>3</v>
      </c>
      <c r="I98" s="25">
        <f t="shared" si="2"/>
        <v>18</v>
      </c>
    </row>
    <row r="99" spans="1:9" ht="18" customHeight="1">
      <c r="A99" s="59">
        <v>89</v>
      </c>
      <c r="B99" s="171" t="s">
        <v>367</v>
      </c>
      <c r="C99" s="172" t="s">
        <v>158</v>
      </c>
      <c r="D99" s="170">
        <v>4</v>
      </c>
      <c r="E99" s="170">
        <v>5</v>
      </c>
      <c r="F99" s="170">
        <v>3</v>
      </c>
      <c r="G99" s="170">
        <v>5</v>
      </c>
      <c r="H99" s="170">
        <v>3</v>
      </c>
      <c r="I99" s="25">
        <f t="shared" si="2"/>
        <v>20</v>
      </c>
    </row>
    <row r="100" spans="1:9" ht="18" customHeight="1">
      <c r="A100" s="59">
        <v>90</v>
      </c>
      <c r="B100" s="171" t="s">
        <v>368</v>
      </c>
      <c r="C100" s="172" t="s">
        <v>180</v>
      </c>
      <c r="D100" s="170">
        <v>5</v>
      </c>
      <c r="E100" s="170">
        <v>2</v>
      </c>
      <c r="F100" s="170">
        <v>3</v>
      </c>
      <c r="G100" s="170">
        <v>2</v>
      </c>
      <c r="H100" s="170">
        <v>4</v>
      </c>
      <c r="I100" s="25">
        <f t="shared" si="2"/>
        <v>16</v>
      </c>
    </row>
    <row r="101" spans="1:9" ht="18" customHeight="1">
      <c r="A101" s="59">
        <v>91</v>
      </c>
      <c r="B101" s="171" t="s">
        <v>369</v>
      </c>
      <c r="C101" s="172" t="s">
        <v>243</v>
      </c>
      <c r="D101" s="170">
        <v>3</v>
      </c>
      <c r="E101" s="170">
        <v>5</v>
      </c>
      <c r="F101" s="170">
        <v>3</v>
      </c>
      <c r="G101" s="170">
        <v>3</v>
      </c>
      <c r="H101" s="170">
        <v>5</v>
      </c>
      <c r="I101" s="25">
        <f t="shared" si="2"/>
        <v>19</v>
      </c>
    </row>
    <row r="102" spans="1:9" ht="18" customHeight="1">
      <c r="A102" s="59">
        <v>92</v>
      </c>
      <c r="B102" s="171" t="s">
        <v>370</v>
      </c>
      <c r="C102" s="172" t="s">
        <v>151</v>
      </c>
      <c r="D102" s="170">
        <v>3</v>
      </c>
      <c r="E102" s="170">
        <v>4</v>
      </c>
      <c r="F102" s="170">
        <v>2</v>
      </c>
      <c r="G102" s="170">
        <v>3</v>
      </c>
      <c r="H102" s="170">
        <v>3</v>
      </c>
      <c r="I102" s="25">
        <f t="shared" si="2"/>
        <v>15</v>
      </c>
    </row>
    <row r="103" spans="1:9" ht="18" customHeight="1">
      <c r="A103" s="59">
        <v>93</v>
      </c>
      <c r="B103" s="171" t="s">
        <v>371</v>
      </c>
      <c r="C103" s="172" t="s">
        <v>208</v>
      </c>
      <c r="D103" s="170">
        <v>4</v>
      </c>
      <c r="E103" s="170">
        <v>4</v>
      </c>
      <c r="F103" s="170">
        <v>3</v>
      </c>
      <c r="G103" s="170">
        <v>4</v>
      </c>
      <c r="H103" s="170">
        <v>4</v>
      </c>
      <c r="I103" s="25">
        <f t="shared" si="2"/>
        <v>19</v>
      </c>
    </row>
    <row r="104" spans="1:9" ht="18" customHeight="1">
      <c r="A104" s="59">
        <v>94</v>
      </c>
      <c r="B104" s="171" t="s">
        <v>372</v>
      </c>
      <c r="C104" s="172" t="s">
        <v>373</v>
      </c>
      <c r="D104" s="170">
        <v>5</v>
      </c>
      <c r="E104" s="170">
        <v>4</v>
      </c>
      <c r="F104" s="170">
        <v>5</v>
      </c>
      <c r="G104" s="170">
        <v>5</v>
      </c>
      <c r="H104" s="170">
        <v>4</v>
      </c>
      <c r="I104" s="25">
        <f t="shared" si="2"/>
        <v>23</v>
      </c>
    </row>
    <row r="105" spans="1:9" ht="18" customHeight="1">
      <c r="A105" s="59">
        <v>95</v>
      </c>
      <c r="B105" s="171" t="s">
        <v>374</v>
      </c>
      <c r="C105" s="172" t="s">
        <v>248</v>
      </c>
      <c r="D105" s="170">
        <v>3</v>
      </c>
      <c r="E105" s="170">
        <v>4</v>
      </c>
      <c r="F105" s="170">
        <v>3</v>
      </c>
      <c r="G105" s="170">
        <v>5</v>
      </c>
      <c r="H105" s="170">
        <v>5</v>
      </c>
      <c r="I105" s="25">
        <f t="shared" si="2"/>
        <v>20</v>
      </c>
    </row>
    <row r="106" spans="1:9" ht="18" customHeight="1">
      <c r="A106" s="59">
        <v>96</v>
      </c>
      <c r="B106" s="171" t="s">
        <v>375</v>
      </c>
      <c r="C106" s="172" t="s">
        <v>376</v>
      </c>
      <c r="D106" s="170">
        <v>4</v>
      </c>
      <c r="E106" s="170">
        <v>4</v>
      </c>
      <c r="F106" s="170">
        <v>4</v>
      </c>
      <c r="G106" s="170">
        <v>5</v>
      </c>
      <c r="H106" s="170">
        <v>5</v>
      </c>
      <c r="I106" s="25">
        <f t="shared" si="2"/>
        <v>22</v>
      </c>
    </row>
    <row r="107" spans="1:9" ht="18" customHeight="1">
      <c r="A107" s="59">
        <v>97</v>
      </c>
      <c r="B107" s="171" t="s">
        <v>377</v>
      </c>
      <c r="C107" s="172" t="s">
        <v>184</v>
      </c>
      <c r="D107" s="170">
        <v>4</v>
      </c>
      <c r="E107" s="170">
        <v>5</v>
      </c>
      <c r="F107" s="170">
        <v>5</v>
      </c>
      <c r="G107" s="170">
        <v>5</v>
      </c>
      <c r="H107" s="170">
        <v>4</v>
      </c>
      <c r="I107" s="25">
        <f t="shared" ref="I107:I138" si="3">IF(E107&lt;&gt;"AB",SUM(D107:H107),"AB")</f>
        <v>23</v>
      </c>
    </row>
    <row r="108" spans="1:9" ht="18" customHeight="1">
      <c r="A108" s="59">
        <v>98</v>
      </c>
      <c r="B108" s="171" t="s">
        <v>378</v>
      </c>
      <c r="C108" s="172" t="s">
        <v>250</v>
      </c>
      <c r="D108" s="170">
        <v>5</v>
      </c>
      <c r="E108" s="170">
        <v>3</v>
      </c>
      <c r="F108" s="170">
        <v>5</v>
      </c>
      <c r="G108" s="170">
        <v>5</v>
      </c>
      <c r="H108" s="170">
        <v>3</v>
      </c>
      <c r="I108" s="25">
        <f t="shared" si="3"/>
        <v>21</v>
      </c>
    </row>
    <row r="109" spans="1:9" ht="18" customHeight="1">
      <c r="A109" s="59">
        <v>99</v>
      </c>
      <c r="B109" s="171" t="s">
        <v>379</v>
      </c>
      <c r="C109" s="172" t="s">
        <v>182</v>
      </c>
      <c r="D109" s="170">
        <v>5</v>
      </c>
      <c r="E109" s="170">
        <v>4</v>
      </c>
      <c r="F109" s="170">
        <v>2</v>
      </c>
      <c r="G109" s="170">
        <v>2</v>
      </c>
      <c r="H109" s="170">
        <v>3</v>
      </c>
      <c r="I109" s="25">
        <f t="shared" si="3"/>
        <v>16</v>
      </c>
    </row>
    <row r="110" spans="1:9" ht="18" customHeight="1">
      <c r="A110" s="59">
        <v>100</v>
      </c>
      <c r="B110" s="171" t="s">
        <v>380</v>
      </c>
      <c r="C110" s="172" t="s">
        <v>381</v>
      </c>
      <c r="D110" s="170">
        <v>4</v>
      </c>
      <c r="E110" s="170">
        <v>5</v>
      </c>
      <c r="F110" s="170">
        <v>4</v>
      </c>
      <c r="G110" s="170">
        <v>5</v>
      </c>
      <c r="H110" s="170">
        <v>4</v>
      </c>
      <c r="I110" s="25">
        <f t="shared" si="3"/>
        <v>22</v>
      </c>
    </row>
    <row r="111" spans="1:9" ht="18" customHeight="1">
      <c r="A111" s="59">
        <v>101</v>
      </c>
      <c r="B111" s="171" t="s">
        <v>382</v>
      </c>
      <c r="C111" s="172" t="s">
        <v>198</v>
      </c>
      <c r="D111" s="170">
        <v>3</v>
      </c>
      <c r="E111" s="170">
        <v>3</v>
      </c>
      <c r="F111" s="170">
        <v>5</v>
      </c>
      <c r="G111" s="170">
        <v>4</v>
      </c>
      <c r="H111" s="170">
        <v>4</v>
      </c>
      <c r="I111" s="25">
        <f t="shared" si="3"/>
        <v>19</v>
      </c>
    </row>
    <row r="112" spans="1:9" ht="18" customHeight="1">
      <c r="A112" s="59">
        <v>102</v>
      </c>
      <c r="B112" s="171" t="s">
        <v>383</v>
      </c>
      <c r="C112" s="172" t="s">
        <v>384</v>
      </c>
      <c r="D112" s="170">
        <v>3</v>
      </c>
      <c r="E112" s="170">
        <v>5</v>
      </c>
      <c r="F112" s="170">
        <v>4</v>
      </c>
      <c r="G112" s="170">
        <v>5</v>
      </c>
      <c r="H112" s="170">
        <v>3</v>
      </c>
      <c r="I112" s="25">
        <f t="shared" si="3"/>
        <v>20</v>
      </c>
    </row>
    <row r="113" spans="1:14" ht="18" customHeight="1">
      <c r="A113" s="59">
        <v>103</v>
      </c>
      <c r="B113" s="171" t="s">
        <v>385</v>
      </c>
      <c r="C113" s="172" t="s">
        <v>165</v>
      </c>
      <c r="D113" s="170">
        <v>4</v>
      </c>
      <c r="E113" s="170">
        <v>3</v>
      </c>
      <c r="F113" s="170">
        <v>3</v>
      </c>
      <c r="G113" s="170">
        <v>4</v>
      </c>
      <c r="H113" s="170">
        <v>3</v>
      </c>
      <c r="I113" s="25">
        <f t="shared" si="3"/>
        <v>17</v>
      </c>
    </row>
    <row r="114" spans="1:14" ht="18" customHeight="1">
      <c r="A114" s="59">
        <v>104</v>
      </c>
      <c r="B114" s="171" t="s">
        <v>386</v>
      </c>
      <c r="C114" s="172" t="s">
        <v>215</v>
      </c>
      <c r="D114" s="170">
        <v>4</v>
      </c>
      <c r="E114" s="170">
        <v>3</v>
      </c>
      <c r="F114" s="170">
        <v>4</v>
      </c>
      <c r="G114" s="170">
        <v>5</v>
      </c>
      <c r="H114" s="170">
        <v>3</v>
      </c>
      <c r="I114" s="25">
        <f t="shared" si="3"/>
        <v>19</v>
      </c>
    </row>
    <row r="115" spans="1:14" ht="18" customHeight="1">
      <c r="A115" s="59">
        <v>105</v>
      </c>
      <c r="B115" s="171" t="s">
        <v>387</v>
      </c>
      <c r="C115" s="172" t="s">
        <v>227</v>
      </c>
      <c r="D115" s="170">
        <v>3</v>
      </c>
      <c r="E115" s="170">
        <v>5</v>
      </c>
      <c r="F115" s="170">
        <v>4</v>
      </c>
      <c r="G115" s="170">
        <v>4</v>
      </c>
      <c r="H115" s="170">
        <v>5</v>
      </c>
      <c r="I115" s="25">
        <f t="shared" si="3"/>
        <v>21</v>
      </c>
    </row>
    <row r="116" spans="1:14" ht="18" customHeight="1">
      <c r="A116" s="59">
        <v>106</v>
      </c>
      <c r="B116" s="171" t="s">
        <v>388</v>
      </c>
      <c r="C116" s="172" t="s">
        <v>205</v>
      </c>
      <c r="D116" s="170">
        <v>3</v>
      </c>
      <c r="E116" s="170">
        <v>3</v>
      </c>
      <c r="F116" s="170">
        <v>4</v>
      </c>
      <c r="G116" s="170">
        <v>5</v>
      </c>
      <c r="H116" s="170">
        <v>4</v>
      </c>
      <c r="I116" s="25">
        <f t="shared" si="3"/>
        <v>19</v>
      </c>
    </row>
    <row r="117" spans="1:14" ht="18" customHeight="1">
      <c r="A117" s="59">
        <v>107</v>
      </c>
      <c r="B117" s="171" t="s">
        <v>389</v>
      </c>
      <c r="C117" s="172" t="s">
        <v>390</v>
      </c>
      <c r="D117" s="170">
        <v>3</v>
      </c>
      <c r="E117" s="170">
        <v>4</v>
      </c>
      <c r="F117" s="170">
        <v>4</v>
      </c>
      <c r="G117" s="170">
        <v>5</v>
      </c>
      <c r="H117" s="170">
        <v>3</v>
      </c>
      <c r="I117" s="25">
        <f t="shared" si="3"/>
        <v>19</v>
      </c>
    </row>
    <row r="118" spans="1:14" ht="18" customHeight="1">
      <c r="A118" s="59">
        <v>108</v>
      </c>
      <c r="B118" s="171" t="s">
        <v>391</v>
      </c>
      <c r="C118" s="172" t="s">
        <v>207</v>
      </c>
      <c r="D118" s="170">
        <v>5</v>
      </c>
      <c r="E118" s="170">
        <v>5</v>
      </c>
      <c r="F118" s="170">
        <v>4</v>
      </c>
      <c r="G118" s="170">
        <v>3</v>
      </c>
      <c r="H118" s="170">
        <v>5</v>
      </c>
      <c r="I118" s="25">
        <f t="shared" si="3"/>
        <v>22</v>
      </c>
    </row>
    <row r="119" spans="1:14" ht="15.75" customHeight="1">
      <c r="A119" s="167">
        <v>109</v>
      </c>
      <c r="B119" s="171" t="s">
        <v>392</v>
      </c>
      <c r="C119" s="172" t="s">
        <v>232</v>
      </c>
      <c r="D119" s="170">
        <v>4</v>
      </c>
      <c r="E119" s="170">
        <v>4</v>
      </c>
      <c r="F119" s="170">
        <v>5</v>
      </c>
      <c r="G119" s="170">
        <v>5</v>
      </c>
      <c r="H119" s="170">
        <v>2</v>
      </c>
      <c r="I119" s="25">
        <f t="shared" si="3"/>
        <v>20</v>
      </c>
    </row>
    <row r="120" spans="1:14" ht="15.75" customHeight="1">
      <c r="A120" s="167">
        <v>110</v>
      </c>
      <c r="B120" s="171" t="s">
        <v>393</v>
      </c>
      <c r="C120" s="172" t="s">
        <v>394</v>
      </c>
      <c r="D120" s="170">
        <v>3</v>
      </c>
      <c r="E120" s="170">
        <v>4</v>
      </c>
      <c r="F120" s="170">
        <v>3</v>
      </c>
      <c r="G120" s="170">
        <v>4</v>
      </c>
      <c r="H120" s="170">
        <v>3</v>
      </c>
      <c r="I120" s="25">
        <f t="shared" si="3"/>
        <v>17</v>
      </c>
      <c r="J120"/>
      <c r="K120"/>
      <c r="L120"/>
      <c r="M120"/>
      <c r="N120"/>
    </row>
    <row r="121" spans="1:14" ht="15.75" customHeight="1">
      <c r="A121" s="167">
        <v>111</v>
      </c>
      <c r="B121" s="171" t="s">
        <v>395</v>
      </c>
      <c r="C121" s="172" t="s">
        <v>194</v>
      </c>
      <c r="D121" s="170">
        <v>5</v>
      </c>
      <c r="E121" s="170">
        <v>4</v>
      </c>
      <c r="F121" s="170">
        <v>4</v>
      </c>
      <c r="G121" s="170">
        <v>4</v>
      </c>
      <c r="H121" s="170">
        <v>4</v>
      </c>
      <c r="I121" s="25">
        <f t="shared" si="3"/>
        <v>21</v>
      </c>
      <c r="J121"/>
      <c r="K121"/>
      <c r="L121"/>
      <c r="M121"/>
      <c r="N121"/>
    </row>
    <row r="122" spans="1:14" ht="15.75" customHeight="1">
      <c r="A122"/>
      <c r="B122" s="175"/>
      <c r="C122" s="175"/>
      <c r="D122" s="176" t="str">
        <f>D10</f>
        <v>CO1</v>
      </c>
      <c r="E122" s="176" t="str">
        <f t="shared" ref="E122:H122" si="4">E10</f>
        <v>CO2</v>
      </c>
      <c r="F122" s="176" t="str">
        <f t="shared" si="4"/>
        <v>CO3</v>
      </c>
      <c r="G122" s="176" t="str">
        <f t="shared" si="4"/>
        <v>CO4</v>
      </c>
      <c r="H122" s="176" t="str">
        <f t="shared" si="4"/>
        <v>CO5</v>
      </c>
      <c r="I122"/>
      <c r="J122"/>
      <c r="K122"/>
      <c r="L122"/>
      <c r="M122"/>
      <c r="N122" s="68"/>
    </row>
    <row r="123" spans="1:14" ht="15.75" customHeight="1">
      <c r="A123"/>
      <c r="B123" s="177">
        <v>1</v>
      </c>
      <c r="C123" s="178" t="s">
        <v>26</v>
      </c>
      <c r="D123" s="176">
        <f t="shared" ref="D123:H123" si="5">IFERROR(COUNT(D11:D121),"NA")</f>
        <v>111</v>
      </c>
      <c r="E123" s="176">
        <f t="shared" si="5"/>
        <v>111</v>
      </c>
      <c r="F123" s="176">
        <f t="shared" si="5"/>
        <v>111</v>
      </c>
      <c r="G123" s="176">
        <f t="shared" si="5"/>
        <v>111</v>
      </c>
      <c r="H123" s="176">
        <f t="shared" si="5"/>
        <v>111</v>
      </c>
      <c r="I123"/>
      <c r="J123"/>
      <c r="K123"/>
      <c r="L123"/>
      <c r="M123"/>
      <c r="N123" s="68"/>
    </row>
    <row r="124" spans="1:14" ht="15.75" customHeight="1">
      <c r="A124"/>
      <c r="B124" s="179">
        <v>2</v>
      </c>
      <c r="C124" s="180" t="str">
        <f>CONCATENATE("No of students more than ",70, "% = (x1)")</f>
        <v>No of students more than 70% = (x1)</v>
      </c>
      <c r="D124" s="176">
        <f>COUNTIF(D11:D121,"&gt;="&amp;D9*70%)</f>
        <v>66</v>
      </c>
      <c r="E124" s="176">
        <f t="shared" ref="E124:H124" si="6">COUNTIF(E11:E121,"&gt;="&amp;E9*70%)</f>
        <v>73</v>
      </c>
      <c r="F124" s="176">
        <f t="shared" si="6"/>
        <v>62</v>
      </c>
      <c r="G124" s="176">
        <f t="shared" si="6"/>
        <v>77</v>
      </c>
      <c r="H124" s="176">
        <f t="shared" si="6"/>
        <v>67</v>
      </c>
      <c r="I124"/>
      <c r="J124"/>
      <c r="K124"/>
      <c r="L124"/>
      <c r="M124"/>
      <c r="N124"/>
    </row>
    <row r="125" spans="1:14" ht="15.75" customHeight="1">
      <c r="A125" s="70"/>
      <c r="B125" s="177">
        <v>3</v>
      </c>
      <c r="C125" s="181" t="str">
        <f>CONCATENATE("No of students between 70 and ",60, "% = (x2)")</f>
        <v>No of students between 70 and 60% = (x2)</v>
      </c>
      <c r="D125" s="176">
        <f>COUNTIFS(D11:D121,"&gt;="&amp;D9*60%,D11:D121,"&lt;"&amp;D9*70%)</f>
        <v>39</v>
      </c>
      <c r="E125" s="176">
        <f t="shared" ref="E125:H125" si="7">COUNTIFS(E11:E121,"&gt;="&amp;E9*60%,E11:E121,"&lt;"&amp;E9*70%)</f>
        <v>32</v>
      </c>
      <c r="F125" s="176">
        <f t="shared" si="7"/>
        <v>38</v>
      </c>
      <c r="G125" s="176">
        <f t="shared" si="7"/>
        <v>25</v>
      </c>
      <c r="H125" s="176">
        <f t="shared" si="7"/>
        <v>37</v>
      </c>
      <c r="J125" s="70"/>
      <c r="K125"/>
      <c r="L125" s="70"/>
      <c r="N125"/>
    </row>
    <row r="126" spans="1:14" ht="15.75" customHeight="1">
      <c r="B126" s="177">
        <v>4</v>
      </c>
      <c r="C126" s="182" t="str">
        <f>CONCATENATE("No of students between 60 and ",50, "% = (x3)")</f>
        <v>No of students between 60 and 50% = (x3)</v>
      </c>
      <c r="D126" s="176">
        <f>COUNTIFS(D11:D121,"&gt;="&amp;D9*50%,D11:D121,"&lt;"&amp;D9*60%)</f>
        <v>0</v>
      </c>
      <c r="E126" s="176">
        <f t="shared" ref="E126:H126" si="8">COUNTIFS(E11:E121,"&gt;="&amp;E9*50%,E11:E121,"&lt;"&amp;E9*60%)</f>
        <v>0</v>
      </c>
      <c r="F126" s="176">
        <f t="shared" si="8"/>
        <v>0</v>
      </c>
      <c r="G126" s="176">
        <f t="shared" si="8"/>
        <v>0</v>
      </c>
      <c r="H126" s="176">
        <f t="shared" si="8"/>
        <v>0</v>
      </c>
    </row>
    <row r="127" spans="1:14" ht="15.75" customHeight="1">
      <c r="B127" s="177">
        <v>5</v>
      </c>
      <c r="C127" s="183" t="s">
        <v>396</v>
      </c>
      <c r="D127" s="176">
        <f>COUNTIFS(D11:D121,"&gt;="&amp;D9*40%,D11:D121,"&lt;"&amp;D9*50%)</f>
        <v>6</v>
      </c>
      <c r="E127" s="176">
        <f t="shared" ref="E127:H127" si="9">COUNTIFS(E11:E121,"&gt;="&amp;E9*40%,E11:E121,"&lt;"&amp;E9*50%)</f>
        <v>6</v>
      </c>
      <c r="F127" s="176">
        <f t="shared" si="9"/>
        <v>11</v>
      </c>
      <c r="G127" s="176">
        <f t="shared" si="9"/>
        <v>9</v>
      </c>
      <c r="H127" s="176">
        <f t="shared" si="9"/>
        <v>7</v>
      </c>
    </row>
    <row r="128" spans="1:14" ht="15.75" customHeight="1">
      <c r="B128" s="177">
        <v>6</v>
      </c>
      <c r="C128" s="184" t="s">
        <v>397</v>
      </c>
      <c r="D128" s="176">
        <f>COUNTIF(D11:D121,"&lt;"&amp;D9*40%)</f>
        <v>0</v>
      </c>
      <c r="E128" s="176">
        <f t="shared" ref="E128:H128" si="10">COUNTIF(E11:E121,"&lt;"&amp;E9*40%)</f>
        <v>0</v>
      </c>
      <c r="F128" s="176">
        <f t="shared" si="10"/>
        <v>0</v>
      </c>
      <c r="G128" s="176">
        <f t="shared" si="10"/>
        <v>0</v>
      </c>
      <c r="H128" s="176">
        <f t="shared" si="10"/>
        <v>0</v>
      </c>
    </row>
    <row r="129" spans="2:8" ht="15.75" customHeight="1">
      <c r="B129" s="187">
        <v>7</v>
      </c>
      <c r="C129" s="178" t="s">
        <v>29</v>
      </c>
      <c r="D129" s="188">
        <f t="shared" ref="D129:H129" si="11">(D124*3+D125*2+D126*1)/(COUNT(D8:D121)*3)*100</f>
        <v>82.142857142857139</v>
      </c>
      <c r="E129" s="188">
        <f t="shared" si="11"/>
        <v>84.226190476190482</v>
      </c>
      <c r="F129" s="188">
        <f t="shared" si="11"/>
        <v>77.976190476190482</v>
      </c>
      <c r="G129" s="188">
        <f t="shared" si="11"/>
        <v>83.63095238095238</v>
      </c>
      <c r="H129" s="188">
        <f t="shared" si="11"/>
        <v>81.845238095238088</v>
      </c>
    </row>
    <row r="130" spans="2:8" ht="15.75" customHeight="1">
      <c r="B130" s="177">
        <v>8</v>
      </c>
      <c r="C130" s="186" t="s">
        <v>398</v>
      </c>
      <c r="D130" s="176">
        <f t="shared" ref="D130:H130" si="12">IF(D129&lt;&gt;"NA",IF(D129&gt;=70,3,IF(D129&gt;=60,2,IF(D129&gt;=50,1,"0"))),"NA")</f>
        <v>3</v>
      </c>
      <c r="E130" s="176">
        <f t="shared" si="12"/>
        <v>3</v>
      </c>
      <c r="F130" s="176">
        <f t="shared" si="12"/>
        <v>3</v>
      </c>
      <c r="G130" s="176">
        <f t="shared" si="12"/>
        <v>3</v>
      </c>
      <c r="H130" s="176">
        <f t="shared" si="12"/>
        <v>3</v>
      </c>
    </row>
  </sheetData>
  <sortState ref="A11:I201">
    <sortCondition ref="B11:B201"/>
  </sortState>
  <mergeCells count="13">
    <mergeCell ref="A1:I1"/>
    <mergeCell ref="A2:I2"/>
    <mergeCell ref="A3:I3"/>
    <mergeCell ref="A4:I4"/>
    <mergeCell ref="A7:A10"/>
    <mergeCell ref="B7:B10"/>
    <mergeCell ref="I9:I10"/>
    <mergeCell ref="A5:I5"/>
    <mergeCell ref="A6:B6"/>
    <mergeCell ref="I7:I8"/>
    <mergeCell ref="D6:I6"/>
    <mergeCell ref="D7:H7"/>
    <mergeCell ref="C7:C8"/>
  </mergeCells>
  <pageMargins left="0.7" right="0.7" top="0.75" bottom="0.75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0"/>
  <sheetViews>
    <sheetView topLeftCell="A118" workbookViewId="0">
      <selection activeCell="I10" sqref="I10"/>
    </sheetView>
  </sheetViews>
  <sheetFormatPr defaultColWidth="12.7109375" defaultRowHeight="15.75" customHeight="1"/>
  <cols>
    <col min="1" max="1" width="9.28515625" style="1" customWidth="1"/>
    <col min="2" max="2" width="18.28515625" style="1" customWidth="1"/>
    <col min="3" max="3" width="44.28515625" style="42" bestFit="1" customWidth="1"/>
    <col min="4" max="13" width="7.7109375" style="42" customWidth="1"/>
    <col min="14" max="14" width="15.28515625" style="43" customWidth="1"/>
    <col min="15" max="16384" width="12.7109375" style="7"/>
  </cols>
  <sheetData>
    <row r="1" spans="1:14" ht="21" customHeight="1">
      <c r="A1" s="214" t="s">
        <v>94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</row>
    <row r="2" spans="1:14" ht="25.15" customHeight="1">
      <c r="A2" s="215" t="s">
        <v>95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</row>
    <row r="3" spans="1:14" ht="21.6" customHeight="1">
      <c r="A3" s="216" t="s">
        <v>96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</row>
    <row r="4" spans="1:14" ht="19.899999999999999" customHeight="1">
      <c r="A4" s="216" t="s">
        <v>9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</row>
    <row r="5" spans="1:14" s="29" customFormat="1" ht="32.450000000000003" customHeight="1">
      <c r="A5" s="295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7"/>
    </row>
    <row r="6" spans="1:14" s="29" customFormat="1" ht="36" customHeight="1">
      <c r="A6" s="298" t="str">
        <f>CONCATENATE(Class," ", spl)</f>
        <v xml:space="preserve">MCA I SEM I AY 2023-24 </v>
      </c>
      <c r="B6" s="298"/>
      <c r="C6" s="103" t="str">
        <f>CONCATENATE("Name of Faculty: ", Faculty)</f>
        <v>Name of Faculty: Narsareddy Chude, Sonali Late</v>
      </c>
      <c r="D6" s="290" t="str">
        <f>CONCATENATE("Course Name: ", Sub_Code)</f>
        <v>Course Name: Java Programming</v>
      </c>
      <c r="E6" s="293"/>
      <c r="F6" s="293"/>
      <c r="G6" s="293"/>
      <c r="H6" s="293"/>
      <c r="I6" s="293"/>
      <c r="J6" s="293"/>
      <c r="K6" s="293"/>
      <c r="L6" s="293"/>
      <c r="M6" s="293"/>
      <c r="N6" s="291"/>
    </row>
    <row r="7" spans="1:14" ht="18" customHeight="1">
      <c r="A7" s="286" t="s">
        <v>0</v>
      </c>
      <c r="B7" s="286" t="s">
        <v>6</v>
      </c>
      <c r="C7" s="280" t="s">
        <v>1</v>
      </c>
      <c r="D7" s="294" t="s">
        <v>125</v>
      </c>
      <c r="E7" s="294"/>
      <c r="F7" s="294"/>
      <c r="G7" s="294"/>
      <c r="H7" s="294"/>
      <c r="I7" s="294"/>
      <c r="J7" s="294"/>
      <c r="K7" s="294"/>
      <c r="L7" s="294"/>
      <c r="M7" s="294"/>
      <c r="N7" s="292" t="s">
        <v>50</v>
      </c>
    </row>
    <row r="8" spans="1:14" ht="18" customHeight="1">
      <c r="A8" s="287"/>
      <c r="B8" s="287"/>
      <c r="C8" s="281"/>
      <c r="D8" s="108" t="s">
        <v>133</v>
      </c>
      <c r="E8" s="108" t="s">
        <v>134</v>
      </c>
      <c r="F8" s="108" t="s">
        <v>135</v>
      </c>
      <c r="G8" s="108" t="s">
        <v>136</v>
      </c>
      <c r="H8" s="108" t="s">
        <v>137</v>
      </c>
      <c r="I8" s="108"/>
      <c r="J8" s="108"/>
      <c r="K8" s="108"/>
      <c r="L8" s="108"/>
      <c r="M8" s="108"/>
      <c r="N8" s="292"/>
    </row>
    <row r="9" spans="1:14" ht="18" customHeight="1">
      <c r="A9" s="287"/>
      <c r="B9" s="287"/>
      <c r="C9" s="72" t="s">
        <v>93</v>
      </c>
      <c r="D9" s="107" t="s">
        <v>2</v>
      </c>
      <c r="E9" s="107" t="s">
        <v>3</v>
      </c>
      <c r="F9" s="107" t="s">
        <v>4</v>
      </c>
      <c r="G9" s="107" t="s">
        <v>10</v>
      </c>
      <c r="H9" s="107" t="s">
        <v>12</v>
      </c>
      <c r="I9" s="109"/>
      <c r="J9" s="109"/>
      <c r="K9" s="109"/>
      <c r="L9" s="109"/>
      <c r="M9" s="109"/>
      <c r="N9" s="265" t="e">
        <f>D9+E9+F9+G9+H9+I9+J9+K9+L9+M9</f>
        <v>#VALUE!</v>
      </c>
    </row>
    <row r="10" spans="1:14" ht="18" customHeight="1">
      <c r="A10" s="288"/>
      <c r="B10" s="289"/>
      <c r="C10" s="72" t="s">
        <v>138</v>
      </c>
      <c r="D10" s="107">
        <v>10</v>
      </c>
      <c r="E10" s="107">
        <v>10</v>
      </c>
      <c r="F10" s="107">
        <v>10</v>
      </c>
      <c r="G10" s="107">
        <v>10</v>
      </c>
      <c r="H10" s="107">
        <v>10</v>
      </c>
      <c r="I10" s="107"/>
      <c r="J10" s="107"/>
      <c r="K10" s="107"/>
      <c r="L10" s="107"/>
      <c r="M10" s="107"/>
      <c r="N10" s="266"/>
    </row>
    <row r="11" spans="1:14" ht="18" customHeight="1">
      <c r="A11" s="104">
        <v>1</v>
      </c>
      <c r="B11" s="171" t="s">
        <v>258</v>
      </c>
      <c r="C11" s="172" t="s">
        <v>150</v>
      </c>
      <c r="D11" s="170">
        <v>8</v>
      </c>
      <c r="E11" s="170">
        <v>8</v>
      </c>
      <c r="F11" s="170">
        <v>8</v>
      </c>
      <c r="G11" s="170">
        <v>5</v>
      </c>
      <c r="H11" s="170">
        <v>8</v>
      </c>
      <c r="I11" s="140"/>
      <c r="J11" s="140"/>
      <c r="K11" s="140"/>
      <c r="L11" s="140"/>
      <c r="M11" s="140"/>
      <c r="N11" s="25">
        <f t="shared" ref="N11:N74" si="0">IF(D11&lt;&gt;"AB",SUM(D11:M11),"AB")</f>
        <v>37</v>
      </c>
    </row>
    <row r="12" spans="1:14" ht="18" customHeight="1">
      <c r="A12" s="104">
        <v>2</v>
      </c>
      <c r="B12" s="171" t="s">
        <v>259</v>
      </c>
      <c r="C12" s="172" t="s">
        <v>260</v>
      </c>
      <c r="D12" s="170">
        <v>5</v>
      </c>
      <c r="E12" s="170">
        <v>8</v>
      </c>
      <c r="F12" s="170">
        <v>8</v>
      </c>
      <c r="G12" s="170">
        <v>6</v>
      </c>
      <c r="H12" s="170">
        <v>8</v>
      </c>
      <c r="I12" s="140"/>
      <c r="J12" s="140"/>
      <c r="K12" s="140"/>
      <c r="L12" s="140"/>
      <c r="M12" s="140"/>
      <c r="N12" s="25">
        <f t="shared" si="0"/>
        <v>35</v>
      </c>
    </row>
    <row r="13" spans="1:14" ht="18" customHeight="1">
      <c r="A13" s="104">
        <v>3</v>
      </c>
      <c r="B13" s="171" t="s">
        <v>261</v>
      </c>
      <c r="C13" s="172" t="s">
        <v>196</v>
      </c>
      <c r="D13" s="170">
        <v>5</v>
      </c>
      <c r="E13" s="170">
        <v>8</v>
      </c>
      <c r="F13" s="170">
        <v>6</v>
      </c>
      <c r="G13" s="170">
        <v>5</v>
      </c>
      <c r="H13" s="170">
        <v>5</v>
      </c>
      <c r="I13" s="140"/>
      <c r="J13" s="140"/>
      <c r="K13" s="140"/>
      <c r="L13" s="140"/>
      <c r="M13" s="140"/>
      <c r="N13" s="25">
        <f t="shared" si="0"/>
        <v>29</v>
      </c>
    </row>
    <row r="14" spans="1:14" ht="18" customHeight="1">
      <c r="A14" s="104">
        <v>4</v>
      </c>
      <c r="B14" s="171" t="s">
        <v>262</v>
      </c>
      <c r="C14" s="172" t="s">
        <v>225</v>
      </c>
      <c r="D14" s="170">
        <v>8</v>
      </c>
      <c r="E14" s="170">
        <v>8</v>
      </c>
      <c r="F14" s="170">
        <v>6</v>
      </c>
      <c r="G14" s="170">
        <v>3</v>
      </c>
      <c r="H14" s="170">
        <v>6</v>
      </c>
      <c r="I14" s="140"/>
      <c r="J14" s="140"/>
      <c r="K14" s="140"/>
      <c r="L14" s="140"/>
      <c r="M14" s="140"/>
      <c r="N14" s="25">
        <f t="shared" si="0"/>
        <v>31</v>
      </c>
    </row>
    <row r="15" spans="1:14" ht="18" customHeight="1">
      <c r="A15" s="104">
        <v>5</v>
      </c>
      <c r="B15" s="171" t="s">
        <v>263</v>
      </c>
      <c r="C15" s="172" t="s">
        <v>206</v>
      </c>
      <c r="D15" s="170">
        <v>8</v>
      </c>
      <c r="E15" s="170">
        <v>5</v>
      </c>
      <c r="F15" s="170">
        <v>5</v>
      </c>
      <c r="G15" s="170">
        <v>6</v>
      </c>
      <c r="H15" s="170">
        <v>3</v>
      </c>
      <c r="I15" s="140"/>
      <c r="J15" s="140"/>
      <c r="K15" s="140"/>
      <c r="L15" s="140"/>
      <c r="M15" s="140"/>
      <c r="N15" s="25">
        <f t="shared" si="0"/>
        <v>27</v>
      </c>
    </row>
    <row r="16" spans="1:14" ht="18" customHeight="1">
      <c r="A16" s="104">
        <v>6</v>
      </c>
      <c r="B16" s="171" t="s">
        <v>264</v>
      </c>
      <c r="C16" s="172" t="s">
        <v>216</v>
      </c>
      <c r="D16" s="170">
        <v>8</v>
      </c>
      <c r="E16" s="170">
        <v>8</v>
      </c>
      <c r="F16" s="170">
        <v>8</v>
      </c>
      <c r="G16" s="170">
        <v>6</v>
      </c>
      <c r="H16" s="170">
        <v>3</v>
      </c>
      <c r="I16" s="140"/>
      <c r="J16" s="140"/>
      <c r="K16" s="140"/>
      <c r="L16" s="140"/>
      <c r="M16" s="140"/>
      <c r="N16" s="25">
        <f t="shared" si="0"/>
        <v>33</v>
      </c>
    </row>
    <row r="17" spans="1:14" ht="18" customHeight="1">
      <c r="A17" s="104">
        <v>7</v>
      </c>
      <c r="B17" s="171" t="s">
        <v>265</v>
      </c>
      <c r="C17" s="172" t="s">
        <v>188</v>
      </c>
      <c r="D17" s="170">
        <v>8</v>
      </c>
      <c r="E17" s="170">
        <v>8</v>
      </c>
      <c r="F17" s="170">
        <v>8</v>
      </c>
      <c r="G17" s="170">
        <v>8</v>
      </c>
      <c r="H17" s="170">
        <v>8</v>
      </c>
      <c r="I17" s="140"/>
      <c r="J17" s="140"/>
      <c r="K17" s="140"/>
      <c r="L17" s="140"/>
      <c r="M17" s="140"/>
      <c r="N17" s="25">
        <f t="shared" si="0"/>
        <v>40</v>
      </c>
    </row>
    <row r="18" spans="1:14" ht="18" customHeight="1">
      <c r="A18" s="104">
        <v>8</v>
      </c>
      <c r="B18" s="171" t="s">
        <v>266</v>
      </c>
      <c r="C18" s="172" t="s">
        <v>176</v>
      </c>
      <c r="D18" s="170">
        <v>6</v>
      </c>
      <c r="E18" s="170">
        <v>8</v>
      </c>
      <c r="F18" s="170">
        <v>8</v>
      </c>
      <c r="G18" s="170">
        <v>8</v>
      </c>
      <c r="H18" s="170">
        <v>3</v>
      </c>
      <c r="I18" s="140"/>
      <c r="J18" s="140"/>
      <c r="K18" s="140"/>
      <c r="L18" s="140"/>
      <c r="M18" s="140"/>
      <c r="N18" s="25">
        <f t="shared" si="0"/>
        <v>33</v>
      </c>
    </row>
    <row r="19" spans="1:14" ht="18" customHeight="1">
      <c r="A19" s="104">
        <v>9</v>
      </c>
      <c r="B19" s="171" t="s">
        <v>267</v>
      </c>
      <c r="C19" s="172" t="s">
        <v>172</v>
      </c>
      <c r="D19" s="170">
        <v>5</v>
      </c>
      <c r="E19" s="170">
        <v>8</v>
      </c>
      <c r="F19" s="170">
        <v>3</v>
      </c>
      <c r="G19" s="170">
        <v>8</v>
      </c>
      <c r="H19" s="170">
        <v>8</v>
      </c>
      <c r="I19" s="140"/>
      <c r="J19" s="140"/>
      <c r="K19" s="140"/>
      <c r="L19" s="140"/>
      <c r="M19" s="140"/>
      <c r="N19" s="25">
        <f t="shared" si="0"/>
        <v>32</v>
      </c>
    </row>
    <row r="20" spans="1:14" ht="18" customHeight="1">
      <c r="A20" s="104">
        <v>10</v>
      </c>
      <c r="B20" s="171" t="s">
        <v>268</v>
      </c>
      <c r="C20" s="172" t="s">
        <v>235</v>
      </c>
      <c r="D20" s="170">
        <v>4</v>
      </c>
      <c r="E20" s="170">
        <v>8</v>
      </c>
      <c r="F20" s="170">
        <v>6</v>
      </c>
      <c r="G20" s="170">
        <v>8</v>
      </c>
      <c r="H20" s="170">
        <v>8</v>
      </c>
      <c r="I20" s="140"/>
      <c r="J20" s="140"/>
      <c r="K20" s="140"/>
      <c r="L20" s="140"/>
      <c r="M20" s="140"/>
      <c r="N20" s="25">
        <f t="shared" si="0"/>
        <v>34</v>
      </c>
    </row>
    <row r="21" spans="1:14" ht="18" customHeight="1">
      <c r="A21" s="104">
        <v>11</v>
      </c>
      <c r="B21" s="171" t="s">
        <v>269</v>
      </c>
      <c r="C21" s="172" t="s">
        <v>203</v>
      </c>
      <c r="D21" s="170">
        <v>6</v>
      </c>
      <c r="E21" s="170">
        <v>8</v>
      </c>
      <c r="F21" s="170">
        <v>6</v>
      </c>
      <c r="G21" s="170">
        <v>8</v>
      </c>
      <c r="H21" s="170">
        <v>8</v>
      </c>
      <c r="I21" s="140"/>
      <c r="J21" s="140"/>
      <c r="K21" s="140"/>
      <c r="L21" s="140"/>
      <c r="M21" s="140"/>
      <c r="N21" s="25">
        <f t="shared" si="0"/>
        <v>36</v>
      </c>
    </row>
    <row r="22" spans="1:14" ht="18" customHeight="1">
      <c r="A22" s="104">
        <v>12</v>
      </c>
      <c r="B22" s="171" t="s">
        <v>270</v>
      </c>
      <c r="C22" s="172" t="s">
        <v>240</v>
      </c>
      <c r="D22" s="170">
        <v>8</v>
      </c>
      <c r="E22" s="170">
        <v>6</v>
      </c>
      <c r="F22" s="170">
        <v>7</v>
      </c>
      <c r="G22" s="170">
        <v>6</v>
      </c>
      <c r="H22" s="170">
        <v>7</v>
      </c>
      <c r="I22" s="140"/>
      <c r="J22" s="140"/>
      <c r="K22" s="140"/>
      <c r="L22" s="140"/>
      <c r="M22" s="140"/>
      <c r="N22" s="25">
        <f t="shared" si="0"/>
        <v>34</v>
      </c>
    </row>
    <row r="23" spans="1:14" ht="18" customHeight="1">
      <c r="A23" s="104">
        <v>13</v>
      </c>
      <c r="B23" s="171" t="s">
        <v>271</v>
      </c>
      <c r="C23" s="172" t="s">
        <v>249</v>
      </c>
      <c r="D23" s="170">
        <v>5</v>
      </c>
      <c r="E23" s="170">
        <v>6</v>
      </c>
      <c r="F23" s="170">
        <v>8</v>
      </c>
      <c r="G23" s="170">
        <v>6</v>
      </c>
      <c r="H23" s="170">
        <v>8</v>
      </c>
      <c r="I23" s="140"/>
      <c r="J23" s="140"/>
      <c r="K23" s="140"/>
      <c r="L23" s="140"/>
      <c r="M23" s="140"/>
      <c r="N23" s="25">
        <f t="shared" si="0"/>
        <v>33</v>
      </c>
    </row>
    <row r="24" spans="1:14" ht="18" customHeight="1">
      <c r="A24" s="104">
        <v>14</v>
      </c>
      <c r="B24" s="171" t="s">
        <v>272</v>
      </c>
      <c r="C24" s="172" t="s">
        <v>226</v>
      </c>
      <c r="D24" s="170">
        <v>7</v>
      </c>
      <c r="E24" s="170">
        <v>8</v>
      </c>
      <c r="F24" s="170">
        <v>8</v>
      </c>
      <c r="G24" s="170">
        <v>8</v>
      </c>
      <c r="H24" s="170">
        <v>7</v>
      </c>
      <c r="I24" s="140"/>
      <c r="J24" s="140"/>
      <c r="K24" s="140"/>
      <c r="L24" s="140"/>
      <c r="M24" s="140"/>
      <c r="N24" s="25">
        <f t="shared" si="0"/>
        <v>38</v>
      </c>
    </row>
    <row r="25" spans="1:14" ht="18" customHeight="1">
      <c r="A25" s="104">
        <v>15</v>
      </c>
      <c r="B25" s="171" t="s">
        <v>273</v>
      </c>
      <c r="C25" s="172" t="s">
        <v>224</v>
      </c>
      <c r="D25" s="170">
        <v>7</v>
      </c>
      <c r="E25" s="170">
        <v>6</v>
      </c>
      <c r="F25" s="170">
        <v>6</v>
      </c>
      <c r="G25" s="170">
        <v>8</v>
      </c>
      <c r="H25" s="170">
        <v>6</v>
      </c>
      <c r="I25" s="140"/>
      <c r="J25" s="140"/>
      <c r="K25" s="140"/>
      <c r="L25" s="140"/>
      <c r="M25" s="140"/>
      <c r="N25" s="25">
        <f t="shared" si="0"/>
        <v>33</v>
      </c>
    </row>
    <row r="26" spans="1:14" ht="18" customHeight="1">
      <c r="A26" s="104">
        <v>16</v>
      </c>
      <c r="B26" s="171" t="s">
        <v>274</v>
      </c>
      <c r="C26" s="172" t="s">
        <v>154</v>
      </c>
      <c r="D26" s="170">
        <v>6</v>
      </c>
      <c r="E26" s="170">
        <v>8</v>
      </c>
      <c r="F26" s="170">
        <v>7</v>
      </c>
      <c r="G26" s="170">
        <v>8</v>
      </c>
      <c r="H26" s="170">
        <v>8</v>
      </c>
      <c r="I26" s="140"/>
      <c r="J26" s="140"/>
      <c r="K26" s="140"/>
      <c r="L26" s="140"/>
      <c r="M26" s="140"/>
      <c r="N26" s="25">
        <f t="shared" si="0"/>
        <v>37</v>
      </c>
    </row>
    <row r="27" spans="1:14" ht="18" customHeight="1">
      <c r="A27" s="104">
        <v>17</v>
      </c>
      <c r="B27" s="171" t="s">
        <v>275</v>
      </c>
      <c r="C27" s="172" t="s">
        <v>217</v>
      </c>
      <c r="D27" s="170">
        <v>6</v>
      </c>
      <c r="E27" s="170">
        <v>6</v>
      </c>
      <c r="F27" s="170">
        <v>8</v>
      </c>
      <c r="G27" s="170">
        <v>8</v>
      </c>
      <c r="H27" s="170">
        <v>6</v>
      </c>
      <c r="I27" s="140"/>
      <c r="J27" s="140"/>
      <c r="K27" s="140"/>
      <c r="L27" s="140"/>
      <c r="M27" s="140"/>
      <c r="N27" s="25">
        <f t="shared" si="0"/>
        <v>34</v>
      </c>
    </row>
    <row r="28" spans="1:14" ht="18" customHeight="1">
      <c r="A28" s="104">
        <v>18</v>
      </c>
      <c r="B28" s="171" t="s">
        <v>276</v>
      </c>
      <c r="C28" s="172" t="s">
        <v>214</v>
      </c>
      <c r="D28" s="170">
        <v>5</v>
      </c>
      <c r="E28" s="170">
        <v>7</v>
      </c>
      <c r="F28" s="170">
        <v>8</v>
      </c>
      <c r="G28" s="170">
        <v>8</v>
      </c>
      <c r="H28" s="170">
        <v>6</v>
      </c>
      <c r="I28" s="140"/>
      <c r="J28" s="140"/>
      <c r="K28" s="140"/>
      <c r="L28" s="140"/>
      <c r="M28" s="140"/>
      <c r="N28" s="25">
        <f t="shared" si="0"/>
        <v>34</v>
      </c>
    </row>
    <row r="29" spans="1:14" ht="18" customHeight="1">
      <c r="A29" s="104">
        <v>19</v>
      </c>
      <c r="B29" s="171" t="s">
        <v>277</v>
      </c>
      <c r="C29" s="172" t="s">
        <v>200</v>
      </c>
      <c r="D29" s="170">
        <v>5</v>
      </c>
      <c r="E29" s="170">
        <v>7</v>
      </c>
      <c r="F29" s="170">
        <v>8</v>
      </c>
      <c r="G29" s="170">
        <v>8</v>
      </c>
      <c r="H29" s="170">
        <v>7</v>
      </c>
      <c r="I29" s="140"/>
      <c r="J29" s="140"/>
      <c r="K29" s="140"/>
      <c r="L29" s="140"/>
      <c r="M29" s="140"/>
      <c r="N29" s="25">
        <f t="shared" si="0"/>
        <v>35</v>
      </c>
    </row>
    <row r="30" spans="1:14" ht="18" customHeight="1">
      <c r="A30" s="104">
        <v>20</v>
      </c>
      <c r="B30" s="171" t="s">
        <v>278</v>
      </c>
      <c r="C30" s="172" t="s">
        <v>209</v>
      </c>
      <c r="D30" s="170">
        <v>7</v>
      </c>
      <c r="E30" s="170">
        <v>8</v>
      </c>
      <c r="F30" s="170">
        <v>6</v>
      </c>
      <c r="G30" s="170">
        <v>7</v>
      </c>
      <c r="H30" s="170">
        <v>6</v>
      </c>
      <c r="I30" s="140"/>
      <c r="J30" s="140"/>
      <c r="K30" s="140"/>
      <c r="L30" s="140"/>
      <c r="M30" s="140"/>
      <c r="N30" s="25">
        <f t="shared" si="0"/>
        <v>34</v>
      </c>
    </row>
    <row r="31" spans="1:14" ht="18" customHeight="1">
      <c r="A31" s="104">
        <v>21</v>
      </c>
      <c r="B31" s="171" t="s">
        <v>279</v>
      </c>
      <c r="C31" s="172" t="s">
        <v>228</v>
      </c>
      <c r="D31" s="170">
        <v>8</v>
      </c>
      <c r="E31" s="170">
        <v>8</v>
      </c>
      <c r="F31" s="170">
        <v>7</v>
      </c>
      <c r="G31" s="170">
        <v>4</v>
      </c>
      <c r="H31" s="170">
        <v>8</v>
      </c>
      <c r="I31" s="140"/>
      <c r="J31" s="140"/>
      <c r="K31" s="140"/>
      <c r="L31" s="140"/>
      <c r="M31" s="140"/>
      <c r="N31" s="25">
        <f t="shared" si="0"/>
        <v>35</v>
      </c>
    </row>
    <row r="32" spans="1:14" ht="18" customHeight="1">
      <c r="A32" s="104">
        <v>22</v>
      </c>
      <c r="B32" s="171" t="s">
        <v>280</v>
      </c>
      <c r="C32" s="172" t="s">
        <v>281</v>
      </c>
      <c r="D32" s="170">
        <v>7</v>
      </c>
      <c r="E32" s="170">
        <v>7</v>
      </c>
      <c r="F32" s="170">
        <v>7</v>
      </c>
      <c r="G32" s="170">
        <v>8</v>
      </c>
      <c r="H32" s="170">
        <v>7</v>
      </c>
      <c r="I32" s="140"/>
      <c r="J32" s="140"/>
      <c r="K32" s="140"/>
      <c r="L32" s="140"/>
      <c r="M32" s="140"/>
      <c r="N32" s="25">
        <f t="shared" si="0"/>
        <v>36</v>
      </c>
    </row>
    <row r="33" spans="1:14" ht="18" customHeight="1">
      <c r="A33" s="104">
        <v>23</v>
      </c>
      <c r="B33" s="171" t="s">
        <v>282</v>
      </c>
      <c r="C33" s="172" t="s">
        <v>164</v>
      </c>
      <c r="D33" s="170">
        <v>6</v>
      </c>
      <c r="E33" s="170">
        <v>7</v>
      </c>
      <c r="F33" s="170">
        <v>6</v>
      </c>
      <c r="G33" s="170">
        <v>8</v>
      </c>
      <c r="H33" s="170">
        <v>8</v>
      </c>
      <c r="I33" s="140"/>
      <c r="J33" s="140"/>
      <c r="K33" s="140"/>
      <c r="L33" s="140"/>
      <c r="M33" s="140"/>
      <c r="N33" s="25">
        <f t="shared" si="0"/>
        <v>35</v>
      </c>
    </row>
    <row r="34" spans="1:14" ht="18" customHeight="1">
      <c r="A34" s="104">
        <v>24</v>
      </c>
      <c r="B34" s="171" t="s">
        <v>283</v>
      </c>
      <c r="C34" s="172" t="s">
        <v>152</v>
      </c>
      <c r="D34" s="170">
        <v>8</v>
      </c>
      <c r="E34" s="170">
        <v>7</v>
      </c>
      <c r="F34" s="170">
        <v>7</v>
      </c>
      <c r="G34" s="170">
        <v>4</v>
      </c>
      <c r="H34" s="170">
        <v>7</v>
      </c>
      <c r="I34" s="140"/>
      <c r="J34" s="140"/>
      <c r="K34" s="140"/>
      <c r="L34" s="140"/>
      <c r="M34" s="140"/>
      <c r="N34" s="25">
        <f t="shared" si="0"/>
        <v>33</v>
      </c>
    </row>
    <row r="35" spans="1:14" ht="18" customHeight="1">
      <c r="A35" s="104">
        <v>25</v>
      </c>
      <c r="B35" s="171" t="s">
        <v>284</v>
      </c>
      <c r="C35" s="172" t="s">
        <v>285</v>
      </c>
      <c r="D35" s="170">
        <v>7</v>
      </c>
      <c r="E35" s="170">
        <v>7</v>
      </c>
      <c r="F35" s="170">
        <v>6</v>
      </c>
      <c r="G35" s="170">
        <v>7</v>
      </c>
      <c r="H35" s="170">
        <v>8</v>
      </c>
      <c r="I35" s="140"/>
      <c r="J35" s="140"/>
      <c r="K35" s="140"/>
      <c r="L35" s="140"/>
      <c r="M35" s="140"/>
      <c r="N35" s="25">
        <f t="shared" si="0"/>
        <v>35</v>
      </c>
    </row>
    <row r="36" spans="1:14" ht="18" customHeight="1">
      <c r="A36" s="104">
        <v>26</v>
      </c>
      <c r="B36" s="171" t="s">
        <v>286</v>
      </c>
      <c r="C36" s="172" t="s">
        <v>287</v>
      </c>
      <c r="D36" s="170">
        <v>8</v>
      </c>
      <c r="E36" s="170">
        <v>8</v>
      </c>
      <c r="F36" s="170">
        <v>7</v>
      </c>
      <c r="G36" s="170">
        <v>8</v>
      </c>
      <c r="H36" s="170">
        <v>8</v>
      </c>
      <c r="I36" s="140"/>
      <c r="J36" s="140"/>
      <c r="K36" s="140"/>
      <c r="L36" s="140"/>
      <c r="M36" s="140"/>
      <c r="N36" s="25">
        <f t="shared" si="0"/>
        <v>39</v>
      </c>
    </row>
    <row r="37" spans="1:14" ht="18" customHeight="1">
      <c r="A37" s="104">
        <v>27</v>
      </c>
      <c r="B37" s="171" t="s">
        <v>288</v>
      </c>
      <c r="C37" s="172" t="s">
        <v>189</v>
      </c>
      <c r="D37" s="170">
        <v>5</v>
      </c>
      <c r="E37" s="170">
        <v>8</v>
      </c>
      <c r="F37" s="170">
        <v>8</v>
      </c>
      <c r="G37" s="170">
        <v>8</v>
      </c>
      <c r="H37" s="170">
        <v>8</v>
      </c>
      <c r="I37" s="140"/>
      <c r="J37" s="140"/>
      <c r="K37" s="140"/>
      <c r="L37" s="140"/>
      <c r="M37" s="140"/>
      <c r="N37" s="25">
        <f t="shared" si="0"/>
        <v>37</v>
      </c>
    </row>
    <row r="38" spans="1:14" ht="18" customHeight="1">
      <c r="A38" s="104">
        <v>28</v>
      </c>
      <c r="B38" s="171" t="s">
        <v>289</v>
      </c>
      <c r="C38" s="172" t="s">
        <v>218</v>
      </c>
      <c r="D38" s="170">
        <v>6</v>
      </c>
      <c r="E38" s="170">
        <v>7</v>
      </c>
      <c r="F38" s="170">
        <v>6</v>
      </c>
      <c r="G38" s="170">
        <v>8</v>
      </c>
      <c r="H38" s="170">
        <v>7</v>
      </c>
      <c r="I38" s="140"/>
      <c r="J38" s="140"/>
      <c r="K38" s="140"/>
      <c r="L38" s="140"/>
      <c r="M38" s="140"/>
      <c r="N38" s="25">
        <f t="shared" si="0"/>
        <v>34</v>
      </c>
    </row>
    <row r="39" spans="1:14" ht="18" customHeight="1">
      <c r="A39" s="104">
        <v>29</v>
      </c>
      <c r="B39" s="171" t="s">
        <v>290</v>
      </c>
      <c r="C39" s="172" t="s">
        <v>155</v>
      </c>
      <c r="D39" s="170">
        <v>7</v>
      </c>
      <c r="E39" s="170">
        <v>4</v>
      </c>
      <c r="F39" s="170">
        <v>6</v>
      </c>
      <c r="G39" s="170">
        <v>7</v>
      </c>
      <c r="H39" s="170">
        <v>7</v>
      </c>
      <c r="I39" s="140"/>
      <c r="J39" s="140"/>
      <c r="K39" s="140"/>
      <c r="L39" s="140"/>
      <c r="M39" s="140"/>
      <c r="N39" s="25">
        <f t="shared" si="0"/>
        <v>31</v>
      </c>
    </row>
    <row r="40" spans="1:14" ht="18" customHeight="1">
      <c r="A40" s="104">
        <v>30</v>
      </c>
      <c r="B40" s="171" t="s">
        <v>291</v>
      </c>
      <c r="C40" s="172" t="s">
        <v>253</v>
      </c>
      <c r="D40" s="170">
        <v>6</v>
      </c>
      <c r="E40" s="170">
        <v>8</v>
      </c>
      <c r="F40" s="170">
        <v>6</v>
      </c>
      <c r="G40" s="170">
        <v>6</v>
      </c>
      <c r="H40" s="170">
        <v>7</v>
      </c>
      <c r="I40" s="140"/>
      <c r="J40" s="140"/>
      <c r="K40" s="140"/>
      <c r="L40" s="140"/>
      <c r="M40" s="140"/>
      <c r="N40" s="25">
        <f t="shared" si="0"/>
        <v>33</v>
      </c>
    </row>
    <row r="41" spans="1:14" ht="18" customHeight="1">
      <c r="A41" s="104">
        <v>31</v>
      </c>
      <c r="B41" s="171" t="s">
        <v>292</v>
      </c>
      <c r="C41" s="172" t="s">
        <v>293</v>
      </c>
      <c r="D41" s="170">
        <v>7</v>
      </c>
      <c r="E41" s="170">
        <v>7</v>
      </c>
      <c r="F41" s="170">
        <v>7</v>
      </c>
      <c r="G41" s="170">
        <v>7</v>
      </c>
      <c r="H41" s="170">
        <v>8</v>
      </c>
      <c r="I41" s="140"/>
      <c r="J41" s="140"/>
      <c r="K41" s="140"/>
      <c r="L41" s="140"/>
      <c r="M41" s="140"/>
      <c r="N41" s="25">
        <f t="shared" si="0"/>
        <v>36</v>
      </c>
    </row>
    <row r="42" spans="1:14" ht="18" customHeight="1">
      <c r="A42" s="104">
        <v>32</v>
      </c>
      <c r="B42" s="171" t="s">
        <v>294</v>
      </c>
      <c r="C42" s="172" t="s">
        <v>160</v>
      </c>
      <c r="D42" s="170">
        <v>8</v>
      </c>
      <c r="E42" s="170">
        <v>6</v>
      </c>
      <c r="F42" s="170">
        <v>8</v>
      </c>
      <c r="G42" s="170">
        <v>7</v>
      </c>
      <c r="H42" s="170">
        <v>6</v>
      </c>
      <c r="I42" s="140"/>
      <c r="J42" s="140"/>
      <c r="K42" s="140"/>
      <c r="L42" s="140"/>
      <c r="M42" s="140"/>
      <c r="N42" s="25">
        <f t="shared" si="0"/>
        <v>35</v>
      </c>
    </row>
    <row r="43" spans="1:14" ht="18" customHeight="1">
      <c r="A43" s="104">
        <v>33</v>
      </c>
      <c r="B43" s="171" t="s">
        <v>295</v>
      </c>
      <c r="C43" s="172" t="s">
        <v>148</v>
      </c>
      <c r="D43" s="170">
        <v>7</v>
      </c>
      <c r="E43" s="170">
        <v>8</v>
      </c>
      <c r="F43" s="170">
        <v>8</v>
      </c>
      <c r="G43" s="170">
        <v>7</v>
      </c>
      <c r="H43" s="170">
        <v>6</v>
      </c>
      <c r="I43" s="140"/>
      <c r="J43" s="140"/>
      <c r="K43" s="140"/>
      <c r="L43" s="140"/>
      <c r="M43" s="140"/>
      <c r="N43" s="25">
        <f t="shared" si="0"/>
        <v>36</v>
      </c>
    </row>
    <row r="44" spans="1:14" ht="18" customHeight="1">
      <c r="A44" s="104">
        <v>34</v>
      </c>
      <c r="B44" s="171" t="s">
        <v>296</v>
      </c>
      <c r="C44" s="172" t="s">
        <v>183</v>
      </c>
      <c r="D44" s="170">
        <v>7</v>
      </c>
      <c r="E44" s="170">
        <v>8</v>
      </c>
      <c r="F44" s="170">
        <v>7</v>
      </c>
      <c r="G44" s="170">
        <v>8</v>
      </c>
      <c r="H44" s="170">
        <v>7</v>
      </c>
      <c r="I44" s="140"/>
      <c r="J44" s="140"/>
      <c r="K44" s="140"/>
      <c r="L44" s="140"/>
      <c r="M44" s="140"/>
      <c r="N44" s="25">
        <f t="shared" si="0"/>
        <v>37</v>
      </c>
    </row>
    <row r="45" spans="1:14" ht="18" customHeight="1">
      <c r="A45" s="104">
        <v>35</v>
      </c>
      <c r="B45" s="171" t="s">
        <v>297</v>
      </c>
      <c r="C45" s="172" t="s">
        <v>159</v>
      </c>
      <c r="D45" s="170">
        <v>6</v>
      </c>
      <c r="E45" s="170">
        <v>8</v>
      </c>
      <c r="F45" s="170">
        <v>8</v>
      </c>
      <c r="G45" s="170">
        <v>7</v>
      </c>
      <c r="H45" s="170">
        <v>8</v>
      </c>
      <c r="I45" s="140"/>
      <c r="J45" s="140"/>
      <c r="K45" s="140"/>
      <c r="L45" s="140"/>
      <c r="M45" s="140"/>
      <c r="N45" s="25">
        <f t="shared" si="0"/>
        <v>37</v>
      </c>
    </row>
    <row r="46" spans="1:14" ht="18" customHeight="1">
      <c r="A46" s="104">
        <v>36</v>
      </c>
      <c r="B46" s="171" t="s">
        <v>298</v>
      </c>
      <c r="C46" s="172" t="s">
        <v>299</v>
      </c>
      <c r="D46" s="170">
        <v>7</v>
      </c>
      <c r="E46" s="170">
        <v>8</v>
      </c>
      <c r="F46" s="170">
        <v>8</v>
      </c>
      <c r="G46" s="170">
        <v>8</v>
      </c>
      <c r="H46" s="170">
        <v>8</v>
      </c>
      <c r="I46" s="140"/>
      <c r="J46" s="140"/>
      <c r="K46" s="140"/>
      <c r="L46" s="140"/>
      <c r="M46" s="140"/>
      <c r="N46" s="25">
        <f t="shared" si="0"/>
        <v>39</v>
      </c>
    </row>
    <row r="47" spans="1:14" ht="18" customHeight="1">
      <c r="A47" s="104">
        <v>37</v>
      </c>
      <c r="B47" s="171" t="s">
        <v>300</v>
      </c>
      <c r="C47" s="172" t="s">
        <v>177</v>
      </c>
      <c r="D47" s="170">
        <v>7</v>
      </c>
      <c r="E47" s="170">
        <v>7</v>
      </c>
      <c r="F47" s="170">
        <v>7</v>
      </c>
      <c r="G47" s="170">
        <v>6</v>
      </c>
      <c r="H47" s="170">
        <v>7</v>
      </c>
      <c r="I47" s="140"/>
      <c r="J47" s="140"/>
      <c r="K47" s="140"/>
      <c r="L47" s="140"/>
      <c r="M47" s="140"/>
      <c r="N47" s="25">
        <f t="shared" si="0"/>
        <v>34</v>
      </c>
    </row>
    <row r="48" spans="1:14" ht="18" customHeight="1">
      <c r="A48" s="104">
        <v>38</v>
      </c>
      <c r="B48" s="171" t="s">
        <v>301</v>
      </c>
      <c r="C48" s="172" t="s">
        <v>302</v>
      </c>
      <c r="D48" s="170">
        <v>8</v>
      </c>
      <c r="E48" s="170">
        <v>7</v>
      </c>
      <c r="F48" s="170">
        <v>8</v>
      </c>
      <c r="G48" s="170">
        <v>7</v>
      </c>
      <c r="H48" s="170">
        <v>8</v>
      </c>
      <c r="I48" s="140"/>
      <c r="J48" s="140"/>
      <c r="K48" s="140"/>
      <c r="L48" s="140"/>
      <c r="M48" s="140"/>
      <c r="N48" s="25">
        <f t="shared" si="0"/>
        <v>38</v>
      </c>
    </row>
    <row r="49" spans="1:14" ht="18" customHeight="1">
      <c r="A49" s="104">
        <v>39</v>
      </c>
      <c r="B49" s="171" t="s">
        <v>303</v>
      </c>
      <c r="C49" s="172" t="s">
        <v>156</v>
      </c>
      <c r="D49" s="170">
        <v>7</v>
      </c>
      <c r="E49" s="170">
        <v>8</v>
      </c>
      <c r="F49" s="170">
        <v>7</v>
      </c>
      <c r="G49" s="170">
        <v>8</v>
      </c>
      <c r="H49" s="170">
        <v>6</v>
      </c>
      <c r="I49" s="140"/>
      <c r="J49" s="140"/>
      <c r="K49" s="140"/>
      <c r="L49" s="140"/>
      <c r="M49" s="140"/>
      <c r="N49" s="25">
        <f t="shared" si="0"/>
        <v>36</v>
      </c>
    </row>
    <row r="50" spans="1:14" ht="18" customHeight="1">
      <c r="A50" s="104">
        <v>40</v>
      </c>
      <c r="B50" s="171" t="s">
        <v>304</v>
      </c>
      <c r="C50" s="172" t="s">
        <v>178</v>
      </c>
      <c r="D50" s="170">
        <v>6</v>
      </c>
      <c r="E50" s="170">
        <v>7</v>
      </c>
      <c r="F50" s="170">
        <v>8</v>
      </c>
      <c r="G50" s="170">
        <v>7</v>
      </c>
      <c r="H50" s="170">
        <v>7</v>
      </c>
      <c r="I50" s="140"/>
      <c r="J50" s="140"/>
      <c r="K50" s="140"/>
      <c r="L50" s="140"/>
      <c r="M50" s="140"/>
      <c r="N50" s="25">
        <f t="shared" si="0"/>
        <v>35</v>
      </c>
    </row>
    <row r="51" spans="1:14" ht="18" customHeight="1">
      <c r="A51" s="104">
        <v>41</v>
      </c>
      <c r="B51" s="171" t="s">
        <v>305</v>
      </c>
      <c r="C51" s="172" t="s">
        <v>306</v>
      </c>
      <c r="D51" s="170">
        <v>6</v>
      </c>
      <c r="E51" s="170">
        <v>8</v>
      </c>
      <c r="F51" s="170">
        <v>7</v>
      </c>
      <c r="G51" s="170">
        <v>7</v>
      </c>
      <c r="H51" s="170">
        <v>8</v>
      </c>
      <c r="I51" s="140"/>
      <c r="J51" s="140"/>
      <c r="K51" s="140"/>
      <c r="L51" s="140"/>
      <c r="M51" s="140"/>
      <c r="N51" s="25">
        <f t="shared" si="0"/>
        <v>36</v>
      </c>
    </row>
    <row r="52" spans="1:14" ht="18" customHeight="1">
      <c r="A52" s="104">
        <v>42</v>
      </c>
      <c r="B52" s="171" t="s">
        <v>307</v>
      </c>
      <c r="C52" s="172" t="s">
        <v>202</v>
      </c>
      <c r="D52" s="170">
        <v>7</v>
      </c>
      <c r="E52" s="170">
        <v>8</v>
      </c>
      <c r="F52" s="170">
        <v>6</v>
      </c>
      <c r="G52" s="170">
        <v>7</v>
      </c>
      <c r="H52" s="170">
        <v>6</v>
      </c>
      <c r="I52" s="140"/>
      <c r="J52" s="140"/>
      <c r="K52" s="140"/>
      <c r="L52" s="140"/>
      <c r="M52" s="140"/>
      <c r="N52" s="25">
        <f t="shared" si="0"/>
        <v>34</v>
      </c>
    </row>
    <row r="53" spans="1:14" ht="18" customHeight="1">
      <c r="A53" s="104">
        <v>43</v>
      </c>
      <c r="B53" s="171" t="s">
        <v>308</v>
      </c>
      <c r="C53" s="172" t="s">
        <v>162</v>
      </c>
      <c r="D53" s="170">
        <v>7</v>
      </c>
      <c r="E53" s="170">
        <v>7</v>
      </c>
      <c r="F53" s="170">
        <v>8</v>
      </c>
      <c r="G53" s="170">
        <v>7</v>
      </c>
      <c r="H53" s="170">
        <v>6</v>
      </c>
      <c r="I53" s="140"/>
      <c r="J53" s="140"/>
      <c r="K53" s="140"/>
      <c r="L53" s="140"/>
      <c r="M53" s="140"/>
      <c r="N53" s="25">
        <f t="shared" si="0"/>
        <v>35</v>
      </c>
    </row>
    <row r="54" spans="1:14" ht="18" customHeight="1">
      <c r="A54" s="104">
        <v>44</v>
      </c>
      <c r="B54" s="171" t="s">
        <v>309</v>
      </c>
      <c r="C54" s="172" t="s">
        <v>310</v>
      </c>
      <c r="D54" s="170">
        <v>8</v>
      </c>
      <c r="E54" s="170">
        <v>6</v>
      </c>
      <c r="F54" s="170">
        <v>7</v>
      </c>
      <c r="G54" s="170">
        <v>8</v>
      </c>
      <c r="H54" s="170">
        <v>6</v>
      </c>
      <c r="I54" s="140"/>
      <c r="J54" s="140"/>
      <c r="K54" s="140"/>
      <c r="L54" s="140"/>
      <c r="M54" s="140"/>
      <c r="N54" s="25">
        <f t="shared" si="0"/>
        <v>35</v>
      </c>
    </row>
    <row r="55" spans="1:14" ht="18" customHeight="1">
      <c r="A55" s="104">
        <v>45</v>
      </c>
      <c r="B55" s="171" t="s">
        <v>311</v>
      </c>
      <c r="C55" s="172" t="s">
        <v>312</v>
      </c>
      <c r="D55" s="170">
        <v>5</v>
      </c>
      <c r="E55" s="170">
        <v>6</v>
      </c>
      <c r="F55" s="170">
        <v>4</v>
      </c>
      <c r="G55" s="170">
        <v>7</v>
      </c>
      <c r="H55" s="170">
        <v>6</v>
      </c>
      <c r="I55" s="140"/>
      <c r="J55" s="140"/>
      <c r="K55" s="140"/>
      <c r="L55" s="140"/>
      <c r="M55" s="140"/>
      <c r="N55" s="25">
        <f t="shared" si="0"/>
        <v>28</v>
      </c>
    </row>
    <row r="56" spans="1:14" ht="18" customHeight="1">
      <c r="A56" s="104">
        <v>46</v>
      </c>
      <c r="B56" s="171" t="s">
        <v>313</v>
      </c>
      <c r="C56" s="172" t="s">
        <v>170</v>
      </c>
      <c r="D56" s="170">
        <v>5</v>
      </c>
      <c r="E56" s="170">
        <v>6</v>
      </c>
      <c r="F56" s="170">
        <v>8</v>
      </c>
      <c r="G56" s="170">
        <v>6</v>
      </c>
      <c r="H56" s="170">
        <v>4</v>
      </c>
      <c r="I56" s="140"/>
      <c r="J56" s="140"/>
      <c r="K56" s="140"/>
      <c r="L56" s="140"/>
      <c r="M56" s="140"/>
      <c r="N56" s="25">
        <f t="shared" si="0"/>
        <v>29</v>
      </c>
    </row>
    <row r="57" spans="1:14" ht="18" customHeight="1">
      <c r="A57" s="104">
        <v>47</v>
      </c>
      <c r="B57" s="171" t="s">
        <v>314</v>
      </c>
      <c r="C57" s="172" t="s">
        <v>315</v>
      </c>
      <c r="D57" s="170">
        <v>5</v>
      </c>
      <c r="E57" s="170">
        <v>6</v>
      </c>
      <c r="F57" s="170">
        <v>8</v>
      </c>
      <c r="G57" s="170">
        <v>6</v>
      </c>
      <c r="H57" s="170">
        <v>7</v>
      </c>
      <c r="I57" s="140"/>
      <c r="J57" s="140"/>
      <c r="K57" s="140"/>
      <c r="L57" s="140"/>
      <c r="M57" s="140"/>
      <c r="N57" s="25">
        <f t="shared" si="0"/>
        <v>32</v>
      </c>
    </row>
    <row r="58" spans="1:14" ht="18" customHeight="1">
      <c r="A58" s="104">
        <v>48</v>
      </c>
      <c r="B58" s="171" t="s">
        <v>316</v>
      </c>
      <c r="C58" s="172" t="s">
        <v>153</v>
      </c>
      <c r="D58" s="170">
        <v>5</v>
      </c>
      <c r="E58" s="170">
        <v>7</v>
      </c>
      <c r="F58" s="170">
        <v>4</v>
      </c>
      <c r="G58" s="170">
        <v>6</v>
      </c>
      <c r="H58" s="170">
        <v>7</v>
      </c>
      <c r="I58" s="140"/>
      <c r="J58" s="140"/>
      <c r="K58" s="140"/>
      <c r="L58" s="140"/>
      <c r="M58" s="140"/>
      <c r="N58" s="25">
        <f t="shared" si="0"/>
        <v>29</v>
      </c>
    </row>
    <row r="59" spans="1:14" ht="18" customHeight="1">
      <c r="A59" s="104">
        <v>49</v>
      </c>
      <c r="B59" s="171" t="s">
        <v>317</v>
      </c>
      <c r="C59" s="172" t="s">
        <v>163</v>
      </c>
      <c r="D59" s="170">
        <v>7</v>
      </c>
      <c r="E59" s="170">
        <v>8</v>
      </c>
      <c r="F59" s="170">
        <v>4</v>
      </c>
      <c r="G59" s="170">
        <v>7</v>
      </c>
      <c r="H59" s="170">
        <v>8</v>
      </c>
      <c r="I59" s="140"/>
      <c r="J59" s="140"/>
      <c r="K59" s="140"/>
      <c r="L59" s="140"/>
      <c r="M59" s="140"/>
      <c r="N59" s="25">
        <f t="shared" si="0"/>
        <v>34</v>
      </c>
    </row>
    <row r="60" spans="1:14" ht="18" customHeight="1">
      <c r="A60" s="104">
        <v>50</v>
      </c>
      <c r="B60" s="171" t="s">
        <v>318</v>
      </c>
      <c r="C60" s="172" t="s">
        <v>319</v>
      </c>
      <c r="D60" s="170">
        <v>5</v>
      </c>
      <c r="E60" s="170">
        <v>7</v>
      </c>
      <c r="F60" s="170">
        <v>7</v>
      </c>
      <c r="G60" s="170">
        <v>7</v>
      </c>
      <c r="H60" s="170">
        <v>7</v>
      </c>
      <c r="I60" s="140"/>
      <c r="J60" s="140"/>
      <c r="K60" s="140"/>
      <c r="L60" s="140"/>
      <c r="M60" s="140"/>
      <c r="N60" s="25">
        <f t="shared" si="0"/>
        <v>33</v>
      </c>
    </row>
    <row r="61" spans="1:14" ht="18" customHeight="1">
      <c r="A61" s="104">
        <v>51</v>
      </c>
      <c r="B61" s="171" t="s">
        <v>320</v>
      </c>
      <c r="C61" s="172" t="s">
        <v>236</v>
      </c>
      <c r="D61" s="170">
        <v>8</v>
      </c>
      <c r="E61" s="170">
        <v>8</v>
      </c>
      <c r="F61" s="170">
        <v>7</v>
      </c>
      <c r="G61" s="170">
        <v>8</v>
      </c>
      <c r="H61" s="170">
        <v>7</v>
      </c>
      <c r="I61" s="140"/>
      <c r="J61" s="140"/>
      <c r="K61" s="140"/>
      <c r="L61" s="140"/>
      <c r="M61" s="140"/>
      <c r="N61" s="25">
        <f t="shared" si="0"/>
        <v>38</v>
      </c>
    </row>
    <row r="62" spans="1:14" ht="18" customHeight="1">
      <c r="A62" s="104">
        <v>52</v>
      </c>
      <c r="B62" s="171" t="s">
        <v>321</v>
      </c>
      <c r="C62" s="172" t="s">
        <v>322</v>
      </c>
      <c r="D62" s="170">
        <v>7</v>
      </c>
      <c r="E62" s="170">
        <v>7</v>
      </c>
      <c r="F62" s="170">
        <v>4</v>
      </c>
      <c r="G62" s="170">
        <v>4</v>
      </c>
      <c r="H62" s="170">
        <v>8</v>
      </c>
      <c r="I62" s="140"/>
      <c r="J62" s="140"/>
      <c r="K62" s="140"/>
      <c r="L62" s="140"/>
      <c r="M62" s="140"/>
      <c r="N62" s="25">
        <f t="shared" si="0"/>
        <v>30</v>
      </c>
    </row>
    <row r="63" spans="1:14" ht="18" customHeight="1">
      <c r="A63" s="104">
        <v>53</v>
      </c>
      <c r="B63" s="171" t="s">
        <v>323</v>
      </c>
      <c r="C63" s="172" t="s">
        <v>246</v>
      </c>
      <c r="D63" s="170">
        <v>7</v>
      </c>
      <c r="E63" s="170">
        <v>7</v>
      </c>
      <c r="F63" s="170">
        <v>6</v>
      </c>
      <c r="G63" s="170">
        <v>8</v>
      </c>
      <c r="H63" s="170">
        <v>6</v>
      </c>
      <c r="I63" s="140"/>
      <c r="J63" s="140"/>
      <c r="K63" s="140"/>
      <c r="L63" s="140"/>
      <c r="M63" s="140"/>
      <c r="N63" s="25">
        <f t="shared" si="0"/>
        <v>34</v>
      </c>
    </row>
    <row r="64" spans="1:14" ht="18" customHeight="1">
      <c r="A64" s="104">
        <v>54</v>
      </c>
      <c r="B64" s="171" t="s">
        <v>324</v>
      </c>
      <c r="C64" s="172" t="s">
        <v>325</v>
      </c>
      <c r="D64" s="170">
        <v>7</v>
      </c>
      <c r="E64" s="170">
        <v>7</v>
      </c>
      <c r="F64" s="170">
        <v>7</v>
      </c>
      <c r="G64" s="170">
        <v>8</v>
      </c>
      <c r="H64" s="170">
        <v>8</v>
      </c>
      <c r="I64" s="140"/>
      <c r="J64" s="140"/>
      <c r="K64" s="140"/>
      <c r="L64" s="140"/>
      <c r="M64" s="140"/>
      <c r="N64" s="25">
        <f t="shared" si="0"/>
        <v>37</v>
      </c>
    </row>
    <row r="65" spans="1:14" ht="18" customHeight="1">
      <c r="A65" s="104">
        <v>55</v>
      </c>
      <c r="B65" s="171" t="s">
        <v>326</v>
      </c>
      <c r="C65" s="172" t="s">
        <v>327</v>
      </c>
      <c r="D65" s="170">
        <v>5</v>
      </c>
      <c r="E65" s="170">
        <v>6</v>
      </c>
      <c r="F65" s="170">
        <v>8</v>
      </c>
      <c r="G65" s="170">
        <v>8</v>
      </c>
      <c r="H65" s="170">
        <v>6</v>
      </c>
      <c r="I65" s="140"/>
      <c r="J65" s="140"/>
      <c r="K65" s="140"/>
      <c r="L65" s="140"/>
      <c r="M65" s="140"/>
      <c r="N65" s="25">
        <f t="shared" si="0"/>
        <v>33</v>
      </c>
    </row>
    <row r="66" spans="1:14" ht="18" customHeight="1">
      <c r="A66" s="104">
        <v>56</v>
      </c>
      <c r="B66" s="171" t="s">
        <v>328</v>
      </c>
      <c r="C66" s="172" t="s">
        <v>179</v>
      </c>
      <c r="D66" s="170">
        <v>7</v>
      </c>
      <c r="E66" s="170">
        <v>8</v>
      </c>
      <c r="F66" s="170">
        <v>8</v>
      </c>
      <c r="G66" s="170">
        <v>6</v>
      </c>
      <c r="H66" s="170">
        <v>6</v>
      </c>
      <c r="I66" s="140"/>
      <c r="J66" s="140"/>
      <c r="K66" s="140"/>
      <c r="L66" s="140"/>
      <c r="M66" s="140"/>
      <c r="N66" s="25">
        <f t="shared" si="0"/>
        <v>35</v>
      </c>
    </row>
    <row r="67" spans="1:14" ht="18" customHeight="1">
      <c r="A67" s="104">
        <v>57</v>
      </c>
      <c r="B67" s="171" t="s">
        <v>329</v>
      </c>
      <c r="C67" s="172" t="s">
        <v>149</v>
      </c>
      <c r="D67" s="170">
        <v>5</v>
      </c>
      <c r="E67" s="170">
        <v>7</v>
      </c>
      <c r="F67" s="170">
        <v>7</v>
      </c>
      <c r="G67" s="170">
        <v>6</v>
      </c>
      <c r="H67" s="170">
        <v>8</v>
      </c>
      <c r="I67" s="140"/>
      <c r="J67" s="140"/>
      <c r="K67" s="140"/>
      <c r="L67" s="140"/>
      <c r="M67" s="140"/>
      <c r="N67" s="25">
        <f t="shared" si="0"/>
        <v>33</v>
      </c>
    </row>
    <row r="68" spans="1:14" ht="18" customHeight="1">
      <c r="A68" s="104">
        <v>58</v>
      </c>
      <c r="B68" s="171" t="s">
        <v>330</v>
      </c>
      <c r="C68" s="172" t="s">
        <v>204</v>
      </c>
      <c r="D68" s="170">
        <v>6</v>
      </c>
      <c r="E68" s="170">
        <v>7</v>
      </c>
      <c r="F68" s="170">
        <v>6</v>
      </c>
      <c r="G68" s="170">
        <v>7</v>
      </c>
      <c r="H68" s="170">
        <v>7</v>
      </c>
      <c r="I68" s="140"/>
      <c r="J68" s="140"/>
      <c r="K68" s="140"/>
      <c r="L68" s="140"/>
      <c r="M68" s="140"/>
      <c r="N68" s="25">
        <f t="shared" si="0"/>
        <v>33</v>
      </c>
    </row>
    <row r="69" spans="1:14" ht="18" customHeight="1">
      <c r="A69" s="104">
        <v>59</v>
      </c>
      <c r="B69" s="171" t="s">
        <v>331</v>
      </c>
      <c r="C69" s="172" t="s">
        <v>238</v>
      </c>
      <c r="D69" s="170">
        <v>6</v>
      </c>
      <c r="E69" s="170">
        <v>8</v>
      </c>
      <c r="F69" s="170">
        <v>8</v>
      </c>
      <c r="G69" s="170">
        <v>7</v>
      </c>
      <c r="H69" s="170">
        <v>7</v>
      </c>
      <c r="I69" s="140"/>
      <c r="J69" s="140"/>
      <c r="K69" s="140"/>
      <c r="L69" s="140"/>
      <c r="M69" s="140"/>
      <c r="N69" s="25">
        <f t="shared" si="0"/>
        <v>36</v>
      </c>
    </row>
    <row r="70" spans="1:14" ht="18" customHeight="1">
      <c r="A70" s="104">
        <v>60</v>
      </c>
      <c r="B70" s="171" t="s">
        <v>332</v>
      </c>
      <c r="C70" s="172" t="s">
        <v>167</v>
      </c>
      <c r="D70" s="170">
        <v>5</v>
      </c>
      <c r="E70" s="170">
        <v>8</v>
      </c>
      <c r="F70" s="170">
        <v>8</v>
      </c>
      <c r="G70" s="170">
        <v>8</v>
      </c>
      <c r="H70" s="170">
        <v>8</v>
      </c>
      <c r="I70" s="140"/>
      <c r="J70" s="140"/>
      <c r="K70" s="140"/>
      <c r="L70" s="140"/>
      <c r="M70" s="140"/>
      <c r="N70" s="25">
        <f t="shared" si="0"/>
        <v>37</v>
      </c>
    </row>
    <row r="71" spans="1:14" ht="18" customHeight="1">
      <c r="A71" s="104">
        <v>61</v>
      </c>
      <c r="B71" s="171" t="s">
        <v>333</v>
      </c>
      <c r="C71" s="172" t="s">
        <v>247</v>
      </c>
      <c r="D71" s="170">
        <v>8</v>
      </c>
      <c r="E71" s="170">
        <v>6</v>
      </c>
      <c r="F71" s="170">
        <v>8</v>
      </c>
      <c r="G71" s="170">
        <v>8</v>
      </c>
      <c r="H71" s="170">
        <v>7</v>
      </c>
      <c r="I71" s="140"/>
      <c r="J71" s="140"/>
      <c r="K71" s="140"/>
      <c r="L71" s="140"/>
      <c r="M71" s="140"/>
      <c r="N71" s="25">
        <f t="shared" si="0"/>
        <v>37</v>
      </c>
    </row>
    <row r="72" spans="1:14" ht="18" customHeight="1">
      <c r="A72" s="104">
        <v>62</v>
      </c>
      <c r="B72" s="171" t="s">
        <v>334</v>
      </c>
      <c r="C72" s="172" t="s">
        <v>166</v>
      </c>
      <c r="D72" s="170">
        <v>8</v>
      </c>
      <c r="E72" s="170">
        <v>8</v>
      </c>
      <c r="F72" s="170">
        <v>8</v>
      </c>
      <c r="G72" s="170">
        <v>8</v>
      </c>
      <c r="H72" s="170">
        <v>8</v>
      </c>
      <c r="I72" s="140"/>
      <c r="J72" s="140"/>
      <c r="K72" s="140"/>
      <c r="L72" s="140"/>
      <c r="M72" s="140"/>
      <c r="N72" s="25">
        <f t="shared" si="0"/>
        <v>40</v>
      </c>
    </row>
    <row r="73" spans="1:14" ht="18" customHeight="1">
      <c r="A73" s="104">
        <v>63</v>
      </c>
      <c r="B73" s="171" t="s">
        <v>335</v>
      </c>
      <c r="C73" s="172" t="s">
        <v>195</v>
      </c>
      <c r="D73" s="170">
        <v>5</v>
      </c>
      <c r="E73" s="170">
        <v>8</v>
      </c>
      <c r="F73" s="170">
        <v>8</v>
      </c>
      <c r="G73" s="170">
        <v>8</v>
      </c>
      <c r="H73" s="170">
        <v>8</v>
      </c>
      <c r="I73" s="140"/>
      <c r="J73" s="140"/>
      <c r="K73" s="140"/>
      <c r="L73" s="140"/>
      <c r="M73" s="140"/>
      <c r="N73" s="25">
        <f t="shared" si="0"/>
        <v>37</v>
      </c>
    </row>
    <row r="74" spans="1:14" ht="18" customHeight="1">
      <c r="A74" s="104">
        <v>64</v>
      </c>
      <c r="B74" s="171" t="s">
        <v>336</v>
      </c>
      <c r="C74" s="172" t="s">
        <v>245</v>
      </c>
      <c r="D74" s="170">
        <v>5</v>
      </c>
      <c r="E74" s="170">
        <v>8</v>
      </c>
      <c r="F74" s="170">
        <v>8</v>
      </c>
      <c r="G74" s="170">
        <v>8</v>
      </c>
      <c r="H74" s="170">
        <v>8</v>
      </c>
      <c r="I74" s="140"/>
      <c r="J74" s="140"/>
      <c r="K74" s="140"/>
      <c r="L74" s="140"/>
      <c r="M74" s="140"/>
      <c r="N74" s="25">
        <f t="shared" si="0"/>
        <v>37</v>
      </c>
    </row>
    <row r="75" spans="1:14" ht="18" customHeight="1">
      <c r="A75" s="104">
        <v>65</v>
      </c>
      <c r="B75" s="171" t="s">
        <v>337</v>
      </c>
      <c r="C75" s="172" t="s">
        <v>174</v>
      </c>
      <c r="D75" s="170">
        <v>8</v>
      </c>
      <c r="E75" s="170">
        <v>8</v>
      </c>
      <c r="F75" s="170">
        <v>8</v>
      </c>
      <c r="G75" s="170">
        <v>7</v>
      </c>
      <c r="H75" s="170">
        <v>6</v>
      </c>
      <c r="I75" s="140"/>
      <c r="J75" s="140"/>
      <c r="K75" s="140"/>
      <c r="L75" s="140"/>
      <c r="M75" s="140"/>
      <c r="N75" s="25">
        <f t="shared" ref="N75:N118" si="1">IF(D75&lt;&gt;"AB",SUM(D75:M75),"AB")</f>
        <v>37</v>
      </c>
    </row>
    <row r="76" spans="1:14" ht="18" customHeight="1">
      <c r="A76" s="104">
        <v>66</v>
      </c>
      <c r="B76" s="171" t="s">
        <v>338</v>
      </c>
      <c r="C76" s="172" t="s">
        <v>161</v>
      </c>
      <c r="D76" s="170">
        <v>7</v>
      </c>
      <c r="E76" s="170">
        <v>8</v>
      </c>
      <c r="F76" s="170">
        <v>7</v>
      </c>
      <c r="G76" s="170">
        <v>8</v>
      </c>
      <c r="H76" s="170">
        <v>8</v>
      </c>
      <c r="I76" s="140"/>
      <c r="J76" s="140"/>
      <c r="K76" s="140"/>
      <c r="L76" s="140"/>
      <c r="M76" s="140"/>
      <c r="N76" s="25">
        <f t="shared" si="1"/>
        <v>38</v>
      </c>
    </row>
    <row r="77" spans="1:14" ht="18" customHeight="1">
      <c r="A77" s="104">
        <v>67</v>
      </c>
      <c r="B77" s="171" t="s">
        <v>339</v>
      </c>
      <c r="C77" s="172" t="s">
        <v>229</v>
      </c>
      <c r="D77" s="170">
        <v>8</v>
      </c>
      <c r="E77" s="170">
        <v>8</v>
      </c>
      <c r="F77" s="170">
        <v>7</v>
      </c>
      <c r="G77" s="170">
        <v>7</v>
      </c>
      <c r="H77" s="170">
        <v>8</v>
      </c>
      <c r="I77" s="140"/>
      <c r="J77" s="140"/>
      <c r="K77" s="140"/>
      <c r="L77" s="140"/>
      <c r="M77" s="140"/>
      <c r="N77" s="25">
        <f t="shared" si="1"/>
        <v>38</v>
      </c>
    </row>
    <row r="78" spans="1:14" ht="18" customHeight="1">
      <c r="A78" s="104">
        <v>68</v>
      </c>
      <c r="B78" s="171" t="s">
        <v>340</v>
      </c>
      <c r="C78" s="172" t="s">
        <v>211</v>
      </c>
      <c r="D78" s="170">
        <v>8</v>
      </c>
      <c r="E78" s="170">
        <v>7</v>
      </c>
      <c r="F78" s="170">
        <v>7</v>
      </c>
      <c r="G78" s="170">
        <v>7</v>
      </c>
      <c r="H78" s="170">
        <v>8</v>
      </c>
      <c r="I78" s="140"/>
      <c r="J78" s="140"/>
      <c r="K78" s="140"/>
      <c r="L78" s="140"/>
      <c r="M78" s="140"/>
      <c r="N78" s="25">
        <f t="shared" si="1"/>
        <v>37</v>
      </c>
    </row>
    <row r="79" spans="1:14" ht="18" customHeight="1">
      <c r="A79" s="104">
        <v>69</v>
      </c>
      <c r="B79" s="171" t="s">
        <v>341</v>
      </c>
      <c r="C79" s="172" t="s">
        <v>222</v>
      </c>
      <c r="D79" s="170">
        <v>7</v>
      </c>
      <c r="E79" s="170">
        <v>7</v>
      </c>
      <c r="F79" s="170">
        <v>4</v>
      </c>
      <c r="G79" s="170">
        <v>8</v>
      </c>
      <c r="H79" s="170">
        <v>6</v>
      </c>
      <c r="I79" s="140"/>
      <c r="J79" s="140"/>
      <c r="K79" s="140"/>
      <c r="L79" s="140"/>
      <c r="M79" s="140"/>
      <c r="N79" s="25">
        <f t="shared" si="1"/>
        <v>32</v>
      </c>
    </row>
    <row r="80" spans="1:14" ht="18" customHeight="1">
      <c r="A80" s="104">
        <v>70</v>
      </c>
      <c r="B80" s="171" t="s">
        <v>342</v>
      </c>
      <c r="C80" s="172" t="s">
        <v>231</v>
      </c>
      <c r="D80" s="170">
        <v>7</v>
      </c>
      <c r="E80" s="170">
        <v>7</v>
      </c>
      <c r="F80" s="170">
        <v>8</v>
      </c>
      <c r="G80" s="170">
        <v>7</v>
      </c>
      <c r="H80" s="170">
        <v>6</v>
      </c>
      <c r="I80" s="140"/>
      <c r="J80" s="140"/>
      <c r="K80" s="140"/>
      <c r="L80" s="140"/>
      <c r="M80" s="140"/>
      <c r="N80" s="25">
        <f t="shared" si="1"/>
        <v>35</v>
      </c>
    </row>
    <row r="81" spans="1:14" ht="18" customHeight="1">
      <c r="A81" s="104">
        <v>71</v>
      </c>
      <c r="B81" s="171" t="s">
        <v>343</v>
      </c>
      <c r="C81" s="172" t="s">
        <v>344</v>
      </c>
      <c r="D81" s="170">
        <v>5</v>
      </c>
      <c r="E81" s="170">
        <v>8</v>
      </c>
      <c r="F81" s="170">
        <v>7</v>
      </c>
      <c r="G81" s="170">
        <v>7</v>
      </c>
      <c r="H81" s="170">
        <v>8</v>
      </c>
      <c r="I81" s="140"/>
      <c r="J81" s="140"/>
      <c r="K81" s="140"/>
      <c r="L81" s="140"/>
      <c r="M81" s="140"/>
      <c r="N81" s="25">
        <f t="shared" si="1"/>
        <v>35</v>
      </c>
    </row>
    <row r="82" spans="1:14" ht="18" customHeight="1">
      <c r="A82" s="104">
        <v>72</v>
      </c>
      <c r="B82" s="171" t="s">
        <v>345</v>
      </c>
      <c r="C82" s="172" t="s">
        <v>219</v>
      </c>
      <c r="D82" s="170">
        <v>7</v>
      </c>
      <c r="E82" s="170">
        <v>8</v>
      </c>
      <c r="F82" s="170">
        <v>6</v>
      </c>
      <c r="G82" s="170">
        <v>8</v>
      </c>
      <c r="H82" s="170">
        <v>7</v>
      </c>
      <c r="I82" s="140"/>
      <c r="J82" s="140"/>
      <c r="K82" s="140"/>
      <c r="L82" s="140"/>
      <c r="M82" s="140"/>
      <c r="N82" s="25">
        <f t="shared" si="1"/>
        <v>36</v>
      </c>
    </row>
    <row r="83" spans="1:14" ht="18" customHeight="1">
      <c r="A83" s="104">
        <v>73</v>
      </c>
      <c r="B83" s="171" t="s">
        <v>346</v>
      </c>
      <c r="C83" s="172" t="s">
        <v>220</v>
      </c>
      <c r="D83" s="170">
        <v>8</v>
      </c>
      <c r="E83" s="170">
        <v>6</v>
      </c>
      <c r="F83" s="170">
        <v>8</v>
      </c>
      <c r="G83" s="170">
        <v>8</v>
      </c>
      <c r="H83" s="170">
        <v>6</v>
      </c>
      <c r="I83" s="140"/>
      <c r="J83" s="140"/>
      <c r="K83" s="140"/>
      <c r="L83" s="140"/>
      <c r="M83" s="140"/>
      <c r="N83" s="25">
        <f t="shared" si="1"/>
        <v>36</v>
      </c>
    </row>
    <row r="84" spans="1:14" ht="18" customHeight="1">
      <c r="A84" s="104">
        <v>74</v>
      </c>
      <c r="B84" s="171" t="s">
        <v>347</v>
      </c>
      <c r="C84" s="172" t="s">
        <v>201</v>
      </c>
      <c r="D84" s="170">
        <v>7</v>
      </c>
      <c r="E84" s="170">
        <v>8</v>
      </c>
      <c r="F84" s="170">
        <v>6</v>
      </c>
      <c r="G84" s="170">
        <v>7</v>
      </c>
      <c r="H84" s="170">
        <v>6</v>
      </c>
      <c r="I84" s="140"/>
      <c r="J84" s="140"/>
      <c r="K84" s="140"/>
      <c r="L84" s="140"/>
      <c r="M84" s="140"/>
      <c r="N84" s="25">
        <f t="shared" si="1"/>
        <v>34</v>
      </c>
    </row>
    <row r="85" spans="1:14" ht="18" customHeight="1">
      <c r="A85" s="104">
        <v>75</v>
      </c>
      <c r="B85" s="171" t="s">
        <v>348</v>
      </c>
      <c r="C85" s="172" t="s">
        <v>237</v>
      </c>
      <c r="D85" s="170">
        <v>5</v>
      </c>
      <c r="E85" s="170">
        <v>7</v>
      </c>
      <c r="F85" s="170">
        <v>8</v>
      </c>
      <c r="G85" s="170">
        <v>7</v>
      </c>
      <c r="H85" s="170">
        <v>7</v>
      </c>
      <c r="I85" s="140"/>
      <c r="J85" s="140"/>
      <c r="K85" s="140"/>
      <c r="L85" s="140"/>
      <c r="M85" s="140"/>
      <c r="N85" s="25">
        <f t="shared" si="1"/>
        <v>34</v>
      </c>
    </row>
    <row r="86" spans="1:14" ht="18" customHeight="1">
      <c r="A86" s="104">
        <v>76</v>
      </c>
      <c r="B86" s="171" t="s">
        <v>349</v>
      </c>
      <c r="C86" s="172" t="s">
        <v>350</v>
      </c>
      <c r="D86" s="170">
        <v>8</v>
      </c>
      <c r="E86" s="170">
        <v>8</v>
      </c>
      <c r="F86" s="170">
        <v>6</v>
      </c>
      <c r="G86" s="170">
        <v>7</v>
      </c>
      <c r="H86" s="170">
        <v>7</v>
      </c>
      <c r="I86" s="140"/>
      <c r="J86" s="140"/>
      <c r="K86" s="140"/>
      <c r="L86" s="140"/>
      <c r="M86" s="140"/>
      <c r="N86" s="25">
        <f t="shared" si="1"/>
        <v>36</v>
      </c>
    </row>
    <row r="87" spans="1:14" ht="18" customHeight="1">
      <c r="A87" s="104">
        <v>77</v>
      </c>
      <c r="B87" s="171" t="s">
        <v>351</v>
      </c>
      <c r="C87" s="172" t="s">
        <v>242</v>
      </c>
      <c r="D87" s="170">
        <v>5</v>
      </c>
      <c r="E87" s="170">
        <v>7</v>
      </c>
      <c r="F87" s="170">
        <v>7</v>
      </c>
      <c r="G87" s="170">
        <v>6</v>
      </c>
      <c r="H87" s="170">
        <v>8</v>
      </c>
      <c r="I87" s="140"/>
      <c r="J87" s="140"/>
      <c r="K87" s="140"/>
      <c r="L87" s="140"/>
      <c r="M87" s="140"/>
      <c r="N87" s="25">
        <f t="shared" si="1"/>
        <v>33</v>
      </c>
    </row>
    <row r="88" spans="1:14" ht="18" customHeight="1">
      <c r="A88" s="104">
        <v>78</v>
      </c>
      <c r="B88" s="171" t="s">
        <v>352</v>
      </c>
      <c r="C88" s="172" t="s">
        <v>192</v>
      </c>
      <c r="D88" s="170">
        <v>7</v>
      </c>
      <c r="E88" s="170">
        <v>7</v>
      </c>
      <c r="F88" s="170">
        <v>7</v>
      </c>
      <c r="G88" s="170">
        <v>6</v>
      </c>
      <c r="H88" s="170">
        <v>8</v>
      </c>
      <c r="I88" s="140"/>
      <c r="J88" s="140"/>
      <c r="K88" s="140"/>
      <c r="L88" s="140"/>
      <c r="M88" s="140"/>
      <c r="N88" s="25">
        <f t="shared" si="1"/>
        <v>35</v>
      </c>
    </row>
    <row r="89" spans="1:14" ht="18" customHeight="1">
      <c r="A89" s="104">
        <v>79</v>
      </c>
      <c r="B89" s="171" t="s">
        <v>353</v>
      </c>
      <c r="C89" s="172" t="s">
        <v>354</v>
      </c>
      <c r="D89" s="170">
        <v>7</v>
      </c>
      <c r="E89" s="170">
        <v>8</v>
      </c>
      <c r="F89" s="170">
        <v>7</v>
      </c>
      <c r="G89" s="170">
        <v>6</v>
      </c>
      <c r="H89" s="170">
        <v>7</v>
      </c>
      <c r="I89" s="140"/>
      <c r="J89" s="140"/>
      <c r="K89" s="140"/>
      <c r="L89" s="140"/>
      <c r="M89" s="140"/>
      <c r="N89" s="25">
        <f t="shared" si="1"/>
        <v>35</v>
      </c>
    </row>
    <row r="90" spans="1:14" ht="18" customHeight="1">
      <c r="A90" s="104">
        <v>80</v>
      </c>
      <c r="B90" s="171" t="s">
        <v>355</v>
      </c>
      <c r="C90" s="172" t="s">
        <v>157</v>
      </c>
      <c r="D90" s="170">
        <v>7</v>
      </c>
      <c r="E90" s="170">
        <v>8</v>
      </c>
      <c r="F90" s="170">
        <v>7</v>
      </c>
      <c r="G90" s="170">
        <v>8</v>
      </c>
      <c r="H90" s="170">
        <v>7</v>
      </c>
      <c r="I90" s="140"/>
      <c r="J90" s="140"/>
      <c r="K90" s="140"/>
      <c r="L90" s="140"/>
      <c r="M90" s="140"/>
      <c r="N90" s="25">
        <f t="shared" si="1"/>
        <v>37</v>
      </c>
    </row>
    <row r="91" spans="1:14" ht="18" customHeight="1">
      <c r="A91" s="104">
        <v>81</v>
      </c>
      <c r="B91" s="171" t="s">
        <v>356</v>
      </c>
      <c r="C91" s="172" t="s">
        <v>221</v>
      </c>
      <c r="D91" s="170">
        <v>7</v>
      </c>
      <c r="E91" s="170">
        <v>8</v>
      </c>
      <c r="F91" s="170">
        <v>7</v>
      </c>
      <c r="G91" s="170">
        <v>6</v>
      </c>
      <c r="H91" s="170">
        <v>8</v>
      </c>
      <c r="I91" s="140"/>
      <c r="J91" s="140"/>
      <c r="K91" s="140"/>
      <c r="L91" s="140"/>
      <c r="M91" s="140"/>
      <c r="N91" s="25">
        <f t="shared" si="1"/>
        <v>36</v>
      </c>
    </row>
    <row r="92" spans="1:14" ht="18" customHeight="1">
      <c r="A92" s="104">
        <v>82</v>
      </c>
      <c r="B92" s="171" t="s">
        <v>357</v>
      </c>
      <c r="C92" s="172" t="s">
        <v>358</v>
      </c>
      <c r="D92" s="170">
        <v>5</v>
      </c>
      <c r="E92" s="170">
        <v>6</v>
      </c>
      <c r="F92" s="170">
        <v>7</v>
      </c>
      <c r="G92" s="170">
        <v>6</v>
      </c>
      <c r="H92" s="170">
        <v>8</v>
      </c>
      <c r="I92" s="140"/>
      <c r="J92" s="140"/>
      <c r="K92" s="140"/>
      <c r="L92" s="140"/>
      <c r="M92" s="140"/>
      <c r="N92" s="25">
        <f t="shared" si="1"/>
        <v>32</v>
      </c>
    </row>
    <row r="93" spans="1:14" ht="18" customHeight="1">
      <c r="A93" s="104">
        <v>83</v>
      </c>
      <c r="B93" s="171" t="s">
        <v>359</v>
      </c>
      <c r="C93" s="172" t="s">
        <v>244</v>
      </c>
      <c r="D93" s="170">
        <v>5</v>
      </c>
      <c r="E93" s="170">
        <v>6</v>
      </c>
      <c r="F93" s="170">
        <v>6</v>
      </c>
      <c r="G93" s="170">
        <v>7</v>
      </c>
      <c r="H93" s="170">
        <v>7</v>
      </c>
      <c r="I93" s="140"/>
      <c r="J93" s="140"/>
      <c r="K93" s="140"/>
      <c r="L93" s="140"/>
      <c r="M93" s="140"/>
      <c r="N93" s="25">
        <f t="shared" si="1"/>
        <v>31</v>
      </c>
    </row>
    <row r="94" spans="1:14" ht="18" customHeight="1">
      <c r="A94" s="104">
        <v>84</v>
      </c>
      <c r="B94" s="171" t="s">
        <v>360</v>
      </c>
      <c r="C94" s="172" t="s">
        <v>233</v>
      </c>
      <c r="D94" s="170">
        <v>7</v>
      </c>
      <c r="E94" s="170">
        <v>6</v>
      </c>
      <c r="F94" s="170">
        <v>8</v>
      </c>
      <c r="G94" s="170">
        <v>7</v>
      </c>
      <c r="H94" s="170">
        <v>7</v>
      </c>
      <c r="I94" s="140"/>
      <c r="J94" s="140"/>
      <c r="K94" s="140"/>
      <c r="L94" s="140"/>
      <c r="M94" s="140"/>
      <c r="N94" s="25">
        <f t="shared" si="1"/>
        <v>35</v>
      </c>
    </row>
    <row r="95" spans="1:14" ht="18" customHeight="1">
      <c r="A95" s="104">
        <v>85</v>
      </c>
      <c r="B95" s="171" t="s">
        <v>361</v>
      </c>
      <c r="C95" s="172" t="s">
        <v>212</v>
      </c>
      <c r="D95" s="170">
        <v>5</v>
      </c>
      <c r="E95" s="170">
        <v>6</v>
      </c>
      <c r="F95" s="170">
        <v>8</v>
      </c>
      <c r="G95" s="170">
        <v>7</v>
      </c>
      <c r="H95" s="170">
        <v>8</v>
      </c>
      <c r="I95" s="140"/>
      <c r="J95" s="140"/>
      <c r="K95" s="140"/>
      <c r="L95" s="140"/>
      <c r="M95" s="140"/>
      <c r="N95" s="25">
        <f t="shared" si="1"/>
        <v>34</v>
      </c>
    </row>
    <row r="96" spans="1:14" ht="18" customHeight="1">
      <c r="A96" s="104">
        <v>86</v>
      </c>
      <c r="B96" s="171" t="s">
        <v>362</v>
      </c>
      <c r="C96" s="172" t="s">
        <v>363</v>
      </c>
      <c r="D96" s="170">
        <v>7</v>
      </c>
      <c r="E96" s="170">
        <v>8</v>
      </c>
      <c r="F96" s="170">
        <v>6</v>
      </c>
      <c r="G96" s="170">
        <v>8</v>
      </c>
      <c r="H96" s="170">
        <v>6</v>
      </c>
      <c r="I96" s="140"/>
      <c r="J96" s="140"/>
      <c r="K96" s="140"/>
      <c r="L96" s="140"/>
      <c r="M96" s="140"/>
      <c r="N96" s="25">
        <f t="shared" si="1"/>
        <v>35</v>
      </c>
    </row>
    <row r="97" spans="1:14" ht="18" customHeight="1">
      <c r="A97" s="104">
        <v>87</v>
      </c>
      <c r="B97" s="171" t="s">
        <v>364</v>
      </c>
      <c r="C97" s="172" t="s">
        <v>197</v>
      </c>
      <c r="D97" s="170">
        <v>5</v>
      </c>
      <c r="E97" s="170">
        <v>8</v>
      </c>
      <c r="F97" s="170">
        <v>4</v>
      </c>
      <c r="G97" s="170">
        <v>4</v>
      </c>
      <c r="H97" s="170">
        <v>8</v>
      </c>
      <c r="I97" s="140"/>
      <c r="J97" s="140"/>
      <c r="K97" s="140"/>
      <c r="L97" s="140"/>
      <c r="M97" s="140"/>
      <c r="N97" s="25">
        <f t="shared" si="1"/>
        <v>29</v>
      </c>
    </row>
    <row r="98" spans="1:14" ht="18" customHeight="1">
      <c r="A98" s="104">
        <v>88</v>
      </c>
      <c r="B98" s="171" t="s">
        <v>365</v>
      </c>
      <c r="C98" s="172" t="s">
        <v>366</v>
      </c>
      <c r="D98" s="170">
        <v>8</v>
      </c>
      <c r="E98" s="170">
        <v>6</v>
      </c>
      <c r="F98" s="170">
        <v>7</v>
      </c>
      <c r="G98" s="170">
        <v>7</v>
      </c>
      <c r="H98" s="170">
        <v>7</v>
      </c>
      <c r="I98" s="140"/>
      <c r="J98" s="140"/>
      <c r="K98" s="140"/>
      <c r="L98" s="140"/>
      <c r="M98" s="140"/>
      <c r="N98" s="25">
        <f t="shared" si="1"/>
        <v>35</v>
      </c>
    </row>
    <row r="99" spans="1:14" ht="18" customHeight="1">
      <c r="A99" s="104">
        <v>89</v>
      </c>
      <c r="B99" s="171" t="s">
        <v>367</v>
      </c>
      <c r="C99" s="172" t="s">
        <v>158</v>
      </c>
      <c r="D99" s="170">
        <v>5</v>
      </c>
      <c r="E99" s="170">
        <v>6</v>
      </c>
      <c r="F99" s="170">
        <v>8</v>
      </c>
      <c r="G99" s="170">
        <v>8</v>
      </c>
      <c r="H99" s="170">
        <v>8</v>
      </c>
      <c r="I99" s="140"/>
      <c r="J99" s="140"/>
      <c r="K99" s="140"/>
      <c r="L99" s="140"/>
      <c r="M99" s="140"/>
      <c r="N99" s="25">
        <f t="shared" si="1"/>
        <v>35</v>
      </c>
    </row>
    <row r="100" spans="1:14" ht="18" customHeight="1">
      <c r="A100" s="104">
        <v>90</v>
      </c>
      <c r="B100" s="171" t="s">
        <v>368</v>
      </c>
      <c r="C100" s="172" t="s">
        <v>180</v>
      </c>
      <c r="D100" s="170">
        <v>7</v>
      </c>
      <c r="E100" s="170">
        <v>7</v>
      </c>
      <c r="F100" s="170">
        <v>7</v>
      </c>
      <c r="G100" s="170">
        <v>8</v>
      </c>
      <c r="H100" s="170">
        <v>8</v>
      </c>
      <c r="I100" s="140"/>
      <c r="J100" s="140"/>
      <c r="K100" s="140"/>
      <c r="L100" s="140"/>
      <c r="M100" s="140"/>
      <c r="N100" s="25">
        <f t="shared" si="1"/>
        <v>37</v>
      </c>
    </row>
    <row r="101" spans="1:14" ht="18" customHeight="1">
      <c r="A101" s="104">
        <v>91</v>
      </c>
      <c r="B101" s="171" t="s">
        <v>369</v>
      </c>
      <c r="C101" s="172" t="s">
        <v>243</v>
      </c>
      <c r="D101" s="170">
        <v>5</v>
      </c>
      <c r="E101" s="170">
        <v>8</v>
      </c>
      <c r="F101" s="170">
        <v>4</v>
      </c>
      <c r="G101" s="170">
        <v>8</v>
      </c>
      <c r="H101" s="170">
        <v>7</v>
      </c>
      <c r="I101" s="140"/>
      <c r="J101" s="140"/>
      <c r="K101" s="140"/>
      <c r="L101" s="140"/>
      <c r="M101" s="140"/>
      <c r="N101" s="25">
        <f t="shared" si="1"/>
        <v>32</v>
      </c>
    </row>
    <row r="102" spans="1:14" ht="18" customHeight="1">
      <c r="A102" s="104">
        <v>92</v>
      </c>
      <c r="B102" s="171" t="s">
        <v>370</v>
      </c>
      <c r="C102" s="172" t="s">
        <v>151</v>
      </c>
      <c r="D102" s="170">
        <v>6</v>
      </c>
      <c r="E102" s="170">
        <v>7</v>
      </c>
      <c r="F102" s="170">
        <v>8</v>
      </c>
      <c r="G102" s="170">
        <v>6</v>
      </c>
      <c r="H102" s="170">
        <v>7</v>
      </c>
      <c r="I102" s="140"/>
      <c r="J102" s="140"/>
      <c r="K102" s="140"/>
      <c r="L102" s="140"/>
      <c r="M102" s="140"/>
      <c r="N102" s="25">
        <f t="shared" si="1"/>
        <v>34</v>
      </c>
    </row>
    <row r="103" spans="1:14" ht="18" customHeight="1">
      <c r="A103" s="104">
        <v>93</v>
      </c>
      <c r="B103" s="171" t="s">
        <v>371</v>
      </c>
      <c r="C103" s="172" t="s">
        <v>208</v>
      </c>
      <c r="D103" s="170">
        <v>5</v>
      </c>
      <c r="E103" s="170">
        <v>8</v>
      </c>
      <c r="F103" s="170">
        <v>7</v>
      </c>
      <c r="G103" s="170">
        <v>8</v>
      </c>
      <c r="H103" s="170">
        <v>6</v>
      </c>
      <c r="I103" s="140"/>
      <c r="J103" s="140"/>
      <c r="K103" s="140"/>
      <c r="L103" s="140"/>
      <c r="M103" s="140"/>
      <c r="N103" s="25">
        <f t="shared" si="1"/>
        <v>34</v>
      </c>
    </row>
    <row r="104" spans="1:14" ht="18" customHeight="1">
      <c r="A104" s="104">
        <v>94</v>
      </c>
      <c r="B104" s="171" t="s">
        <v>372</v>
      </c>
      <c r="C104" s="172" t="s">
        <v>373</v>
      </c>
      <c r="D104" s="170">
        <v>6</v>
      </c>
      <c r="E104" s="170">
        <v>6</v>
      </c>
      <c r="F104" s="170">
        <v>7</v>
      </c>
      <c r="G104" s="170">
        <v>8</v>
      </c>
      <c r="H104" s="170">
        <v>7</v>
      </c>
      <c r="I104" s="140"/>
      <c r="J104" s="140"/>
      <c r="K104" s="140"/>
      <c r="L104" s="140"/>
      <c r="M104" s="140"/>
      <c r="N104" s="25">
        <f t="shared" si="1"/>
        <v>34</v>
      </c>
    </row>
    <row r="105" spans="1:14" ht="18" customHeight="1">
      <c r="A105" s="104">
        <v>95</v>
      </c>
      <c r="B105" s="171" t="s">
        <v>374</v>
      </c>
      <c r="C105" s="172" t="s">
        <v>248</v>
      </c>
      <c r="D105" s="170">
        <v>8</v>
      </c>
      <c r="E105" s="170">
        <v>7</v>
      </c>
      <c r="F105" s="170">
        <v>8</v>
      </c>
      <c r="G105" s="170">
        <v>7</v>
      </c>
      <c r="H105" s="170">
        <v>8</v>
      </c>
      <c r="I105" s="140"/>
      <c r="J105" s="140"/>
      <c r="K105" s="140"/>
      <c r="L105" s="140"/>
      <c r="M105" s="140"/>
      <c r="N105" s="25">
        <f t="shared" si="1"/>
        <v>38</v>
      </c>
    </row>
    <row r="106" spans="1:14" ht="18" customHeight="1">
      <c r="A106" s="104">
        <v>96</v>
      </c>
      <c r="B106" s="171" t="s">
        <v>375</v>
      </c>
      <c r="C106" s="172" t="s">
        <v>376</v>
      </c>
      <c r="D106" s="170">
        <v>7</v>
      </c>
      <c r="E106" s="170">
        <v>6</v>
      </c>
      <c r="F106" s="170">
        <v>7</v>
      </c>
      <c r="G106" s="170">
        <v>8</v>
      </c>
      <c r="H106" s="170">
        <v>8</v>
      </c>
      <c r="I106" s="140"/>
      <c r="J106" s="140"/>
      <c r="K106" s="140"/>
      <c r="L106" s="140"/>
      <c r="M106" s="140"/>
      <c r="N106" s="25">
        <f t="shared" si="1"/>
        <v>36</v>
      </c>
    </row>
    <row r="107" spans="1:14" ht="18" customHeight="1">
      <c r="A107" s="104">
        <v>97</v>
      </c>
      <c r="B107" s="171" t="s">
        <v>377</v>
      </c>
      <c r="C107" s="172" t="s">
        <v>184</v>
      </c>
      <c r="D107" s="170">
        <v>6</v>
      </c>
      <c r="E107" s="170">
        <v>7</v>
      </c>
      <c r="F107" s="170">
        <v>8</v>
      </c>
      <c r="G107" s="170">
        <v>8</v>
      </c>
      <c r="H107" s="170">
        <v>7</v>
      </c>
      <c r="I107" s="140"/>
      <c r="J107" s="140"/>
      <c r="K107" s="140"/>
      <c r="L107" s="140"/>
      <c r="M107" s="140"/>
      <c r="N107" s="25">
        <f t="shared" si="1"/>
        <v>36</v>
      </c>
    </row>
    <row r="108" spans="1:14" ht="18" customHeight="1">
      <c r="A108" s="104">
        <v>98</v>
      </c>
      <c r="B108" s="171" t="s">
        <v>378</v>
      </c>
      <c r="C108" s="172" t="s">
        <v>250</v>
      </c>
      <c r="D108" s="170">
        <v>7</v>
      </c>
      <c r="E108" s="170">
        <v>7</v>
      </c>
      <c r="F108" s="170">
        <v>7</v>
      </c>
      <c r="G108" s="170">
        <v>7</v>
      </c>
      <c r="H108" s="170">
        <v>8</v>
      </c>
      <c r="I108" s="140"/>
      <c r="J108" s="140"/>
      <c r="K108" s="140"/>
      <c r="L108" s="140"/>
      <c r="M108" s="140"/>
      <c r="N108" s="25">
        <f t="shared" si="1"/>
        <v>36</v>
      </c>
    </row>
    <row r="109" spans="1:14" ht="18" customHeight="1">
      <c r="A109" s="104">
        <v>99</v>
      </c>
      <c r="B109" s="171" t="s">
        <v>379</v>
      </c>
      <c r="C109" s="172" t="s">
        <v>182</v>
      </c>
      <c r="D109" s="170">
        <v>5</v>
      </c>
      <c r="E109" s="170">
        <v>8</v>
      </c>
      <c r="F109" s="170">
        <v>7</v>
      </c>
      <c r="G109" s="170">
        <v>8</v>
      </c>
      <c r="H109" s="170">
        <v>7</v>
      </c>
      <c r="I109" s="140"/>
      <c r="J109" s="140"/>
      <c r="K109" s="140"/>
      <c r="L109" s="140"/>
      <c r="M109" s="140"/>
      <c r="N109" s="25">
        <f t="shared" si="1"/>
        <v>35</v>
      </c>
    </row>
    <row r="110" spans="1:14" ht="18" customHeight="1">
      <c r="A110" s="104">
        <v>100</v>
      </c>
      <c r="B110" s="171" t="s">
        <v>380</v>
      </c>
      <c r="C110" s="172" t="s">
        <v>381</v>
      </c>
      <c r="D110" s="170">
        <v>6</v>
      </c>
      <c r="E110" s="170">
        <v>7</v>
      </c>
      <c r="F110" s="170">
        <v>8</v>
      </c>
      <c r="G110" s="170">
        <v>8</v>
      </c>
      <c r="H110" s="170">
        <v>7</v>
      </c>
      <c r="I110" s="140"/>
      <c r="J110" s="140"/>
      <c r="K110" s="140"/>
      <c r="L110" s="140"/>
      <c r="M110" s="140"/>
      <c r="N110" s="25">
        <f t="shared" si="1"/>
        <v>36</v>
      </c>
    </row>
    <row r="111" spans="1:14" ht="18" customHeight="1">
      <c r="A111" s="104">
        <v>101</v>
      </c>
      <c r="B111" s="171" t="s">
        <v>382</v>
      </c>
      <c r="C111" s="172" t="s">
        <v>198</v>
      </c>
      <c r="D111" s="170">
        <v>6</v>
      </c>
      <c r="E111" s="170">
        <v>7</v>
      </c>
      <c r="F111" s="170">
        <v>7</v>
      </c>
      <c r="G111" s="170">
        <v>7</v>
      </c>
      <c r="H111" s="170">
        <v>7</v>
      </c>
      <c r="I111" s="140"/>
      <c r="J111" s="140"/>
      <c r="K111" s="140"/>
      <c r="L111" s="140"/>
      <c r="M111" s="140"/>
      <c r="N111" s="25">
        <f t="shared" si="1"/>
        <v>34</v>
      </c>
    </row>
    <row r="112" spans="1:14" ht="18" customHeight="1">
      <c r="A112" s="104">
        <v>102</v>
      </c>
      <c r="B112" s="171" t="s">
        <v>383</v>
      </c>
      <c r="C112" s="172" t="s">
        <v>384</v>
      </c>
      <c r="D112" s="170">
        <v>7</v>
      </c>
      <c r="E112" s="170">
        <v>7</v>
      </c>
      <c r="F112" s="170">
        <v>7</v>
      </c>
      <c r="G112" s="170">
        <v>8</v>
      </c>
      <c r="H112" s="170">
        <v>6</v>
      </c>
      <c r="I112" s="140"/>
      <c r="J112" s="140"/>
      <c r="K112" s="140"/>
      <c r="L112" s="140"/>
      <c r="M112" s="140"/>
      <c r="N112" s="25">
        <f t="shared" si="1"/>
        <v>35</v>
      </c>
    </row>
    <row r="113" spans="1:19" ht="18" customHeight="1">
      <c r="A113" s="104">
        <v>103</v>
      </c>
      <c r="B113" s="171" t="s">
        <v>385</v>
      </c>
      <c r="C113" s="172" t="s">
        <v>165</v>
      </c>
      <c r="D113" s="170">
        <v>6</v>
      </c>
      <c r="E113" s="170">
        <v>7</v>
      </c>
      <c r="F113" s="170">
        <v>8</v>
      </c>
      <c r="G113" s="170">
        <v>6</v>
      </c>
      <c r="H113" s="170">
        <v>6</v>
      </c>
      <c r="I113" s="140"/>
      <c r="J113" s="140"/>
      <c r="K113" s="140"/>
      <c r="L113" s="140"/>
      <c r="M113" s="140"/>
      <c r="N113" s="25">
        <f t="shared" si="1"/>
        <v>33</v>
      </c>
    </row>
    <row r="114" spans="1:19" ht="18" customHeight="1">
      <c r="A114" s="104">
        <v>104</v>
      </c>
      <c r="B114" s="171" t="s">
        <v>386</v>
      </c>
      <c r="C114" s="172" t="s">
        <v>215</v>
      </c>
      <c r="D114" s="170">
        <v>8</v>
      </c>
      <c r="E114" s="170">
        <v>7</v>
      </c>
      <c r="F114" s="170">
        <v>7</v>
      </c>
      <c r="G114" s="170">
        <v>8</v>
      </c>
      <c r="H114" s="170">
        <v>7</v>
      </c>
      <c r="I114" s="140"/>
      <c r="J114" s="140"/>
      <c r="K114" s="140"/>
      <c r="L114" s="140"/>
      <c r="M114" s="140"/>
      <c r="N114" s="25">
        <f t="shared" si="1"/>
        <v>37</v>
      </c>
    </row>
    <row r="115" spans="1:19" ht="18" customHeight="1">
      <c r="A115" s="104">
        <v>105</v>
      </c>
      <c r="B115" s="171" t="s">
        <v>387</v>
      </c>
      <c r="C115" s="172" t="s">
        <v>227</v>
      </c>
      <c r="D115" s="170">
        <v>5</v>
      </c>
      <c r="E115" s="170">
        <v>5</v>
      </c>
      <c r="F115" s="170">
        <v>7</v>
      </c>
      <c r="G115" s="170">
        <v>7</v>
      </c>
      <c r="H115" s="170">
        <v>8</v>
      </c>
      <c r="I115" s="140"/>
      <c r="J115" s="140"/>
      <c r="K115" s="140"/>
      <c r="L115" s="140"/>
      <c r="M115" s="140"/>
      <c r="N115" s="25">
        <f t="shared" si="1"/>
        <v>32</v>
      </c>
    </row>
    <row r="116" spans="1:19" ht="18" customHeight="1">
      <c r="A116" s="104">
        <v>106</v>
      </c>
      <c r="B116" s="171" t="s">
        <v>388</v>
      </c>
      <c r="C116" s="172" t="s">
        <v>205</v>
      </c>
      <c r="D116" s="170">
        <v>8</v>
      </c>
      <c r="E116" s="170">
        <v>7</v>
      </c>
      <c r="F116" s="170">
        <v>8</v>
      </c>
      <c r="G116" s="170">
        <v>7</v>
      </c>
      <c r="H116" s="170">
        <v>7</v>
      </c>
      <c r="I116" s="140"/>
      <c r="J116" s="140"/>
      <c r="K116" s="140"/>
      <c r="L116" s="140"/>
      <c r="M116" s="140"/>
      <c r="N116" s="25">
        <f t="shared" si="1"/>
        <v>37</v>
      </c>
    </row>
    <row r="117" spans="1:19" ht="18" customHeight="1">
      <c r="A117" s="104">
        <v>107</v>
      </c>
      <c r="B117" s="171" t="s">
        <v>389</v>
      </c>
      <c r="C117" s="172" t="s">
        <v>390</v>
      </c>
      <c r="D117" s="170">
        <v>5</v>
      </c>
      <c r="E117" s="170">
        <v>8</v>
      </c>
      <c r="F117" s="170">
        <v>5</v>
      </c>
      <c r="G117" s="170">
        <v>8</v>
      </c>
      <c r="H117" s="170">
        <v>8</v>
      </c>
      <c r="I117" s="140"/>
      <c r="J117" s="140"/>
      <c r="K117" s="140"/>
      <c r="L117" s="140"/>
      <c r="M117" s="140"/>
      <c r="N117" s="25">
        <f t="shared" si="1"/>
        <v>34</v>
      </c>
    </row>
    <row r="118" spans="1:19" ht="18" customHeight="1">
      <c r="A118" s="104">
        <v>108</v>
      </c>
      <c r="B118" s="171" t="s">
        <v>391</v>
      </c>
      <c r="C118" s="172" t="s">
        <v>207</v>
      </c>
      <c r="D118" s="170">
        <v>7</v>
      </c>
      <c r="E118" s="170">
        <v>8</v>
      </c>
      <c r="F118" s="170">
        <v>5</v>
      </c>
      <c r="G118" s="170">
        <v>5</v>
      </c>
      <c r="H118" s="170">
        <v>6</v>
      </c>
      <c r="I118" s="140"/>
      <c r="J118" s="140"/>
      <c r="K118" s="140"/>
      <c r="L118" s="140"/>
      <c r="M118" s="140"/>
      <c r="N118" s="25">
        <f t="shared" si="1"/>
        <v>31</v>
      </c>
    </row>
    <row r="119" spans="1:19" ht="15.75" customHeight="1">
      <c r="A119" s="168">
        <v>109</v>
      </c>
      <c r="B119" s="171" t="s">
        <v>392</v>
      </c>
      <c r="C119" s="172" t="s">
        <v>232</v>
      </c>
      <c r="D119" s="170">
        <v>5</v>
      </c>
      <c r="E119" s="170">
        <v>6</v>
      </c>
      <c r="F119" s="170">
        <v>7</v>
      </c>
      <c r="G119" s="170">
        <v>5</v>
      </c>
      <c r="H119" s="170">
        <v>5</v>
      </c>
      <c r="L119" s="43"/>
      <c r="M119" s="43"/>
      <c r="O119"/>
      <c r="P119"/>
      <c r="Q119"/>
      <c r="R119"/>
      <c r="S119" s="68"/>
    </row>
    <row r="120" spans="1:19" ht="15.75" customHeight="1">
      <c r="A120" s="168">
        <v>110</v>
      </c>
      <c r="B120" s="171" t="s">
        <v>393</v>
      </c>
      <c r="C120" s="172" t="s">
        <v>394</v>
      </c>
      <c r="D120" s="170">
        <v>7</v>
      </c>
      <c r="E120" s="170">
        <v>5</v>
      </c>
      <c r="F120" s="170">
        <v>7</v>
      </c>
      <c r="G120" s="170">
        <v>7</v>
      </c>
      <c r="H120" s="170">
        <v>7</v>
      </c>
      <c r="I120"/>
      <c r="J120"/>
      <c r="K120"/>
      <c r="L120"/>
      <c r="M120"/>
      <c r="N120"/>
      <c r="O120"/>
      <c r="P120"/>
      <c r="Q120"/>
      <c r="R120"/>
      <c r="S120" s="68"/>
    </row>
    <row r="121" spans="1:19" ht="15.75" customHeight="1">
      <c r="A121" s="168">
        <v>111</v>
      </c>
      <c r="B121" s="171" t="s">
        <v>395</v>
      </c>
      <c r="C121" s="172" t="s">
        <v>194</v>
      </c>
      <c r="D121" s="170">
        <v>7</v>
      </c>
      <c r="E121" s="170">
        <v>7</v>
      </c>
      <c r="F121" s="170">
        <v>6</v>
      </c>
      <c r="G121" s="170">
        <v>6</v>
      </c>
      <c r="H121" s="170">
        <v>6</v>
      </c>
      <c r="I121"/>
      <c r="J121"/>
      <c r="K121"/>
      <c r="L121"/>
      <c r="M121"/>
      <c r="N121"/>
      <c r="O121"/>
      <c r="P121"/>
      <c r="Q121"/>
      <c r="R121"/>
      <c r="S121"/>
    </row>
    <row r="122" spans="1:19" ht="15.75" customHeight="1">
      <c r="A122"/>
      <c r="B122" s="175"/>
      <c r="C122" s="175"/>
      <c r="D122" s="176" t="str">
        <f t="shared" ref="D122:H122" si="2">D9</f>
        <v>CO1</v>
      </c>
      <c r="E122" s="176" t="str">
        <f t="shared" si="2"/>
        <v>CO2</v>
      </c>
      <c r="F122" s="176" t="str">
        <f t="shared" si="2"/>
        <v>CO3</v>
      </c>
      <c r="G122" s="176" t="str">
        <f t="shared" si="2"/>
        <v>CO4</v>
      </c>
      <c r="H122" s="176" t="str">
        <f t="shared" si="2"/>
        <v>CO5</v>
      </c>
      <c r="I122"/>
      <c r="J122"/>
      <c r="K122"/>
      <c r="L122"/>
      <c r="M122"/>
      <c r="N122"/>
      <c r="O122" s="70"/>
      <c r="P122"/>
      <c r="Q122" s="70"/>
      <c r="S122"/>
    </row>
    <row r="123" spans="1:19" ht="15.75" customHeight="1">
      <c r="A123"/>
      <c r="B123" s="177">
        <v>1</v>
      </c>
      <c r="C123" s="178" t="s">
        <v>26</v>
      </c>
      <c r="D123" s="176">
        <f t="shared" ref="D123:H123" si="3">IFERROR(COUNT(D11:D121),"NA")</f>
        <v>111</v>
      </c>
      <c r="E123" s="176">
        <f t="shared" si="3"/>
        <v>111</v>
      </c>
      <c r="F123" s="176">
        <f t="shared" si="3"/>
        <v>111</v>
      </c>
      <c r="G123" s="176">
        <f t="shared" si="3"/>
        <v>111</v>
      </c>
      <c r="H123" s="176">
        <f t="shared" si="3"/>
        <v>111</v>
      </c>
      <c r="I123"/>
      <c r="J123"/>
      <c r="K123"/>
      <c r="L123"/>
      <c r="M123"/>
      <c r="N123" s="2"/>
    </row>
    <row r="124" spans="1:19" ht="15.75" customHeight="1">
      <c r="B124" s="179">
        <v>2</v>
      </c>
      <c r="C124" s="180" t="str">
        <f>CONCATENATE("No of students more than ",70, "% = (x1)")</f>
        <v>No of students more than 70% = (x1)</v>
      </c>
      <c r="D124" s="176">
        <f t="shared" ref="D124:H124" si="4">COUNTIF(D11:D121,"&gt;="&amp;D10*70%)</f>
        <v>61</v>
      </c>
      <c r="E124" s="176">
        <f t="shared" si="4"/>
        <v>86</v>
      </c>
      <c r="F124" s="176">
        <f t="shared" si="4"/>
        <v>80</v>
      </c>
      <c r="G124" s="176">
        <f t="shared" si="4"/>
        <v>82</v>
      </c>
      <c r="H124" s="176">
        <f t="shared" si="4"/>
        <v>79</v>
      </c>
      <c r="I124" s="2"/>
      <c r="J124" s="2"/>
      <c r="K124" s="2"/>
      <c r="L124" s="2"/>
      <c r="M124" s="2"/>
      <c r="N124" s="2"/>
    </row>
    <row r="125" spans="1:19" ht="15.75" customHeight="1">
      <c r="B125" s="177">
        <v>3</v>
      </c>
      <c r="C125" s="181" t="str">
        <f>CONCATENATE("No of students between 70 and ",60, "% = (x2)")</f>
        <v>No of students between 70 and 60% = (x2)</v>
      </c>
      <c r="D125" s="176">
        <f t="shared" ref="D125:H125" si="5">COUNTIFS(D11:D121,"&gt;="&amp;D10*60%,D11:D121,"&lt;"&amp;D10*70%)</f>
        <v>18</v>
      </c>
      <c r="E125" s="176">
        <f t="shared" si="5"/>
        <v>21</v>
      </c>
      <c r="F125" s="176">
        <f t="shared" si="5"/>
        <v>20</v>
      </c>
      <c r="G125" s="176">
        <f t="shared" si="5"/>
        <v>20</v>
      </c>
      <c r="H125" s="176">
        <f t="shared" si="5"/>
        <v>26</v>
      </c>
    </row>
    <row r="126" spans="1:19" ht="15.75" customHeight="1">
      <c r="B126" s="177">
        <v>4</v>
      </c>
      <c r="C126" s="182" t="str">
        <f>CONCATENATE("No of students between 60 and ",50, "% = (x3)")</f>
        <v>No of students between 60 and 50% = (x3)</v>
      </c>
      <c r="D126" s="176">
        <f t="shared" ref="D126:H126" si="6">COUNTIFS(D11:D121,"&gt;="&amp;D10*50%,D11:D121,"&lt;"&amp;D10*60%)</f>
        <v>31</v>
      </c>
      <c r="E126" s="176">
        <f t="shared" si="6"/>
        <v>3</v>
      </c>
      <c r="F126" s="176">
        <f t="shared" si="6"/>
        <v>3</v>
      </c>
      <c r="G126" s="176">
        <f t="shared" si="6"/>
        <v>4</v>
      </c>
      <c r="H126" s="176">
        <f t="shared" si="6"/>
        <v>2</v>
      </c>
    </row>
    <row r="127" spans="1:19" ht="15.75" customHeight="1">
      <c r="B127" s="177">
        <v>5</v>
      </c>
      <c r="C127" s="183" t="s">
        <v>396</v>
      </c>
      <c r="D127" s="176">
        <f t="shared" ref="D127:H127" si="7">COUNTIFS(D11:D121,"&gt;="&amp;D10*40%,D11:D121,"&lt;"&amp;D10*50%)</f>
        <v>1</v>
      </c>
      <c r="E127" s="176">
        <f t="shared" si="7"/>
        <v>1</v>
      </c>
      <c r="F127" s="176">
        <f t="shared" si="7"/>
        <v>7</v>
      </c>
      <c r="G127" s="176">
        <f t="shared" si="7"/>
        <v>4</v>
      </c>
      <c r="H127" s="176">
        <f t="shared" si="7"/>
        <v>1</v>
      </c>
    </row>
    <row r="128" spans="1:19" ht="15.75" customHeight="1">
      <c r="B128" s="177">
        <v>6</v>
      </c>
      <c r="C128" s="184" t="s">
        <v>397</v>
      </c>
      <c r="D128" s="176">
        <f t="shared" ref="D128:H128" si="8">COUNTIF(D11:D121,"&lt;"&amp;D10*40%)</f>
        <v>0</v>
      </c>
      <c r="E128" s="176">
        <f t="shared" si="8"/>
        <v>0</v>
      </c>
      <c r="F128" s="176">
        <f t="shared" si="8"/>
        <v>1</v>
      </c>
      <c r="G128" s="176">
        <f t="shared" si="8"/>
        <v>1</v>
      </c>
      <c r="H128" s="176">
        <f t="shared" si="8"/>
        <v>3</v>
      </c>
    </row>
    <row r="129" spans="2:8" ht="15.75" customHeight="1">
      <c r="B129" s="187">
        <v>7</v>
      </c>
      <c r="C129" s="178" t="s">
        <v>29</v>
      </c>
      <c r="D129" s="185">
        <f t="shared" ref="D129:H129" si="9">(D124*3+D125*2+D126*1)/(COUNT(D8:D121)*3)*100</f>
        <v>74.404761904761912</v>
      </c>
      <c r="E129" s="185">
        <f t="shared" si="9"/>
        <v>90.178571428571431</v>
      </c>
      <c r="F129" s="185">
        <f t="shared" si="9"/>
        <v>84.226190476190482</v>
      </c>
      <c r="G129" s="185">
        <f t="shared" si="9"/>
        <v>86.30952380952381</v>
      </c>
      <c r="H129" s="185">
        <f t="shared" si="9"/>
        <v>86.607142857142861</v>
      </c>
    </row>
    <row r="130" spans="2:8" ht="15.75" customHeight="1">
      <c r="B130" s="177">
        <v>8</v>
      </c>
      <c r="C130" s="186" t="s">
        <v>398</v>
      </c>
      <c r="D130" s="176">
        <f t="shared" ref="D130:H130" si="10">IF(D129&lt;&gt;"NA",IF(D129&gt;=70,3,IF(D129&gt;=60,2,IF(D129&gt;=50,1,"0"))),"NA")</f>
        <v>3</v>
      </c>
      <c r="E130" s="176">
        <f t="shared" si="10"/>
        <v>3</v>
      </c>
      <c r="F130" s="176">
        <f t="shared" si="10"/>
        <v>3</v>
      </c>
      <c r="G130" s="176">
        <f t="shared" si="10"/>
        <v>3</v>
      </c>
      <c r="H130" s="176">
        <f t="shared" si="10"/>
        <v>3</v>
      </c>
    </row>
  </sheetData>
  <sortState ref="A12:J202">
    <sortCondition ref="B12:B202"/>
  </sortState>
  <mergeCells count="13">
    <mergeCell ref="A1:N1"/>
    <mergeCell ref="A2:N2"/>
    <mergeCell ref="A3:N3"/>
    <mergeCell ref="A4:N4"/>
    <mergeCell ref="A7:A10"/>
    <mergeCell ref="B7:B10"/>
    <mergeCell ref="N9:N10"/>
    <mergeCell ref="A5:N5"/>
    <mergeCell ref="A6:B6"/>
    <mergeCell ref="D6:N6"/>
    <mergeCell ref="D7:M7"/>
    <mergeCell ref="N7:N8"/>
    <mergeCell ref="C7:C8"/>
  </mergeCells>
  <pageMargins left="0.7" right="0.7" top="0.75" bottom="0.75" header="0.3" footer="0.3"/>
  <pageSetup scale="7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opLeftCell="A115" workbookViewId="0">
      <selection activeCell="D133" sqref="D133"/>
    </sheetView>
  </sheetViews>
  <sheetFormatPr defaultColWidth="8.85546875" defaultRowHeight="12.75"/>
  <cols>
    <col min="1" max="1" width="11.28515625" style="32" customWidth="1"/>
    <col min="2" max="2" width="15.140625" style="34" customWidth="1"/>
    <col min="3" max="3" width="41.42578125" style="32" bestFit="1" customWidth="1"/>
    <col min="4" max="4" width="18.5703125" style="32" customWidth="1"/>
    <col min="5" max="5" width="15.7109375" style="32" customWidth="1"/>
    <col min="6" max="6" width="17.85546875" style="32" customWidth="1"/>
    <col min="7" max="7" width="19" style="32" customWidth="1"/>
    <col min="8" max="8" width="18.5703125" style="32" customWidth="1"/>
    <col min="9" max="16384" width="8.85546875" style="32"/>
  </cols>
  <sheetData>
    <row r="1" spans="1:15" s="7" customFormat="1" ht="21" customHeight="1">
      <c r="A1" s="214" t="s">
        <v>94</v>
      </c>
      <c r="B1" s="214"/>
      <c r="C1" s="214"/>
      <c r="D1" s="214"/>
      <c r="E1" s="214"/>
      <c r="F1" s="214"/>
      <c r="G1" s="214"/>
      <c r="H1" s="214"/>
      <c r="I1" s="83"/>
      <c r="J1" s="83"/>
      <c r="K1" s="83"/>
      <c r="L1" s="83"/>
      <c r="M1" s="83"/>
      <c r="N1" s="83"/>
      <c r="O1" s="110"/>
    </row>
    <row r="2" spans="1:15" s="7" customFormat="1" ht="25.15" customHeight="1">
      <c r="A2" s="215" t="s">
        <v>95</v>
      </c>
      <c r="B2" s="215"/>
      <c r="C2" s="215"/>
      <c r="D2" s="215"/>
      <c r="E2" s="215"/>
      <c r="F2" s="215"/>
      <c r="G2" s="215"/>
      <c r="H2" s="215"/>
      <c r="I2" s="84"/>
      <c r="J2" s="84"/>
      <c r="K2" s="84"/>
      <c r="L2" s="84"/>
      <c r="M2" s="84"/>
      <c r="N2" s="84"/>
      <c r="O2" s="110"/>
    </row>
    <row r="3" spans="1:15" s="7" customFormat="1" ht="21.6" customHeight="1">
      <c r="A3" s="216" t="s">
        <v>96</v>
      </c>
      <c r="B3" s="216"/>
      <c r="C3" s="216"/>
      <c r="D3" s="216"/>
      <c r="E3" s="216"/>
      <c r="F3" s="216"/>
      <c r="G3" s="216"/>
      <c r="H3" s="216"/>
      <c r="I3" s="85"/>
      <c r="J3" s="85"/>
      <c r="K3" s="85"/>
      <c r="L3" s="85"/>
      <c r="M3" s="85"/>
      <c r="N3" s="85"/>
      <c r="O3" s="110"/>
    </row>
    <row r="4" spans="1:15" s="7" customFormat="1" ht="19.899999999999999" customHeight="1">
      <c r="A4" s="216" t="s">
        <v>9</v>
      </c>
      <c r="B4" s="216"/>
      <c r="C4" s="216"/>
      <c r="D4" s="216"/>
      <c r="E4" s="216"/>
      <c r="F4" s="216"/>
      <c r="G4" s="216"/>
      <c r="H4" s="216"/>
      <c r="I4" s="85"/>
      <c r="J4" s="85"/>
      <c r="K4" s="85"/>
      <c r="L4" s="85"/>
      <c r="M4" s="85"/>
      <c r="N4" s="85"/>
      <c r="O4" s="110"/>
    </row>
    <row r="5" spans="1:15" s="7" customFormat="1" ht="20.25">
      <c r="A5" s="300" t="s">
        <v>5</v>
      </c>
      <c r="B5" s="300"/>
      <c r="C5" s="300"/>
      <c r="D5" s="300"/>
      <c r="E5" s="300"/>
      <c r="F5" s="300"/>
      <c r="G5" s="300"/>
      <c r="H5" s="301"/>
      <c r="I5" s="110"/>
      <c r="J5" s="110"/>
      <c r="K5" s="110"/>
      <c r="L5" s="110"/>
      <c r="M5" s="110"/>
      <c r="N5" s="110"/>
      <c r="O5" s="110"/>
    </row>
    <row r="6" spans="1:15" s="7" customFormat="1" ht="43.15" customHeight="1">
      <c r="A6" s="298" t="str">
        <f>CONCATENATE(Class," ", spl)</f>
        <v xml:space="preserve">MCA I SEM I AY 2023-24 </v>
      </c>
      <c r="B6" s="298"/>
      <c r="C6" s="103" t="str">
        <f>CONCATENATE("Name of Faculty: ", Faculty)</f>
        <v>Name of Faculty: Narsareddy Chude, Sonali Late</v>
      </c>
      <c r="D6" s="290" t="str">
        <f>CONCATENATE("Course Name: ", Sub_Code)</f>
        <v>Course Name: Java Programming</v>
      </c>
      <c r="E6" s="293"/>
      <c r="F6" s="293"/>
      <c r="G6" s="293"/>
      <c r="H6" s="291"/>
    </row>
    <row r="7" spans="1:15" s="30" customFormat="1" ht="25.5">
      <c r="A7" s="111" t="s">
        <v>0</v>
      </c>
      <c r="B7" s="112" t="s">
        <v>6</v>
      </c>
      <c r="C7" s="112" t="s">
        <v>7</v>
      </c>
      <c r="D7" s="113" t="s">
        <v>126</v>
      </c>
      <c r="E7" s="113" t="s">
        <v>127</v>
      </c>
      <c r="F7" s="113" t="s">
        <v>128</v>
      </c>
      <c r="G7" s="113" t="s">
        <v>129</v>
      </c>
      <c r="H7" s="114" t="s">
        <v>130</v>
      </c>
    </row>
    <row r="8" spans="1:15" s="30" customFormat="1" ht="15.75">
      <c r="A8" s="144">
        <v>1</v>
      </c>
      <c r="B8" s="138">
        <v>22101</v>
      </c>
      <c r="C8" s="139" t="s">
        <v>148</v>
      </c>
      <c r="D8" s="141">
        <f>'CCE1'!G11</f>
        <v>19</v>
      </c>
      <c r="E8" s="141">
        <f>'CCE2'!I11</f>
        <v>14</v>
      </c>
      <c r="F8" s="141">
        <f>'CCE3'!N11</f>
        <v>37</v>
      </c>
      <c r="G8" s="142">
        <f>SUM(Table3[[#This Row],[CCE'#1  (30)]:[CCE'#3 (50)]])</f>
        <v>70</v>
      </c>
      <c r="H8" s="143">
        <f>G8/4</f>
        <v>17.5</v>
      </c>
    </row>
    <row r="9" spans="1:15" s="30" customFormat="1" ht="15.75">
      <c r="A9" s="144">
        <v>2</v>
      </c>
      <c r="B9" s="138">
        <v>22102</v>
      </c>
      <c r="C9" s="139" t="s">
        <v>149</v>
      </c>
      <c r="D9" s="141">
        <f>'CCE1'!G12</f>
        <v>17</v>
      </c>
      <c r="E9" s="141">
        <f>'CCE2'!I12</f>
        <v>21</v>
      </c>
      <c r="F9" s="141">
        <f>'CCE3'!N12</f>
        <v>35</v>
      </c>
      <c r="G9" s="142">
        <f>SUM(Table3[[#This Row],[CCE'#1  (30)]:[CCE'#3 (50)]])</f>
        <v>73</v>
      </c>
      <c r="H9" s="143">
        <f t="shared" ref="H9:H72" si="0">G9/4</f>
        <v>18.25</v>
      </c>
    </row>
    <row r="10" spans="1:15" s="30" customFormat="1" ht="15.75">
      <c r="A10" s="144">
        <v>3</v>
      </c>
      <c r="B10" s="138">
        <v>22103</v>
      </c>
      <c r="C10" s="139" t="s">
        <v>150</v>
      </c>
      <c r="D10" s="141">
        <f>'CCE1'!G13</f>
        <v>17</v>
      </c>
      <c r="E10" s="141">
        <f>'CCE2'!I13</f>
        <v>19</v>
      </c>
      <c r="F10" s="141">
        <f>'CCE3'!N13</f>
        <v>29</v>
      </c>
      <c r="G10" s="142">
        <f>SUM(Table3[[#This Row],[CCE'#1  (30)]:[CCE'#3 (50)]])</f>
        <v>65</v>
      </c>
      <c r="H10" s="143">
        <f t="shared" si="0"/>
        <v>16.25</v>
      </c>
    </row>
    <row r="11" spans="1:15" s="30" customFormat="1" ht="15.75">
      <c r="A11" s="144">
        <v>4</v>
      </c>
      <c r="B11" s="138">
        <v>22104</v>
      </c>
      <c r="C11" s="139" t="s">
        <v>151</v>
      </c>
      <c r="D11" s="141">
        <f>'CCE1'!G14</f>
        <v>17</v>
      </c>
      <c r="E11" s="141">
        <f>'CCE2'!I14</f>
        <v>14</v>
      </c>
      <c r="F11" s="141">
        <f>'CCE3'!N14</f>
        <v>31</v>
      </c>
      <c r="G11" s="142">
        <f>SUM(Table3[[#This Row],[CCE'#1  (30)]:[CCE'#3 (50)]])</f>
        <v>62</v>
      </c>
      <c r="H11" s="143">
        <f t="shared" si="0"/>
        <v>15.5</v>
      </c>
    </row>
    <row r="12" spans="1:15" s="30" customFormat="1" ht="15.75">
      <c r="A12" s="144">
        <v>5</v>
      </c>
      <c r="B12" s="138">
        <v>22105</v>
      </c>
      <c r="C12" s="139" t="s">
        <v>152</v>
      </c>
      <c r="D12" s="141">
        <f>'CCE1'!G15</f>
        <v>13</v>
      </c>
      <c r="E12" s="141">
        <f>'CCE2'!I15</f>
        <v>21</v>
      </c>
      <c r="F12" s="141">
        <f>'CCE3'!N15</f>
        <v>27</v>
      </c>
      <c r="G12" s="142">
        <f>SUM(Table3[[#This Row],[CCE'#1  (30)]:[CCE'#3 (50)]])</f>
        <v>61</v>
      </c>
      <c r="H12" s="143">
        <f t="shared" si="0"/>
        <v>15.25</v>
      </c>
    </row>
    <row r="13" spans="1:15" s="30" customFormat="1" ht="15.75">
      <c r="A13" s="144">
        <v>6</v>
      </c>
      <c r="B13" s="138">
        <v>22106</v>
      </c>
      <c r="C13" s="139" t="s">
        <v>153</v>
      </c>
      <c r="D13" s="141">
        <f>'CCE1'!G16</f>
        <v>19</v>
      </c>
      <c r="E13" s="141">
        <f>'CCE2'!I16</f>
        <v>17</v>
      </c>
      <c r="F13" s="141">
        <f>'CCE3'!N16</f>
        <v>33</v>
      </c>
      <c r="G13" s="142">
        <f>SUM(Table3[[#This Row],[CCE'#1  (30)]:[CCE'#3 (50)]])</f>
        <v>69</v>
      </c>
      <c r="H13" s="143">
        <f t="shared" si="0"/>
        <v>17.25</v>
      </c>
    </row>
    <row r="14" spans="1:15" s="30" customFormat="1" ht="15.75">
      <c r="A14" s="144">
        <v>7</v>
      </c>
      <c r="B14" s="138">
        <v>22107</v>
      </c>
      <c r="C14" s="139" t="s">
        <v>154</v>
      </c>
      <c r="D14" s="141">
        <f>'CCE1'!G17</f>
        <v>19</v>
      </c>
      <c r="E14" s="141">
        <f>'CCE2'!I17</f>
        <v>18</v>
      </c>
      <c r="F14" s="141">
        <f>'CCE3'!N17</f>
        <v>40</v>
      </c>
      <c r="G14" s="142">
        <f>SUM(Table3[[#This Row],[CCE'#1  (30)]:[CCE'#3 (50)]])</f>
        <v>77</v>
      </c>
      <c r="H14" s="143">
        <f t="shared" si="0"/>
        <v>19.25</v>
      </c>
    </row>
    <row r="15" spans="1:15" s="30" customFormat="1" ht="15.75">
      <c r="A15" s="144">
        <v>8</v>
      </c>
      <c r="B15" s="138">
        <v>22108</v>
      </c>
      <c r="C15" s="139" t="s">
        <v>155</v>
      </c>
      <c r="D15" s="141">
        <f>'CCE1'!G18</f>
        <v>24</v>
      </c>
      <c r="E15" s="141">
        <f>'CCE2'!I18</f>
        <v>16</v>
      </c>
      <c r="F15" s="141">
        <f>'CCE3'!N18</f>
        <v>33</v>
      </c>
      <c r="G15" s="142">
        <f>SUM(Table3[[#This Row],[CCE'#1  (30)]:[CCE'#3 (50)]])</f>
        <v>73</v>
      </c>
      <c r="H15" s="143">
        <f t="shared" si="0"/>
        <v>18.25</v>
      </c>
    </row>
    <row r="16" spans="1:15" s="30" customFormat="1" ht="15.75">
      <c r="A16" s="144">
        <v>9</v>
      </c>
      <c r="B16" s="138">
        <v>22109</v>
      </c>
      <c r="C16" s="139" t="s">
        <v>156</v>
      </c>
      <c r="D16" s="141">
        <f>'CCE1'!G19</f>
        <v>19</v>
      </c>
      <c r="E16" s="141">
        <f>'CCE2'!I19</f>
        <v>19</v>
      </c>
      <c r="F16" s="141">
        <f>'CCE3'!N19</f>
        <v>32</v>
      </c>
      <c r="G16" s="142">
        <f>SUM(Table3[[#This Row],[CCE'#1  (30)]:[CCE'#3 (50)]])</f>
        <v>70</v>
      </c>
      <c r="H16" s="143">
        <f t="shared" si="0"/>
        <v>17.5</v>
      </c>
    </row>
    <row r="17" spans="1:8" s="30" customFormat="1" ht="15.75">
      <c r="A17" s="144">
        <v>10</v>
      </c>
      <c r="B17" s="138">
        <v>22110</v>
      </c>
      <c r="C17" s="139" t="s">
        <v>157</v>
      </c>
      <c r="D17" s="141">
        <f>'CCE1'!G20</f>
        <v>21</v>
      </c>
      <c r="E17" s="141">
        <f>'CCE2'!I20</f>
        <v>16</v>
      </c>
      <c r="F17" s="141">
        <f>'CCE3'!N20</f>
        <v>34</v>
      </c>
      <c r="G17" s="142">
        <f>SUM(Table3[[#This Row],[CCE'#1  (30)]:[CCE'#3 (50)]])</f>
        <v>71</v>
      </c>
      <c r="H17" s="143">
        <f t="shared" si="0"/>
        <v>17.75</v>
      </c>
    </row>
    <row r="18" spans="1:8" s="30" customFormat="1" ht="15.75">
      <c r="A18" s="144">
        <v>11</v>
      </c>
      <c r="B18" s="138">
        <v>22111</v>
      </c>
      <c r="C18" s="139" t="s">
        <v>158</v>
      </c>
      <c r="D18" s="141">
        <f>'CCE1'!G21</f>
        <v>21</v>
      </c>
      <c r="E18" s="141">
        <f>'CCE2'!I21</f>
        <v>17</v>
      </c>
      <c r="F18" s="141">
        <f>'CCE3'!N21</f>
        <v>36</v>
      </c>
      <c r="G18" s="142">
        <f>SUM(Table3[[#This Row],[CCE'#1  (30)]:[CCE'#3 (50)]])</f>
        <v>74</v>
      </c>
      <c r="H18" s="143">
        <f t="shared" si="0"/>
        <v>18.5</v>
      </c>
    </row>
    <row r="19" spans="1:8" s="30" customFormat="1" ht="15.75">
      <c r="A19" s="144">
        <v>12</v>
      </c>
      <c r="B19" s="138">
        <v>22112</v>
      </c>
      <c r="C19" s="139" t="s">
        <v>159</v>
      </c>
      <c r="D19" s="141">
        <f>'CCE1'!G22</f>
        <v>15</v>
      </c>
      <c r="E19" s="141">
        <f>'CCE2'!I22</f>
        <v>16</v>
      </c>
      <c r="F19" s="141">
        <f>'CCE3'!N22</f>
        <v>34</v>
      </c>
      <c r="G19" s="142">
        <f>SUM(Table3[[#This Row],[CCE'#1  (30)]:[CCE'#3 (50)]])</f>
        <v>65</v>
      </c>
      <c r="H19" s="143">
        <f t="shared" si="0"/>
        <v>16.25</v>
      </c>
    </row>
    <row r="20" spans="1:8" s="30" customFormat="1" ht="15.75">
      <c r="A20" s="144">
        <v>13</v>
      </c>
      <c r="B20" s="138">
        <v>22113</v>
      </c>
      <c r="C20" s="139" t="s">
        <v>160</v>
      </c>
      <c r="D20" s="141">
        <f>'CCE1'!G23</f>
        <v>20</v>
      </c>
      <c r="E20" s="141">
        <f>'CCE2'!I23</f>
        <v>18</v>
      </c>
      <c r="F20" s="141">
        <f>'CCE3'!N23</f>
        <v>33</v>
      </c>
      <c r="G20" s="142">
        <f>SUM(Table3[[#This Row],[CCE'#1  (30)]:[CCE'#3 (50)]])</f>
        <v>71</v>
      </c>
      <c r="H20" s="143">
        <f t="shared" si="0"/>
        <v>17.75</v>
      </c>
    </row>
    <row r="21" spans="1:8" s="30" customFormat="1" ht="15.75">
      <c r="A21" s="144">
        <v>14</v>
      </c>
      <c r="B21" s="138">
        <v>22114</v>
      </c>
      <c r="C21" s="139" t="s">
        <v>161</v>
      </c>
      <c r="D21" s="141">
        <f>'CCE1'!G24</f>
        <v>22</v>
      </c>
      <c r="E21" s="141">
        <f>'CCE2'!I24</f>
        <v>21</v>
      </c>
      <c r="F21" s="141">
        <f>'CCE3'!N24</f>
        <v>38</v>
      </c>
      <c r="G21" s="142">
        <f>SUM(Table3[[#This Row],[CCE'#1  (30)]:[CCE'#3 (50)]])</f>
        <v>81</v>
      </c>
      <c r="H21" s="143">
        <f t="shared" si="0"/>
        <v>20.25</v>
      </c>
    </row>
    <row r="22" spans="1:8" s="30" customFormat="1" ht="15.75">
      <c r="A22" s="144">
        <v>15</v>
      </c>
      <c r="B22" s="138">
        <v>22115</v>
      </c>
      <c r="C22" s="139" t="s">
        <v>162</v>
      </c>
      <c r="D22" s="141">
        <f>'CCE1'!G25</f>
        <v>24</v>
      </c>
      <c r="E22" s="141">
        <f>'CCE2'!I25</f>
        <v>22</v>
      </c>
      <c r="F22" s="141">
        <f>'CCE3'!N25</f>
        <v>33</v>
      </c>
      <c r="G22" s="142">
        <f>SUM(Table3[[#This Row],[CCE'#1  (30)]:[CCE'#3 (50)]])</f>
        <v>79</v>
      </c>
      <c r="H22" s="143">
        <f t="shared" si="0"/>
        <v>19.75</v>
      </c>
    </row>
    <row r="23" spans="1:8" s="30" customFormat="1" ht="15.75">
      <c r="A23" s="144">
        <v>16</v>
      </c>
      <c r="B23" s="138">
        <v>22116</v>
      </c>
      <c r="C23" s="139" t="s">
        <v>163</v>
      </c>
      <c r="D23" s="141">
        <f>'CCE1'!G26</f>
        <v>19</v>
      </c>
      <c r="E23" s="141">
        <f>'CCE2'!I26</f>
        <v>22</v>
      </c>
      <c r="F23" s="141">
        <f>'CCE3'!N26</f>
        <v>37</v>
      </c>
      <c r="G23" s="142">
        <f>SUM(Table3[[#This Row],[CCE'#1  (30)]:[CCE'#3 (50)]])</f>
        <v>78</v>
      </c>
      <c r="H23" s="143">
        <f t="shared" si="0"/>
        <v>19.5</v>
      </c>
    </row>
    <row r="24" spans="1:8" s="30" customFormat="1" ht="15.75">
      <c r="A24" s="144">
        <v>17</v>
      </c>
      <c r="B24" s="138">
        <v>22117</v>
      </c>
      <c r="C24" s="139" t="s">
        <v>164</v>
      </c>
      <c r="D24" s="141">
        <f>'CCE1'!G27</f>
        <v>15</v>
      </c>
      <c r="E24" s="141">
        <f>'CCE2'!I27</f>
        <v>20</v>
      </c>
      <c r="F24" s="141">
        <f>'CCE3'!N27</f>
        <v>34</v>
      </c>
      <c r="G24" s="142">
        <f>SUM(Table3[[#This Row],[CCE'#1  (30)]:[CCE'#3 (50)]])</f>
        <v>69</v>
      </c>
      <c r="H24" s="143">
        <f t="shared" si="0"/>
        <v>17.25</v>
      </c>
    </row>
    <row r="25" spans="1:8" s="30" customFormat="1" ht="15.75">
      <c r="A25" s="144">
        <v>18</v>
      </c>
      <c r="B25" s="138">
        <v>22118</v>
      </c>
      <c r="C25" s="139" t="s">
        <v>165</v>
      </c>
      <c r="D25" s="141">
        <f>'CCE1'!G28</f>
        <v>14</v>
      </c>
      <c r="E25" s="141">
        <f>'CCE2'!I28</f>
        <v>19</v>
      </c>
      <c r="F25" s="141">
        <f>'CCE3'!N28</f>
        <v>34</v>
      </c>
      <c r="G25" s="142">
        <f>SUM(Table3[[#This Row],[CCE'#1  (30)]:[CCE'#3 (50)]])</f>
        <v>67</v>
      </c>
      <c r="H25" s="143">
        <f t="shared" si="0"/>
        <v>16.75</v>
      </c>
    </row>
    <row r="26" spans="1:8" s="30" customFormat="1" ht="15.75">
      <c r="A26" s="144">
        <v>19</v>
      </c>
      <c r="B26" s="138">
        <v>22119</v>
      </c>
      <c r="C26" s="139" t="s">
        <v>166</v>
      </c>
      <c r="D26" s="141">
        <f>'CCE1'!G11</f>
        <v>19</v>
      </c>
      <c r="E26" s="141">
        <f>'CCE2'!I29</f>
        <v>21</v>
      </c>
      <c r="F26" s="141">
        <f>'CCE3'!N29</f>
        <v>35</v>
      </c>
      <c r="G26" s="142">
        <f>SUM(Table3[[#This Row],[CCE'#1  (30)]:[CCE'#3 (50)]])</f>
        <v>75</v>
      </c>
      <c r="H26" s="143">
        <f t="shared" si="0"/>
        <v>18.75</v>
      </c>
    </row>
    <row r="27" spans="1:8" s="30" customFormat="1" ht="15.75">
      <c r="A27" s="144">
        <v>20</v>
      </c>
      <c r="B27" s="138">
        <v>22120</v>
      </c>
      <c r="C27" s="139" t="s">
        <v>167</v>
      </c>
      <c r="D27" s="141">
        <f>'CCE1'!G12</f>
        <v>17</v>
      </c>
      <c r="E27" s="141">
        <f>'CCE2'!I30</f>
        <v>22</v>
      </c>
      <c r="F27" s="141">
        <f>'CCE3'!N30</f>
        <v>34</v>
      </c>
      <c r="G27" s="142">
        <f>SUM(Table3[[#This Row],[CCE'#1  (30)]:[CCE'#3 (50)]])</f>
        <v>73</v>
      </c>
      <c r="H27" s="143">
        <f t="shared" si="0"/>
        <v>18.25</v>
      </c>
    </row>
    <row r="28" spans="1:8" s="30" customFormat="1" ht="15.75">
      <c r="A28" s="144">
        <v>21</v>
      </c>
      <c r="B28" s="138">
        <v>22121</v>
      </c>
      <c r="C28" s="139" t="s">
        <v>168</v>
      </c>
      <c r="D28" s="141">
        <f>'CCE1'!G13</f>
        <v>17</v>
      </c>
      <c r="E28" s="141">
        <f>'CCE2'!I31</f>
        <v>13</v>
      </c>
      <c r="F28" s="141">
        <f>'CCE3'!N31</f>
        <v>35</v>
      </c>
      <c r="G28" s="142">
        <f>SUM(Table3[[#This Row],[CCE'#1  (30)]:[CCE'#3 (50)]])</f>
        <v>65</v>
      </c>
      <c r="H28" s="143">
        <f t="shared" si="0"/>
        <v>16.25</v>
      </c>
    </row>
    <row r="29" spans="1:8" s="30" customFormat="1" ht="15.75">
      <c r="A29" s="144">
        <v>22</v>
      </c>
      <c r="B29" s="138">
        <v>22122</v>
      </c>
      <c r="C29" s="139" t="s">
        <v>169</v>
      </c>
      <c r="D29" s="141">
        <f>'CCE1'!G14</f>
        <v>17</v>
      </c>
      <c r="E29" s="141">
        <f>'CCE2'!I32</f>
        <v>19</v>
      </c>
      <c r="F29" s="141">
        <f>'CCE3'!N32</f>
        <v>36</v>
      </c>
      <c r="G29" s="142">
        <f>SUM(Table3[[#This Row],[CCE'#1  (30)]:[CCE'#3 (50)]])</f>
        <v>72</v>
      </c>
      <c r="H29" s="143">
        <f t="shared" si="0"/>
        <v>18</v>
      </c>
    </row>
    <row r="30" spans="1:8" s="30" customFormat="1" ht="15.75">
      <c r="A30" s="144">
        <v>23</v>
      </c>
      <c r="B30" s="138">
        <v>22123</v>
      </c>
      <c r="C30" s="139" t="s">
        <v>170</v>
      </c>
      <c r="D30" s="141">
        <f>'CCE1'!G15</f>
        <v>13</v>
      </c>
      <c r="E30" s="141">
        <f>'CCE2'!I33</f>
        <v>22</v>
      </c>
      <c r="F30" s="141">
        <f>'CCE3'!N33</f>
        <v>35</v>
      </c>
      <c r="G30" s="142">
        <f>SUM(Table3[[#This Row],[CCE'#1  (30)]:[CCE'#3 (50)]])</f>
        <v>70</v>
      </c>
      <c r="H30" s="143">
        <f t="shared" si="0"/>
        <v>17.5</v>
      </c>
    </row>
    <row r="31" spans="1:8" s="30" customFormat="1" ht="15.75">
      <c r="A31" s="144">
        <v>24</v>
      </c>
      <c r="B31" s="138">
        <v>22124</v>
      </c>
      <c r="C31" s="139" t="s">
        <v>171</v>
      </c>
      <c r="D31" s="141">
        <f>'CCE1'!G16</f>
        <v>19</v>
      </c>
      <c r="E31" s="141">
        <f>'CCE2'!I34</f>
        <v>21</v>
      </c>
      <c r="F31" s="141">
        <f>'CCE3'!N34</f>
        <v>33</v>
      </c>
      <c r="G31" s="142">
        <f>SUM(Table3[[#This Row],[CCE'#1  (30)]:[CCE'#3 (50)]])</f>
        <v>73</v>
      </c>
      <c r="H31" s="143">
        <f t="shared" si="0"/>
        <v>18.25</v>
      </c>
    </row>
    <row r="32" spans="1:8" s="30" customFormat="1" ht="15.75">
      <c r="A32" s="144">
        <v>25</v>
      </c>
      <c r="B32" s="138">
        <v>22125</v>
      </c>
      <c r="C32" s="139" t="s">
        <v>172</v>
      </c>
      <c r="D32" s="141">
        <f>'CCE1'!G17</f>
        <v>19</v>
      </c>
      <c r="E32" s="141">
        <f>'CCE2'!I35</f>
        <v>18</v>
      </c>
      <c r="F32" s="141">
        <f>'CCE3'!N35</f>
        <v>35</v>
      </c>
      <c r="G32" s="142">
        <f>SUM(Table3[[#This Row],[CCE'#1  (30)]:[CCE'#3 (50)]])</f>
        <v>72</v>
      </c>
      <c r="H32" s="143">
        <f t="shared" si="0"/>
        <v>18</v>
      </c>
    </row>
    <row r="33" spans="1:8" s="30" customFormat="1" ht="15.75">
      <c r="A33" s="144">
        <v>26</v>
      </c>
      <c r="B33" s="138">
        <v>22126</v>
      </c>
      <c r="C33" s="139" t="s">
        <v>173</v>
      </c>
      <c r="D33" s="141">
        <f>'CCE1'!G18</f>
        <v>24</v>
      </c>
      <c r="E33" s="141">
        <f>'CCE2'!I36</f>
        <v>19</v>
      </c>
      <c r="F33" s="141">
        <f>'CCE3'!N36</f>
        <v>39</v>
      </c>
      <c r="G33" s="142">
        <f>SUM(Table3[[#This Row],[CCE'#1  (30)]:[CCE'#3 (50)]])</f>
        <v>82</v>
      </c>
      <c r="H33" s="143">
        <f t="shared" si="0"/>
        <v>20.5</v>
      </c>
    </row>
    <row r="34" spans="1:8" s="30" customFormat="1" ht="15.75">
      <c r="A34" s="144">
        <v>27</v>
      </c>
      <c r="B34" s="138">
        <v>22127</v>
      </c>
      <c r="C34" s="139" t="s">
        <v>174</v>
      </c>
      <c r="D34" s="141">
        <f>'CCE1'!G19</f>
        <v>19</v>
      </c>
      <c r="E34" s="141">
        <f>'CCE2'!I37</f>
        <v>20</v>
      </c>
      <c r="F34" s="141">
        <f>'CCE3'!N37</f>
        <v>37</v>
      </c>
      <c r="G34" s="142">
        <f>SUM(Table3[[#This Row],[CCE'#1  (30)]:[CCE'#3 (50)]])</f>
        <v>76</v>
      </c>
      <c r="H34" s="143">
        <f t="shared" si="0"/>
        <v>19</v>
      </c>
    </row>
    <row r="35" spans="1:8" s="30" customFormat="1" ht="15.75">
      <c r="A35" s="144">
        <v>28</v>
      </c>
      <c r="B35" s="138">
        <v>22128</v>
      </c>
      <c r="C35" s="139" t="s">
        <v>175</v>
      </c>
      <c r="D35" s="141">
        <f>'CCE1'!G20</f>
        <v>21</v>
      </c>
      <c r="E35" s="141">
        <f>'CCE2'!I38</f>
        <v>19</v>
      </c>
      <c r="F35" s="141">
        <f>'CCE3'!N38</f>
        <v>34</v>
      </c>
      <c r="G35" s="142">
        <f>SUM(Table3[[#This Row],[CCE'#1  (30)]:[CCE'#3 (50)]])</f>
        <v>74</v>
      </c>
      <c r="H35" s="143">
        <f t="shared" si="0"/>
        <v>18.5</v>
      </c>
    </row>
    <row r="36" spans="1:8" s="30" customFormat="1" ht="15.75">
      <c r="A36" s="144">
        <v>29</v>
      </c>
      <c r="B36" s="138">
        <v>22129</v>
      </c>
      <c r="C36" s="139" t="s">
        <v>176</v>
      </c>
      <c r="D36" s="141">
        <f>'CCE1'!G21</f>
        <v>21</v>
      </c>
      <c r="E36" s="141">
        <f>'CCE2'!I39</f>
        <v>19</v>
      </c>
      <c r="F36" s="141">
        <f>'CCE3'!N39</f>
        <v>31</v>
      </c>
      <c r="G36" s="142">
        <f>SUM(Table3[[#This Row],[CCE'#1  (30)]:[CCE'#3 (50)]])</f>
        <v>71</v>
      </c>
      <c r="H36" s="143">
        <f t="shared" si="0"/>
        <v>17.75</v>
      </c>
    </row>
    <row r="37" spans="1:8" s="30" customFormat="1" ht="15.75">
      <c r="A37" s="144">
        <v>30</v>
      </c>
      <c r="B37" s="138">
        <v>22130</v>
      </c>
      <c r="C37" s="139" t="s">
        <v>177</v>
      </c>
      <c r="D37" s="141">
        <f>'CCE1'!G22</f>
        <v>15</v>
      </c>
      <c r="E37" s="141">
        <f>'CCE2'!I40</f>
        <v>18</v>
      </c>
      <c r="F37" s="141">
        <f>'CCE3'!N40</f>
        <v>33</v>
      </c>
      <c r="G37" s="142">
        <f>SUM(Table3[[#This Row],[CCE'#1  (30)]:[CCE'#3 (50)]])</f>
        <v>66</v>
      </c>
      <c r="H37" s="143">
        <f t="shared" si="0"/>
        <v>16.5</v>
      </c>
    </row>
    <row r="38" spans="1:8" s="30" customFormat="1" ht="15.75">
      <c r="A38" s="144">
        <v>31</v>
      </c>
      <c r="B38" s="138">
        <v>22131</v>
      </c>
      <c r="C38" s="139" t="s">
        <v>178</v>
      </c>
      <c r="D38" s="141">
        <f>'CCE1'!G23</f>
        <v>20</v>
      </c>
      <c r="E38" s="141">
        <f>'CCE2'!I41</f>
        <v>22</v>
      </c>
      <c r="F38" s="141">
        <f>'CCE3'!N41</f>
        <v>36</v>
      </c>
      <c r="G38" s="142">
        <f>SUM(Table3[[#This Row],[CCE'#1  (30)]:[CCE'#3 (50)]])</f>
        <v>78</v>
      </c>
      <c r="H38" s="143">
        <f t="shared" si="0"/>
        <v>19.5</v>
      </c>
    </row>
    <row r="39" spans="1:8" s="30" customFormat="1" ht="15.75">
      <c r="A39" s="144">
        <v>32</v>
      </c>
      <c r="B39" s="138">
        <v>22132</v>
      </c>
      <c r="C39" s="139" t="s">
        <v>179</v>
      </c>
      <c r="D39" s="141">
        <f>'CCE1'!G24</f>
        <v>22</v>
      </c>
      <c r="E39" s="141">
        <f>'CCE2'!I42</f>
        <v>21</v>
      </c>
      <c r="F39" s="141">
        <f>'CCE3'!N42</f>
        <v>35</v>
      </c>
      <c r="G39" s="142">
        <f>SUM(Table3[[#This Row],[CCE'#1  (30)]:[CCE'#3 (50)]])</f>
        <v>78</v>
      </c>
      <c r="H39" s="143">
        <f t="shared" si="0"/>
        <v>19.5</v>
      </c>
    </row>
    <row r="40" spans="1:8" s="30" customFormat="1" ht="15.75">
      <c r="A40" s="144">
        <v>33</v>
      </c>
      <c r="B40" s="138">
        <v>22133</v>
      </c>
      <c r="C40" s="139" t="s">
        <v>180</v>
      </c>
      <c r="D40" s="141">
        <f>'CCE1'!G25</f>
        <v>24</v>
      </c>
      <c r="E40" s="141">
        <f>'CCE2'!I43</f>
        <v>17</v>
      </c>
      <c r="F40" s="141">
        <f>'CCE3'!N43</f>
        <v>36</v>
      </c>
      <c r="G40" s="142">
        <f>SUM(Table3[[#This Row],[CCE'#1  (30)]:[CCE'#3 (50)]])</f>
        <v>77</v>
      </c>
      <c r="H40" s="143">
        <f t="shared" si="0"/>
        <v>19.25</v>
      </c>
    </row>
    <row r="41" spans="1:8" s="30" customFormat="1" ht="15.75">
      <c r="A41" s="144">
        <v>34</v>
      </c>
      <c r="B41" s="138">
        <v>22134</v>
      </c>
      <c r="C41" s="139" t="s">
        <v>181</v>
      </c>
      <c r="D41" s="141">
        <f>'CCE1'!G26</f>
        <v>19</v>
      </c>
      <c r="E41" s="141">
        <f>'CCE2'!I44</f>
        <v>21</v>
      </c>
      <c r="F41" s="141">
        <f>'CCE3'!N44</f>
        <v>37</v>
      </c>
      <c r="G41" s="142">
        <f>SUM(Table3[[#This Row],[CCE'#1  (30)]:[CCE'#3 (50)]])</f>
        <v>77</v>
      </c>
      <c r="H41" s="143">
        <f t="shared" si="0"/>
        <v>19.25</v>
      </c>
    </row>
    <row r="42" spans="1:8" s="30" customFormat="1" ht="15.75">
      <c r="A42" s="144">
        <v>35</v>
      </c>
      <c r="B42" s="138">
        <v>22135</v>
      </c>
      <c r="C42" s="139" t="s">
        <v>182</v>
      </c>
      <c r="D42" s="141">
        <f>'CCE1'!G27</f>
        <v>15</v>
      </c>
      <c r="E42" s="141">
        <f>'CCE2'!I45</f>
        <v>20</v>
      </c>
      <c r="F42" s="141">
        <f>'CCE3'!N45</f>
        <v>37</v>
      </c>
      <c r="G42" s="142">
        <f>SUM(Table3[[#This Row],[CCE'#1  (30)]:[CCE'#3 (50)]])</f>
        <v>72</v>
      </c>
      <c r="H42" s="143">
        <f t="shared" si="0"/>
        <v>18</v>
      </c>
    </row>
    <row r="43" spans="1:8" s="30" customFormat="1" ht="15.75">
      <c r="A43" s="144">
        <v>36</v>
      </c>
      <c r="B43" s="138">
        <v>22136</v>
      </c>
      <c r="C43" s="139" t="s">
        <v>183</v>
      </c>
      <c r="D43" s="141">
        <f>'CCE1'!G28</f>
        <v>14</v>
      </c>
      <c r="E43" s="141">
        <f>'CCE2'!I46</f>
        <v>18</v>
      </c>
      <c r="F43" s="141">
        <f>'CCE3'!N46</f>
        <v>39</v>
      </c>
      <c r="G43" s="142">
        <f>SUM(Table3[[#This Row],[CCE'#1  (30)]:[CCE'#3 (50)]])</f>
        <v>71</v>
      </c>
      <c r="H43" s="143">
        <f t="shared" si="0"/>
        <v>17.75</v>
      </c>
    </row>
    <row r="44" spans="1:8" s="30" customFormat="1" ht="15.75">
      <c r="A44" s="144">
        <v>37</v>
      </c>
      <c r="B44" s="138">
        <v>22137</v>
      </c>
      <c r="C44" s="139" t="s">
        <v>184</v>
      </c>
      <c r="D44" s="141">
        <f>'CCE1'!G29</f>
        <v>19</v>
      </c>
      <c r="E44" s="141">
        <f>'CCE2'!I47</f>
        <v>20</v>
      </c>
      <c r="F44" s="141">
        <f>'CCE3'!N47</f>
        <v>34</v>
      </c>
      <c r="G44" s="142">
        <f>SUM(Table3[[#This Row],[CCE'#1  (30)]:[CCE'#3 (50)]])</f>
        <v>73</v>
      </c>
      <c r="H44" s="143">
        <f t="shared" si="0"/>
        <v>18.25</v>
      </c>
    </row>
    <row r="45" spans="1:8" s="30" customFormat="1" ht="15.75">
      <c r="A45" s="144">
        <v>38</v>
      </c>
      <c r="B45" s="138">
        <v>22138</v>
      </c>
      <c r="C45" s="139" t="s">
        <v>185</v>
      </c>
      <c r="D45" s="141">
        <f>'CCE1'!G30</f>
        <v>16</v>
      </c>
      <c r="E45" s="141">
        <f>'CCE2'!I48</f>
        <v>21</v>
      </c>
      <c r="F45" s="141">
        <f>'CCE3'!N48</f>
        <v>38</v>
      </c>
      <c r="G45" s="142">
        <f>SUM(Table3[[#This Row],[CCE'#1  (30)]:[CCE'#3 (50)]])</f>
        <v>75</v>
      </c>
      <c r="H45" s="143">
        <f t="shared" si="0"/>
        <v>18.75</v>
      </c>
    </row>
    <row r="46" spans="1:8" s="30" customFormat="1" ht="15.75">
      <c r="A46" s="144">
        <v>39</v>
      </c>
      <c r="B46" s="138">
        <v>22139</v>
      </c>
      <c r="C46" s="139" t="s">
        <v>186</v>
      </c>
      <c r="D46" s="141">
        <f>'CCE1'!G31</f>
        <v>15</v>
      </c>
      <c r="E46" s="141">
        <f>'CCE2'!I49</f>
        <v>20</v>
      </c>
      <c r="F46" s="141">
        <f>'CCE3'!N49</f>
        <v>36</v>
      </c>
      <c r="G46" s="142">
        <f>SUM(Table3[[#This Row],[CCE'#1  (30)]:[CCE'#3 (50)]])</f>
        <v>71</v>
      </c>
      <c r="H46" s="143">
        <f t="shared" si="0"/>
        <v>17.75</v>
      </c>
    </row>
    <row r="47" spans="1:8" s="30" customFormat="1" ht="15.75">
      <c r="A47" s="144">
        <v>40</v>
      </c>
      <c r="B47" s="138">
        <v>22140</v>
      </c>
      <c r="C47" s="139" t="s">
        <v>187</v>
      </c>
      <c r="D47" s="141">
        <f>'CCE1'!G32</f>
        <v>19</v>
      </c>
      <c r="E47" s="141">
        <f>'CCE2'!I50</f>
        <v>19</v>
      </c>
      <c r="F47" s="141">
        <f>'CCE3'!N50</f>
        <v>35</v>
      </c>
      <c r="G47" s="142">
        <f>SUM(Table3[[#This Row],[CCE'#1  (30)]:[CCE'#3 (50)]])</f>
        <v>73</v>
      </c>
      <c r="H47" s="143">
        <f t="shared" si="0"/>
        <v>18.25</v>
      </c>
    </row>
    <row r="48" spans="1:8" s="30" customFormat="1" ht="15.75">
      <c r="A48" s="144">
        <v>41</v>
      </c>
      <c r="B48" s="138">
        <v>22141</v>
      </c>
      <c r="C48" s="139" t="s">
        <v>188</v>
      </c>
      <c r="D48" s="141">
        <f>'CCE1'!G33</f>
        <v>23</v>
      </c>
      <c r="E48" s="141">
        <f>'CCE2'!I51</f>
        <v>20</v>
      </c>
      <c r="F48" s="141">
        <f>'CCE3'!N51</f>
        <v>36</v>
      </c>
      <c r="G48" s="142">
        <f>SUM(Table3[[#This Row],[CCE'#1  (30)]:[CCE'#3 (50)]])</f>
        <v>79</v>
      </c>
      <c r="H48" s="143">
        <f t="shared" si="0"/>
        <v>19.75</v>
      </c>
    </row>
    <row r="49" spans="1:8" s="30" customFormat="1" ht="15.75">
      <c r="A49" s="144">
        <v>42</v>
      </c>
      <c r="B49" s="138">
        <v>22142</v>
      </c>
      <c r="C49" s="139" t="s">
        <v>189</v>
      </c>
      <c r="D49" s="141">
        <f>'CCE1'!G34</f>
        <v>17</v>
      </c>
      <c r="E49" s="141">
        <f>'CCE2'!I52</f>
        <v>20</v>
      </c>
      <c r="F49" s="141">
        <f>'CCE3'!N52</f>
        <v>34</v>
      </c>
      <c r="G49" s="142">
        <f>SUM(Table3[[#This Row],[CCE'#1  (30)]:[CCE'#3 (50)]])</f>
        <v>71</v>
      </c>
      <c r="H49" s="143">
        <f t="shared" si="0"/>
        <v>17.75</v>
      </c>
    </row>
    <row r="50" spans="1:8" s="30" customFormat="1" ht="15.75">
      <c r="A50" s="144">
        <v>43</v>
      </c>
      <c r="B50" s="138">
        <v>22143</v>
      </c>
      <c r="C50" s="139" t="s">
        <v>190</v>
      </c>
      <c r="D50" s="141">
        <f>'CCE1'!G35</f>
        <v>17</v>
      </c>
      <c r="E50" s="141">
        <f>'CCE2'!I53</f>
        <v>20</v>
      </c>
      <c r="F50" s="141">
        <f>'CCE3'!N53</f>
        <v>35</v>
      </c>
      <c r="G50" s="142">
        <f>SUM(Table3[[#This Row],[CCE'#1  (30)]:[CCE'#3 (50)]])</f>
        <v>72</v>
      </c>
      <c r="H50" s="143">
        <f t="shared" si="0"/>
        <v>18</v>
      </c>
    </row>
    <row r="51" spans="1:8" s="30" customFormat="1" ht="15.75">
      <c r="A51" s="144">
        <v>44</v>
      </c>
      <c r="B51" s="138">
        <v>22144</v>
      </c>
      <c r="C51" s="139" t="s">
        <v>191</v>
      </c>
      <c r="D51" s="141">
        <f>'CCE1'!G36</f>
        <v>16</v>
      </c>
      <c r="E51" s="141">
        <f>'CCE2'!I54</f>
        <v>21</v>
      </c>
      <c r="F51" s="141">
        <f>'CCE3'!N54</f>
        <v>35</v>
      </c>
      <c r="G51" s="142">
        <f>SUM(Table3[[#This Row],[CCE'#1  (30)]:[CCE'#3 (50)]])</f>
        <v>72</v>
      </c>
      <c r="H51" s="143">
        <f t="shared" si="0"/>
        <v>18</v>
      </c>
    </row>
    <row r="52" spans="1:8" s="30" customFormat="1" ht="15.75">
      <c r="A52" s="144">
        <v>45</v>
      </c>
      <c r="B52" s="138">
        <v>22145</v>
      </c>
      <c r="C52" s="139" t="s">
        <v>192</v>
      </c>
      <c r="D52" s="141">
        <f>'CCE1'!G37</f>
        <v>20</v>
      </c>
      <c r="E52" s="141">
        <f>'CCE2'!I55</f>
        <v>17</v>
      </c>
      <c r="F52" s="141">
        <f>'CCE3'!N55</f>
        <v>28</v>
      </c>
      <c r="G52" s="142">
        <f>SUM(Table3[[#This Row],[CCE'#1  (30)]:[CCE'#3 (50)]])</f>
        <v>65</v>
      </c>
      <c r="H52" s="143">
        <f t="shared" si="0"/>
        <v>16.25</v>
      </c>
    </row>
    <row r="53" spans="1:8" s="30" customFormat="1" ht="15.75">
      <c r="A53" s="144">
        <v>46</v>
      </c>
      <c r="B53" s="138">
        <v>22146</v>
      </c>
      <c r="C53" s="139" t="s">
        <v>193</v>
      </c>
      <c r="D53" s="141">
        <f>'CCE1'!G38</f>
        <v>16</v>
      </c>
      <c r="E53" s="141">
        <f>'CCE2'!I56</f>
        <v>20</v>
      </c>
      <c r="F53" s="141">
        <f>'CCE3'!N56</f>
        <v>29</v>
      </c>
      <c r="G53" s="142">
        <f>SUM(Table3[[#This Row],[CCE'#1  (30)]:[CCE'#3 (50)]])</f>
        <v>65</v>
      </c>
      <c r="H53" s="143">
        <f t="shared" si="0"/>
        <v>16.25</v>
      </c>
    </row>
    <row r="54" spans="1:8" s="30" customFormat="1" ht="15.75">
      <c r="A54" s="144">
        <v>47</v>
      </c>
      <c r="B54" s="138">
        <v>22147</v>
      </c>
      <c r="C54" s="139" t="s">
        <v>194</v>
      </c>
      <c r="D54" s="141">
        <f>'CCE1'!G39</f>
        <v>16</v>
      </c>
      <c r="E54" s="141">
        <f>'CCE2'!I57</f>
        <v>21</v>
      </c>
      <c r="F54" s="141">
        <f>'CCE3'!N57</f>
        <v>32</v>
      </c>
      <c r="G54" s="142">
        <f>SUM(Table3[[#This Row],[CCE'#1  (30)]:[CCE'#3 (50)]])</f>
        <v>69</v>
      </c>
      <c r="H54" s="143">
        <f t="shared" si="0"/>
        <v>17.25</v>
      </c>
    </row>
    <row r="55" spans="1:8" s="30" customFormat="1" ht="15.75">
      <c r="A55" s="144">
        <v>48</v>
      </c>
      <c r="B55" s="138">
        <v>22148</v>
      </c>
      <c r="C55" s="139" t="s">
        <v>195</v>
      </c>
      <c r="D55" s="141">
        <f>'CCE1'!G40</f>
        <v>21</v>
      </c>
      <c r="E55" s="141">
        <f>'CCE2'!I58</f>
        <v>21</v>
      </c>
      <c r="F55" s="141">
        <f>'CCE3'!N58</f>
        <v>29</v>
      </c>
      <c r="G55" s="142">
        <f>SUM(Table3[[#This Row],[CCE'#1  (30)]:[CCE'#3 (50)]])</f>
        <v>71</v>
      </c>
      <c r="H55" s="143">
        <f t="shared" si="0"/>
        <v>17.75</v>
      </c>
    </row>
    <row r="56" spans="1:8" s="30" customFormat="1" ht="15.75">
      <c r="A56" s="144">
        <v>49</v>
      </c>
      <c r="B56" s="138">
        <v>22149</v>
      </c>
      <c r="C56" s="139" t="s">
        <v>196</v>
      </c>
      <c r="D56" s="141">
        <f>'CCE1'!G41</f>
        <v>18</v>
      </c>
      <c r="E56" s="141">
        <f>'CCE2'!I59</f>
        <v>17</v>
      </c>
      <c r="F56" s="141">
        <f>'CCE3'!N59</f>
        <v>34</v>
      </c>
      <c r="G56" s="142">
        <f>SUM(Table3[[#This Row],[CCE'#1  (30)]:[CCE'#3 (50)]])</f>
        <v>69</v>
      </c>
      <c r="H56" s="143">
        <f t="shared" si="0"/>
        <v>17.25</v>
      </c>
    </row>
    <row r="57" spans="1:8" s="30" customFormat="1" ht="15.75">
      <c r="A57" s="144">
        <v>50</v>
      </c>
      <c r="B57" s="138">
        <v>22150</v>
      </c>
      <c r="C57" s="139" t="s">
        <v>197</v>
      </c>
      <c r="D57" s="141">
        <f>'CCE1'!G42</f>
        <v>16</v>
      </c>
      <c r="E57" s="141">
        <f>'CCE2'!I60</f>
        <v>22</v>
      </c>
      <c r="F57" s="141">
        <f>'CCE3'!N60</f>
        <v>33</v>
      </c>
      <c r="G57" s="142">
        <f>SUM(Table3[[#This Row],[CCE'#1  (30)]:[CCE'#3 (50)]])</f>
        <v>71</v>
      </c>
      <c r="H57" s="143">
        <f t="shared" si="0"/>
        <v>17.75</v>
      </c>
    </row>
    <row r="58" spans="1:8" s="30" customFormat="1" ht="15.75">
      <c r="A58" s="144">
        <v>51</v>
      </c>
      <c r="B58" s="138">
        <v>22151</v>
      </c>
      <c r="C58" s="139" t="s">
        <v>198</v>
      </c>
      <c r="D58" s="141">
        <f>'CCE1'!G43</f>
        <v>20</v>
      </c>
      <c r="E58" s="141">
        <f>'CCE2'!I61</f>
        <v>18</v>
      </c>
      <c r="F58" s="141">
        <f>'CCE3'!N61</f>
        <v>38</v>
      </c>
      <c r="G58" s="142">
        <f>SUM(Table3[[#This Row],[CCE'#1  (30)]:[CCE'#3 (50)]])</f>
        <v>76</v>
      </c>
      <c r="H58" s="143">
        <f t="shared" si="0"/>
        <v>19</v>
      </c>
    </row>
    <row r="59" spans="1:8" s="30" customFormat="1" ht="15.75">
      <c r="A59" s="144">
        <v>52</v>
      </c>
      <c r="B59" s="138">
        <v>22152</v>
      </c>
      <c r="C59" s="139" t="s">
        <v>199</v>
      </c>
      <c r="D59" s="141">
        <f>'CCE1'!G44</f>
        <v>21</v>
      </c>
      <c r="E59" s="141">
        <f>'CCE2'!I62</f>
        <v>16</v>
      </c>
      <c r="F59" s="141">
        <f>'CCE3'!N62</f>
        <v>30</v>
      </c>
      <c r="G59" s="142">
        <f>SUM(Table3[[#This Row],[CCE'#1  (30)]:[CCE'#3 (50)]])</f>
        <v>67</v>
      </c>
      <c r="H59" s="143">
        <f t="shared" si="0"/>
        <v>16.75</v>
      </c>
    </row>
    <row r="60" spans="1:8" s="30" customFormat="1" ht="15.75">
      <c r="A60" s="144">
        <v>53</v>
      </c>
      <c r="B60" s="138">
        <v>22153</v>
      </c>
      <c r="C60" s="139" t="s">
        <v>200</v>
      </c>
      <c r="D60" s="141">
        <f>'CCE1'!G45</f>
        <v>19</v>
      </c>
      <c r="E60" s="141">
        <f>'CCE2'!I63</f>
        <v>21</v>
      </c>
      <c r="F60" s="141">
        <f>'CCE3'!N63</f>
        <v>34</v>
      </c>
      <c r="G60" s="142">
        <f>SUM(Table3[[#This Row],[CCE'#1  (30)]:[CCE'#3 (50)]])</f>
        <v>74</v>
      </c>
      <c r="H60" s="143">
        <f t="shared" si="0"/>
        <v>18.5</v>
      </c>
    </row>
    <row r="61" spans="1:8" s="30" customFormat="1" ht="15.75">
      <c r="A61" s="144">
        <v>54</v>
      </c>
      <c r="B61" s="138">
        <v>22154</v>
      </c>
      <c r="C61" s="139" t="s">
        <v>201</v>
      </c>
      <c r="D61" s="141">
        <f>'CCE1'!G46</f>
        <v>17</v>
      </c>
      <c r="E61" s="141">
        <f>'CCE2'!I64</f>
        <v>19</v>
      </c>
      <c r="F61" s="141">
        <f>'CCE3'!N64</f>
        <v>37</v>
      </c>
      <c r="G61" s="142">
        <f>SUM(Table3[[#This Row],[CCE'#1  (30)]:[CCE'#3 (50)]])</f>
        <v>73</v>
      </c>
      <c r="H61" s="143">
        <f t="shared" si="0"/>
        <v>18.25</v>
      </c>
    </row>
    <row r="62" spans="1:8" s="30" customFormat="1" ht="15.75">
      <c r="A62" s="144">
        <v>55</v>
      </c>
      <c r="B62" s="138">
        <v>22155</v>
      </c>
      <c r="C62" s="139" t="s">
        <v>202</v>
      </c>
      <c r="D62" s="141">
        <f>'CCE1'!G47</f>
        <v>21</v>
      </c>
      <c r="E62" s="141">
        <f>'CCE2'!I65</f>
        <v>21</v>
      </c>
      <c r="F62" s="141">
        <f>'CCE3'!N65</f>
        <v>33</v>
      </c>
      <c r="G62" s="142">
        <f>SUM(Table3[[#This Row],[CCE'#1  (30)]:[CCE'#3 (50)]])</f>
        <v>75</v>
      </c>
      <c r="H62" s="143">
        <f t="shared" si="0"/>
        <v>18.75</v>
      </c>
    </row>
    <row r="63" spans="1:8" s="30" customFormat="1" ht="15.75">
      <c r="A63" s="144">
        <v>56</v>
      </c>
      <c r="B63" s="138">
        <v>22156</v>
      </c>
      <c r="C63" s="139" t="s">
        <v>203</v>
      </c>
      <c r="D63" s="141">
        <f>'CCE1'!G48</f>
        <v>17</v>
      </c>
      <c r="E63" s="141">
        <f>'CCE2'!I66</f>
        <v>22</v>
      </c>
      <c r="F63" s="141">
        <f>'CCE3'!N66</f>
        <v>35</v>
      </c>
      <c r="G63" s="142">
        <f>SUM(Table3[[#This Row],[CCE'#1  (30)]:[CCE'#3 (50)]])</f>
        <v>74</v>
      </c>
      <c r="H63" s="143">
        <f t="shared" si="0"/>
        <v>18.5</v>
      </c>
    </row>
    <row r="64" spans="1:8" s="30" customFormat="1" ht="15.75">
      <c r="A64" s="144">
        <v>57</v>
      </c>
      <c r="B64" s="138">
        <v>22157</v>
      </c>
      <c r="C64" s="139" t="s">
        <v>204</v>
      </c>
      <c r="D64" s="141">
        <f>'CCE1'!G49</f>
        <v>17</v>
      </c>
      <c r="E64" s="141">
        <f>'CCE2'!I67</f>
        <v>22</v>
      </c>
      <c r="F64" s="141">
        <f>'CCE3'!N67</f>
        <v>33</v>
      </c>
      <c r="G64" s="142">
        <f>SUM(Table3[[#This Row],[CCE'#1  (30)]:[CCE'#3 (50)]])</f>
        <v>72</v>
      </c>
      <c r="H64" s="143">
        <f t="shared" si="0"/>
        <v>18</v>
      </c>
    </row>
    <row r="65" spans="1:8" s="30" customFormat="1" ht="15.75">
      <c r="A65" s="144">
        <v>58</v>
      </c>
      <c r="B65" s="138">
        <v>22158</v>
      </c>
      <c r="C65" s="139" t="s">
        <v>205</v>
      </c>
      <c r="D65" s="141">
        <f>'CCE1'!G50</f>
        <v>17</v>
      </c>
      <c r="E65" s="141">
        <f>'CCE2'!I68</f>
        <v>22</v>
      </c>
      <c r="F65" s="141">
        <f>'CCE3'!N68</f>
        <v>33</v>
      </c>
      <c r="G65" s="142">
        <f>SUM(Table3[[#This Row],[CCE'#1  (30)]:[CCE'#3 (50)]])</f>
        <v>72</v>
      </c>
      <c r="H65" s="143">
        <f t="shared" si="0"/>
        <v>18</v>
      </c>
    </row>
    <row r="66" spans="1:8" s="30" customFormat="1" ht="15.75">
      <c r="A66" s="144">
        <v>59</v>
      </c>
      <c r="B66" s="138">
        <v>22159</v>
      </c>
      <c r="C66" s="139" t="s">
        <v>206</v>
      </c>
      <c r="D66" s="141">
        <f>'CCE1'!G51</f>
        <v>18</v>
      </c>
      <c r="E66" s="141">
        <f>'CCE2'!I69</f>
        <v>21</v>
      </c>
      <c r="F66" s="141">
        <f>'CCE3'!N69</f>
        <v>36</v>
      </c>
      <c r="G66" s="142">
        <f>SUM(Table3[[#This Row],[CCE'#1  (30)]:[CCE'#3 (50)]])</f>
        <v>75</v>
      </c>
      <c r="H66" s="143">
        <f t="shared" si="0"/>
        <v>18.75</v>
      </c>
    </row>
    <row r="67" spans="1:8" s="30" customFormat="1" ht="15.75">
      <c r="A67" s="144">
        <v>60</v>
      </c>
      <c r="B67" s="138">
        <v>22160</v>
      </c>
      <c r="C67" s="139" t="s">
        <v>207</v>
      </c>
      <c r="D67" s="141">
        <f>'CCE1'!G52</f>
        <v>18</v>
      </c>
      <c r="E67" s="141">
        <f>'CCE2'!I70</f>
        <v>20</v>
      </c>
      <c r="F67" s="141">
        <f>'CCE3'!N70</f>
        <v>37</v>
      </c>
      <c r="G67" s="142">
        <f>SUM(Table3[[#This Row],[CCE'#1  (30)]:[CCE'#3 (50)]])</f>
        <v>75</v>
      </c>
      <c r="H67" s="143">
        <f t="shared" si="0"/>
        <v>18.75</v>
      </c>
    </row>
    <row r="68" spans="1:8" s="30" customFormat="1" ht="15.75">
      <c r="A68" s="144">
        <v>61</v>
      </c>
      <c r="B68" s="138">
        <v>22161</v>
      </c>
      <c r="C68" s="139" t="s">
        <v>208</v>
      </c>
      <c r="D68" s="141">
        <f>'CCE1'!G53</f>
        <v>20</v>
      </c>
      <c r="E68" s="141">
        <f>'CCE2'!I71</f>
        <v>19</v>
      </c>
      <c r="F68" s="141">
        <f>'CCE3'!N71</f>
        <v>37</v>
      </c>
      <c r="G68" s="142">
        <f>SUM(Table3[[#This Row],[CCE'#1  (30)]:[CCE'#3 (50)]])</f>
        <v>76</v>
      </c>
      <c r="H68" s="143">
        <f t="shared" si="0"/>
        <v>19</v>
      </c>
    </row>
    <row r="69" spans="1:8" s="30" customFormat="1" ht="15.75">
      <c r="A69" s="144">
        <v>62</v>
      </c>
      <c r="B69" s="138">
        <v>22162</v>
      </c>
      <c r="C69" s="139" t="s">
        <v>209</v>
      </c>
      <c r="D69" s="141">
        <f>'CCE1'!G54</f>
        <v>19</v>
      </c>
      <c r="E69" s="141">
        <f>'CCE2'!I72</f>
        <v>19</v>
      </c>
      <c r="F69" s="141">
        <f>'CCE3'!N72</f>
        <v>40</v>
      </c>
      <c r="G69" s="142">
        <f>SUM(Table3[[#This Row],[CCE'#1  (30)]:[CCE'#3 (50)]])</f>
        <v>78</v>
      </c>
      <c r="H69" s="143">
        <f t="shared" si="0"/>
        <v>19.5</v>
      </c>
    </row>
    <row r="70" spans="1:8" s="30" customFormat="1" ht="15.75">
      <c r="A70" s="144">
        <v>63</v>
      </c>
      <c r="B70" s="138">
        <v>22163</v>
      </c>
      <c r="C70" s="139" t="s">
        <v>210</v>
      </c>
      <c r="D70" s="141">
        <f>'CCE1'!G55</f>
        <v>22</v>
      </c>
      <c r="E70" s="141">
        <f>'CCE2'!I73</f>
        <v>15</v>
      </c>
      <c r="F70" s="141">
        <f>'CCE3'!N73</f>
        <v>37</v>
      </c>
      <c r="G70" s="142">
        <f>SUM(Table3[[#This Row],[CCE'#1  (30)]:[CCE'#3 (50)]])</f>
        <v>74</v>
      </c>
      <c r="H70" s="143">
        <f t="shared" si="0"/>
        <v>18.5</v>
      </c>
    </row>
    <row r="71" spans="1:8" s="30" customFormat="1" ht="15.75">
      <c r="A71" s="144">
        <v>64</v>
      </c>
      <c r="B71" s="138">
        <v>22164</v>
      </c>
      <c r="C71" s="139" t="s">
        <v>211</v>
      </c>
      <c r="D71" s="141">
        <f>'CCE1'!G56</f>
        <v>19</v>
      </c>
      <c r="E71" s="141">
        <f>'CCE2'!I74</f>
        <v>19</v>
      </c>
      <c r="F71" s="141">
        <f>'CCE3'!N74</f>
        <v>37</v>
      </c>
      <c r="G71" s="142">
        <f>SUM(Table3[[#This Row],[CCE'#1  (30)]:[CCE'#3 (50)]])</f>
        <v>75</v>
      </c>
      <c r="H71" s="143">
        <f t="shared" si="0"/>
        <v>18.75</v>
      </c>
    </row>
    <row r="72" spans="1:8" s="30" customFormat="1" ht="15.75">
      <c r="A72" s="144">
        <v>65</v>
      </c>
      <c r="B72" s="138">
        <v>22165</v>
      </c>
      <c r="C72" s="139" t="s">
        <v>212</v>
      </c>
      <c r="D72" s="141">
        <f>'CCE1'!G57</f>
        <v>16</v>
      </c>
      <c r="E72" s="141">
        <f>'CCE2'!I75</f>
        <v>18</v>
      </c>
      <c r="F72" s="141">
        <f>'CCE3'!N75</f>
        <v>37</v>
      </c>
      <c r="G72" s="142">
        <f>SUM(Table3[[#This Row],[CCE'#1  (30)]:[CCE'#3 (50)]])</f>
        <v>71</v>
      </c>
      <c r="H72" s="143">
        <f t="shared" si="0"/>
        <v>17.75</v>
      </c>
    </row>
    <row r="73" spans="1:8" s="30" customFormat="1" ht="15.75">
      <c r="A73" s="144">
        <v>66</v>
      </c>
      <c r="B73" s="138">
        <v>22166</v>
      </c>
      <c r="C73" s="139" t="s">
        <v>213</v>
      </c>
      <c r="D73" s="141">
        <f>'CCE1'!G58</f>
        <v>17</v>
      </c>
      <c r="E73" s="141">
        <f>'CCE2'!I76</f>
        <v>21</v>
      </c>
      <c r="F73" s="141">
        <f>'CCE3'!N76</f>
        <v>38</v>
      </c>
      <c r="G73" s="142">
        <f>SUM(Table3[[#This Row],[CCE'#1  (30)]:[CCE'#3 (50)]])</f>
        <v>76</v>
      </c>
      <c r="H73" s="143">
        <f t="shared" ref="H73:H115" si="1">G73/4</f>
        <v>19</v>
      </c>
    </row>
    <row r="74" spans="1:8" s="30" customFormat="1" ht="15.75">
      <c r="A74" s="144">
        <v>67</v>
      </c>
      <c r="B74" s="138">
        <v>22167</v>
      </c>
      <c r="C74" s="139" t="s">
        <v>214</v>
      </c>
      <c r="D74" s="141">
        <f>'CCE1'!G59</f>
        <v>20</v>
      </c>
      <c r="E74" s="141">
        <f>'CCE2'!I77</f>
        <v>20</v>
      </c>
      <c r="F74" s="141">
        <f>'CCE3'!N77</f>
        <v>38</v>
      </c>
      <c r="G74" s="142">
        <f>SUM(Table3[[#This Row],[CCE'#1  (30)]:[CCE'#3 (50)]])</f>
        <v>78</v>
      </c>
      <c r="H74" s="143">
        <f t="shared" si="1"/>
        <v>19.5</v>
      </c>
    </row>
    <row r="75" spans="1:8" s="30" customFormat="1" ht="15.75">
      <c r="A75" s="144">
        <v>68</v>
      </c>
      <c r="B75" s="138">
        <v>22168</v>
      </c>
      <c r="C75" s="139" t="s">
        <v>215</v>
      </c>
      <c r="D75" s="141">
        <f>'CCE1'!G60</f>
        <v>21</v>
      </c>
      <c r="E75" s="141">
        <f>'CCE2'!I78</f>
        <v>22</v>
      </c>
      <c r="F75" s="141">
        <f>'CCE3'!N78</f>
        <v>37</v>
      </c>
      <c r="G75" s="142">
        <f>SUM(Table3[[#This Row],[CCE'#1  (30)]:[CCE'#3 (50)]])</f>
        <v>80</v>
      </c>
      <c r="H75" s="143">
        <f t="shared" si="1"/>
        <v>20</v>
      </c>
    </row>
    <row r="76" spans="1:8" s="30" customFormat="1" ht="15.75">
      <c r="A76" s="144">
        <v>69</v>
      </c>
      <c r="B76" s="138">
        <v>22201</v>
      </c>
      <c r="C76" s="139" t="s">
        <v>216</v>
      </c>
      <c r="D76" s="141">
        <f>'CCE1'!G61</f>
        <v>18</v>
      </c>
      <c r="E76" s="141">
        <f>'CCE2'!I79</f>
        <v>21</v>
      </c>
      <c r="F76" s="141">
        <f>'CCE3'!N79</f>
        <v>32</v>
      </c>
      <c r="G76" s="142">
        <f>SUM(Table3[[#This Row],[CCE'#1  (30)]:[CCE'#3 (50)]])</f>
        <v>71</v>
      </c>
      <c r="H76" s="143">
        <f t="shared" si="1"/>
        <v>17.75</v>
      </c>
    </row>
    <row r="77" spans="1:8" s="30" customFormat="1" ht="15.75">
      <c r="A77" s="144">
        <v>70</v>
      </c>
      <c r="B77" s="138">
        <v>22202</v>
      </c>
      <c r="C77" s="139" t="s">
        <v>217</v>
      </c>
      <c r="D77" s="141">
        <f>'CCE1'!G62</f>
        <v>19</v>
      </c>
      <c r="E77" s="141">
        <f>'CCE2'!I80</f>
        <v>24</v>
      </c>
      <c r="F77" s="141">
        <f>'CCE3'!N80</f>
        <v>35</v>
      </c>
      <c r="G77" s="142">
        <f>SUM(Table3[[#This Row],[CCE'#1  (30)]:[CCE'#3 (50)]])</f>
        <v>78</v>
      </c>
      <c r="H77" s="143">
        <f t="shared" si="1"/>
        <v>19.5</v>
      </c>
    </row>
    <row r="78" spans="1:8" s="30" customFormat="1" ht="15.75">
      <c r="A78" s="144">
        <v>71</v>
      </c>
      <c r="B78" s="138">
        <v>22203</v>
      </c>
      <c r="C78" s="139" t="s">
        <v>218</v>
      </c>
      <c r="D78" s="141">
        <f>'CCE1'!G63</f>
        <v>24</v>
      </c>
      <c r="E78" s="141">
        <f>'CCE2'!I81</f>
        <v>17</v>
      </c>
      <c r="F78" s="141">
        <f>'CCE3'!N81</f>
        <v>35</v>
      </c>
      <c r="G78" s="142">
        <f>SUM(Table3[[#This Row],[CCE'#1  (30)]:[CCE'#3 (50)]])</f>
        <v>76</v>
      </c>
      <c r="H78" s="143">
        <f t="shared" si="1"/>
        <v>19</v>
      </c>
    </row>
    <row r="79" spans="1:8" s="30" customFormat="1" ht="15.75">
      <c r="A79" s="144">
        <v>72</v>
      </c>
      <c r="B79" s="138">
        <v>22204</v>
      </c>
      <c r="C79" s="139" t="s">
        <v>219</v>
      </c>
      <c r="D79" s="141">
        <f>'CCE1'!G64</f>
        <v>19</v>
      </c>
      <c r="E79" s="141">
        <f>'CCE2'!I82</f>
        <v>17</v>
      </c>
      <c r="F79" s="141">
        <f>'CCE3'!N82</f>
        <v>36</v>
      </c>
      <c r="G79" s="142">
        <f>SUM(Table3[[#This Row],[CCE'#1  (30)]:[CCE'#3 (50)]])</f>
        <v>72</v>
      </c>
      <c r="H79" s="143">
        <f t="shared" si="1"/>
        <v>18</v>
      </c>
    </row>
    <row r="80" spans="1:8" s="30" customFormat="1" ht="15.75">
      <c r="A80" s="144">
        <v>73</v>
      </c>
      <c r="B80" s="138">
        <v>22205</v>
      </c>
      <c r="C80" s="139" t="s">
        <v>220</v>
      </c>
      <c r="D80" s="141">
        <f>'CCE1'!G65</f>
        <v>19</v>
      </c>
      <c r="E80" s="141">
        <f>'CCE2'!I83</f>
        <v>20</v>
      </c>
      <c r="F80" s="141">
        <f>'CCE3'!N83</f>
        <v>36</v>
      </c>
      <c r="G80" s="142">
        <f>SUM(Table3[[#This Row],[CCE'#1  (30)]:[CCE'#3 (50)]])</f>
        <v>75</v>
      </c>
      <c r="H80" s="143">
        <f t="shared" si="1"/>
        <v>18.75</v>
      </c>
    </row>
    <row r="81" spans="1:8" s="30" customFormat="1" ht="15.75">
      <c r="A81" s="144">
        <v>74</v>
      </c>
      <c r="B81" s="138">
        <v>22206</v>
      </c>
      <c r="C81" s="139" t="s">
        <v>221</v>
      </c>
      <c r="D81" s="141">
        <f>'CCE1'!G66</f>
        <v>22</v>
      </c>
      <c r="E81" s="141">
        <f>'CCE2'!I84</f>
        <v>20</v>
      </c>
      <c r="F81" s="141">
        <f>'CCE3'!N84</f>
        <v>34</v>
      </c>
      <c r="G81" s="142">
        <f>SUM(Table3[[#This Row],[CCE'#1  (30)]:[CCE'#3 (50)]])</f>
        <v>76</v>
      </c>
      <c r="H81" s="143">
        <f t="shared" si="1"/>
        <v>19</v>
      </c>
    </row>
    <row r="82" spans="1:8" s="30" customFormat="1" ht="15.75">
      <c r="A82" s="144">
        <v>75</v>
      </c>
      <c r="B82" s="138">
        <v>22207</v>
      </c>
      <c r="C82" s="139" t="s">
        <v>222</v>
      </c>
      <c r="D82" s="141">
        <f>'CCE1'!G67</f>
        <v>19</v>
      </c>
      <c r="E82" s="141">
        <f>'CCE2'!I85</f>
        <v>21</v>
      </c>
      <c r="F82" s="141">
        <f>'CCE3'!N85</f>
        <v>34</v>
      </c>
      <c r="G82" s="142">
        <f>SUM(Table3[[#This Row],[CCE'#1  (30)]:[CCE'#3 (50)]])</f>
        <v>74</v>
      </c>
      <c r="H82" s="143">
        <f t="shared" si="1"/>
        <v>18.5</v>
      </c>
    </row>
    <row r="83" spans="1:8" s="30" customFormat="1" ht="15.75">
      <c r="A83" s="144">
        <v>76</v>
      </c>
      <c r="B83" s="138">
        <v>22208</v>
      </c>
      <c r="C83" s="139" t="s">
        <v>223</v>
      </c>
      <c r="D83" s="141">
        <f>'CCE1'!G68</f>
        <v>20</v>
      </c>
      <c r="E83" s="141">
        <f>'CCE2'!I86</f>
        <v>20</v>
      </c>
      <c r="F83" s="141">
        <f>'CCE3'!N86</f>
        <v>36</v>
      </c>
      <c r="G83" s="142">
        <f>SUM(Table3[[#This Row],[CCE'#1  (30)]:[CCE'#3 (50)]])</f>
        <v>76</v>
      </c>
      <c r="H83" s="143">
        <f t="shared" si="1"/>
        <v>19</v>
      </c>
    </row>
    <row r="84" spans="1:8" s="30" customFormat="1" ht="15.75">
      <c r="A84" s="144">
        <v>77</v>
      </c>
      <c r="B84" s="138">
        <v>22209</v>
      </c>
      <c r="C84" s="139" t="s">
        <v>224</v>
      </c>
      <c r="D84" s="141">
        <f>'CCE1'!G69</f>
        <v>19</v>
      </c>
      <c r="E84" s="141">
        <f>'CCE2'!I87</f>
        <v>19</v>
      </c>
      <c r="F84" s="141">
        <f>'CCE3'!N87</f>
        <v>33</v>
      </c>
      <c r="G84" s="142">
        <f>SUM(Table3[[#This Row],[CCE'#1  (30)]:[CCE'#3 (50)]])</f>
        <v>71</v>
      </c>
      <c r="H84" s="143">
        <f t="shared" si="1"/>
        <v>17.75</v>
      </c>
    </row>
    <row r="85" spans="1:8" s="30" customFormat="1" ht="15.75">
      <c r="A85" s="144">
        <v>78</v>
      </c>
      <c r="B85" s="138">
        <v>22210</v>
      </c>
      <c r="C85" s="139" t="s">
        <v>225</v>
      </c>
      <c r="D85" s="141">
        <f>'CCE1'!G70</f>
        <v>21</v>
      </c>
      <c r="E85" s="141">
        <f>'CCE2'!I88</f>
        <v>22</v>
      </c>
      <c r="F85" s="141">
        <f>'CCE3'!N88</f>
        <v>35</v>
      </c>
      <c r="G85" s="142">
        <f>SUM(Table3[[#This Row],[CCE'#1  (30)]:[CCE'#3 (50)]])</f>
        <v>78</v>
      </c>
      <c r="H85" s="143">
        <f t="shared" si="1"/>
        <v>19.5</v>
      </c>
    </row>
    <row r="86" spans="1:8" s="30" customFormat="1" ht="15.75">
      <c r="A86" s="144">
        <v>79</v>
      </c>
      <c r="B86" s="138">
        <v>22211</v>
      </c>
      <c r="C86" s="139" t="s">
        <v>226</v>
      </c>
      <c r="D86" s="141">
        <f>'CCE1'!G71</f>
        <v>22</v>
      </c>
      <c r="E86" s="141">
        <f>'CCE2'!I89</f>
        <v>18</v>
      </c>
      <c r="F86" s="141">
        <f>'CCE3'!N89</f>
        <v>35</v>
      </c>
      <c r="G86" s="142">
        <f>SUM(Table3[[#This Row],[CCE'#1  (30)]:[CCE'#3 (50)]])</f>
        <v>75</v>
      </c>
      <c r="H86" s="143">
        <f t="shared" si="1"/>
        <v>18.75</v>
      </c>
    </row>
    <row r="87" spans="1:8" ht="15.75">
      <c r="A87" s="144">
        <v>80</v>
      </c>
      <c r="B87" s="138">
        <v>22212</v>
      </c>
      <c r="C87" s="139" t="s">
        <v>227</v>
      </c>
      <c r="D87" s="66">
        <f>'CCE1'!G11</f>
        <v>19</v>
      </c>
      <c r="E87" s="141">
        <f>'CCE2'!I90</f>
        <v>21</v>
      </c>
      <c r="F87" s="141">
        <f>'CCE3'!N90</f>
        <v>37</v>
      </c>
      <c r="G87" s="31">
        <f>SUM(Table3[[#This Row],[CCE'#1  (30)]:[CCE'#3 (50)]])</f>
        <v>77</v>
      </c>
      <c r="H87" s="143">
        <f t="shared" si="1"/>
        <v>19.25</v>
      </c>
    </row>
    <row r="88" spans="1:8" ht="15.75">
      <c r="A88" s="144">
        <v>81</v>
      </c>
      <c r="B88" s="138">
        <v>22213</v>
      </c>
      <c r="C88" s="139" t="s">
        <v>228</v>
      </c>
      <c r="D88" s="66">
        <f>'CCE1'!G12</f>
        <v>17</v>
      </c>
      <c r="E88" s="141">
        <f>'CCE2'!I91</f>
        <v>22</v>
      </c>
      <c r="F88" s="141">
        <f>'CCE3'!N91</f>
        <v>36</v>
      </c>
      <c r="G88" s="33">
        <f>SUM(Table3[[#This Row],[CCE'#1  (30)]:[CCE'#3 (50)]])</f>
        <v>75</v>
      </c>
      <c r="H88" s="143">
        <f t="shared" si="1"/>
        <v>18.75</v>
      </c>
    </row>
    <row r="89" spans="1:8" ht="15.75">
      <c r="A89" s="144">
        <v>82</v>
      </c>
      <c r="B89" s="138">
        <v>22214</v>
      </c>
      <c r="C89" s="139" t="s">
        <v>229</v>
      </c>
      <c r="D89" s="66">
        <f>'CCE1'!G13</f>
        <v>17</v>
      </c>
      <c r="E89" s="141">
        <f>'CCE2'!I92</f>
        <v>18</v>
      </c>
      <c r="F89" s="141">
        <f>'CCE3'!N92</f>
        <v>32</v>
      </c>
      <c r="G89" s="33">
        <f>SUM(Table3[[#This Row],[CCE'#1  (30)]:[CCE'#3 (50)]])</f>
        <v>67</v>
      </c>
      <c r="H89" s="143">
        <f t="shared" si="1"/>
        <v>16.75</v>
      </c>
    </row>
    <row r="90" spans="1:8" ht="15.75">
      <c r="A90" s="144">
        <v>83</v>
      </c>
      <c r="B90" s="138">
        <v>22215</v>
      </c>
      <c r="C90" s="139" t="s">
        <v>230</v>
      </c>
      <c r="D90" s="66">
        <f>'CCE1'!G14</f>
        <v>17</v>
      </c>
      <c r="E90" s="141">
        <f>'CCE2'!I93</f>
        <v>21</v>
      </c>
      <c r="F90" s="141">
        <f>'CCE3'!N93</f>
        <v>31</v>
      </c>
      <c r="G90" s="33">
        <f>SUM(Table3[[#This Row],[CCE'#1  (30)]:[CCE'#3 (50)]])</f>
        <v>69</v>
      </c>
      <c r="H90" s="143">
        <f t="shared" si="1"/>
        <v>17.25</v>
      </c>
    </row>
    <row r="91" spans="1:8" ht="15.75">
      <c r="A91" s="144">
        <v>84</v>
      </c>
      <c r="B91" s="138">
        <v>22216</v>
      </c>
      <c r="C91" s="139" t="s">
        <v>231</v>
      </c>
      <c r="D91" s="66">
        <f>'CCE1'!G15</f>
        <v>13</v>
      </c>
      <c r="E91" s="141">
        <f>'CCE2'!I94</f>
        <v>19</v>
      </c>
      <c r="F91" s="141">
        <f>'CCE3'!N94</f>
        <v>35</v>
      </c>
      <c r="G91" s="33">
        <f>SUM(Table3[[#This Row],[CCE'#1  (30)]:[CCE'#3 (50)]])</f>
        <v>67</v>
      </c>
      <c r="H91" s="143">
        <f t="shared" si="1"/>
        <v>16.75</v>
      </c>
    </row>
    <row r="92" spans="1:8" ht="15.75">
      <c r="A92" s="144">
        <v>85</v>
      </c>
      <c r="B92" s="138">
        <v>22217</v>
      </c>
      <c r="C92" s="139" t="s">
        <v>232</v>
      </c>
      <c r="D92" s="66">
        <f>'CCE1'!G16</f>
        <v>19</v>
      </c>
      <c r="E92" s="141">
        <f>'CCE2'!I95</f>
        <v>20</v>
      </c>
      <c r="F92" s="141">
        <f>'CCE3'!N95</f>
        <v>34</v>
      </c>
      <c r="G92" s="31">
        <f>SUM(Table3[[#This Row],[CCE'#1  (30)]:[CCE'#3 (50)]])</f>
        <v>73</v>
      </c>
      <c r="H92" s="143">
        <f t="shared" si="1"/>
        <v>18.25</v>
      </c>
    </row>
    <row r="93" spans="1:8" ht="15.75">
      <c r="A93" s="144">
        <v>86</v>
      </c>
      <c r="B93" s="138">
        <v>22218</v>
      </c>
      <c r="C93" s="139" t="s">
        <v>233</v>
      </c>
      <c r="D93" s="66">
        <f>'CCE1'!G17</f>
        <v>19</v>
      </c>
      <c r="E93" s="141">
        <f>'CCE2'!I96</f>
        <v>20</v>
      </c>
      <c r="F93" s="141">
        <f>'CCE3'!N96</f>
        <v>35</v>
      </c>
      <c r="G93" s="33">
        <f>SUM(Table3[[#This Row],[CCE'#1  (30)]:[CCE'#3 (50)]])</f>
        <v>74</v>
      </c>
      <c r="H93" s="143">
        <f t="shared" si="1"/>
        <v>18.5</v>
      </c>
    </row>
    <row r="94" spans="1:8" ht="15.75">
      <c r="A94" s="144">
        <v>87</v>
      </c>
      <c r="B94" s="138">
        <v>22219</v>
      </c>
      <c r="C94" s="139" t="s">
        <v>234</v>
      </c>
      <c r="D94" s="66">
        <f>'CCE1'!G18</f>
        <v>24</v>
      </c>
      <c r="E94" s="141">
        <f>'CCE2'!I97</f>
        <v>21</v>
      </c>
      <c r="F94" s="141">
        <f>'CCE3'!N97</f>
        <v>29</v>
      </c>
      <c r="G94" s="33">
        <f>SUM(Table3[[#This Row],[CCE'#1  (30)]:[CCE'#3 (50)]])</f>
        <v>74</v>
      </c>
      <c r="H94" s="143">
        <f t="shared" si="1"/>
        <v>18.5</v>
      </c>
    </row>
    <row r="95" spans="1:8" ht="15.75">
      <c r="A95" s="144">
        <v>88</v>
      </c>
      <c r="B95" s="138">
        <v>22220</v>
      </c>
      <c r="C95" s="139" t="s">
        <v>235</v>
      </c>
      <c r="D95" s="66">
        <f>'CCE1'!G19</f>
        <v>19</v>
      </c>
      <c r="E95" s="141">
        <f>'CCE2'!I98</f>
        <v>18</v>
      </c>
      <c r="F95" s="141">
        <f>'CCE3'!N98</f>
        <v>35</v>
      </c>
      <c r="G95" s="33">
        <f>SUM(Table3[[#This Row],[CCE'#1  (30)]:[CCE'#3 (50)]])</f>
        <v>72</v>
      </c>
      <c r="H95" s="143">
        <f t="shared" si="1"/>
        <v>18</v>
      </c>
    </row>
    <row r="96" spans="1:8" ht="15.75">
      <c r="A96" s="144">
        <v>89</v>
      </c>
      <c r="B96" s="138">
        <v>22221</v>
      </c>
      <c r="C96" s="139" t="s">
        <v>236</v>
      </c>
      <c r="D96" s="66">
        <f>'CCE1'!G20</f>
        <v>21</v>
      </c>
      <c r="E96" s="141">
        <f>'CCE2'!I99</f>
        <v>20</v>
      </c>
      <c r="F96" s="141">
        <f>'CCE3'!N99</f>
        <v>35</v>
      </c>
      <c r="G96" s="33">
        <f>SUM(Table3[[#This Row],[CCE'#1  (30)]:[CCE'#3 (50)]])</f>
        <v>76</v>
      </c>
      <c r="H96" s="143">
        <f t="shared" si="1"/>
        <v>19</v>
      </c>
    </row>
    <row r="97" spans="1:8" ht="15.75">
      <c r="A97" s="144">
        <v>90</v>
      </c>
      <c r="B97" s="138">
        <v>22222</v>
      </c>
      <c r="C97" s="139" t="s">
        <v>237</v>
      </c>
      <c r="D97" s="66">
        <f>'CCE1'!G21</f>
        <v>21</v>
      </c>
      <c r="E97" s="141">
        <f>'CCE2'!I100</f>
        <v>16</v>
      </c>
      <c r="F97" s="141">
        <f>'CCE3'!N100</f>
        <v>37</v>
      </c>
      <c r="G97" s="33">
        <f>SUM(Table3[[#This Row],[CCE'#1  (30)]:[CCE'#3 (50)]])</f>
        <v>74</v>
      </c>
      <c r="H97" s="143">
        <f t="shared" si="1"/>
        <v>18.5</v>
      </c>
    </row>
    <row r="98" spans="1:8" ht="15.75">
      <c r="A98" s="144">
        <v>91</v>
      </c>
      <c r="B98" s="138">
        <v>22223</v>
      </c>
      <c r="C98" s="139" t="s">
        <v>238</v>
      </c>
      <c r="D98" s="66">
        <f>'CCE1'!G22</f>
        <v>15</v>
      </c>
      <c r="E98" s="141">
        <f>'CCE2'!I101</f>
        <v>19</v>
      </c>
      <c r="F98" s="141">
        <f>'CCE3'!N101</f>
        <v>32</v>
      </c>
      <c r="G98" s="33">
        <f>SUM(Table3[[#This Row],[CCE'#1  (30)]:[CCE'#3 (50)]])</f>
        <v>66</v>
      </c>
      <c r="H98" s="143">
        <f t="shared" si="1"/>
        <v>16.5</v>
      </c>
    </row>
    <row r="99" spans="1:8" ht="15.75">
      <c r="A99" s="144">
        <v>92</v>
      </c>
      <c r="B99" s="138">
        <v>22224</v>
      </c>
      <c r="C99" s="139" t="s">
        <v>239</v>
      </c>
      <c r="D99" s="66">
        <f>'CCE1'!G23</f>
        <v>20</v>
      </c>
      <c r="E99" s="141">
        <f>'CCE2'!I102</f>
        <v>15</v>
      </c>
      <c r="F99" s="141">
        <f>'CCE3'!N102</f>
        <v>34</v>
      </c>
      <c r="G99" s="33">
        <f>SUM(Table3[[#This Row],[CCE'#1  (30)]:[CCE'#3 (50)]])</f>
        <v>69</v>
      </c>
      <c r="H99" s="143">
        <f t="shared" si="1"/>
        <v>17.25</v>
      </c>
    </row>
    <row r="100" spans="1:8" ht="15.75">
      <c r="A100" s="144">
        <v>93</v>
      </c>
      <c r="B100" s="138">
        <v>22225</v>
      </c>
      <c r="C100" s="139" t="s">
        <v>240</v>
      </c>
      <c r="D100" s="66">
        <f>'CCE1'!G24</f>
        <v>22</v>
      </c>
      <c r="E100" s="141">
        <f>'CCE2'!I103</f>
        <v>19</v>
      </c>
      <c r="F100" s="141">
        <f>'CCE3'!N103</f>
        <v>34</v>
      </c>
      <c r="G100" s="33">
        <f>SUM(Table3[[#This Row],[CCE'#1  (30)]:[CCE'#3 (50)]])</f>
        <v>75</v>
      </c>
      <c r="H100" s="143">
        <f t="shared" si="1"/>
        <v>18.75</v>
      </c>
    </row>
    <row r="101" spans="1:8" ht="15.75">
      <c r="A101" s="144">
        <v>94</v>
      </c>
      <c r="B101" s="138">
        <v>22226</v>
      </c>
      <c r="C101" s="139" t="s">
        <v>241</v>
      </c>
      <c r="D101" s="66">
        <f>'CCE1'!G25</f>
        <v>24</v>
      </c>
      <c r="E101" s="141">
        <f>'CCE2'!I104</f>
        <v>23</v>
      </c>
      <c r="F101" s="141">
        <f>'CCE3'!N104</f>
        <v>34</v>
      </c>
      <c r="G101" s="33">
        <f>SUM(Table3[[#This Row],[CCE'#1  (30)]:[CCE'#3 (50)]])</f>
        <v>81</v>
      </c>
      <c r="H101" s="143">
        <f t="shared" si="1"/>
        <v>20.25</v>
      </c>
    </row>
    <row r="102" spans="1:8" ht="15.75">
      <c r="A102" s="144">
        <v>95</v>
      </c>
      <c r="B102" s="138">
        <v>22227</v>
      </c>
      <c r="C102" s="139" t="s">
        <v>242</v>
      </c>
      <c r="D102" s="66">
        <f>'CCE1'!G26</f>
        <v>19</v>
      </c>
      <c r="E102" s="141">
        <f>'CCE2'!I105</f>
        <v>20</v>
      </c>
      <c r="F102" s="141">
        <f>'CCE3'!N105</f>
        <v>38</v>
      </c>
      <c r="G102" s="33">
        <f>SUM(Table3[[#This Row],[CCE'#1  (30)]:[CCE'#3 (50)]])</f>
        <v>77</v>
      </c>
      <c r="H102" s="143">
        <f t="shared" si="1"/>
        <v>19.25</v>
      </c>
    </row>
    <row r="103" spans="1:8" ht="15.75">
      <c r="A103" s="144">
        <v>96</v>
      </c>
      <c r="B103" s="138">
        <v>22228</v>
      </c>
      <c r="C103" s="139" t="s">
        <v>243</v>
      </c>
      <c r="D103" s="66">
        <f>'CCE1'!G27</f>
        <v>15</v>
      </c>
      <c r="E103" s="141">
        <f>'CCE2'!I106</f>
        <v>22</v>
      </c>
      <c r="F103" s="141">
        <f>'CCE3'!N106</f>
        <v>36</v>
      </c>
      <c r="G103" s="33">
        <f>SUM(Table3[[#This Row],[CCE'#1  (30)]:[CCE'#3 (50)]])</f>
        <v>73</v>
      </c>
      <c r="H103" s="143">
        <f t="shared" si="1"/>
        <v>18.25</v>
      </c>
    </row>
    <row r="104" spans="1:8" ht="15.75">
      <c r="A104" s="144">
        <v>97</v>
      </c>
      <c r="B104" s="138">
        <v>22229</v>
      </c>
      <c r="C104" s="139" t="s">
        <v>244</v>
      </c>
      <c r="D104" s="66">
        <f>'CCE1'!G28</f>
        <v>14</v>
      </c>
      <c r="E104" s="141">
        <f>'CCE2'!I107</f>
        <v>23</v>
      </c>
      <c r="F104" s="141">
        <f>'CCE3'!N107</f>
        <v>36</v>
      </c>
      <c r="G104" s="33">
        <f>SUM(Table3[[#This Row],[CCE'#1  (30)]:[CCE'#3 (50)]])</f>
        <v>73</v>
      </c>
      <c r="H104" s="143">
        <f t="shared" si="1"/>
        <v>18.25</v>
      </c>
    </row>
    <row r="105" spans="1:8" ht="15.75">
      <c r="A105" s="144">
        <v>98</v>
      </c>
      <c r="B105" s="138">
        <v>22230</v>
      </c>
      <c r="C105" s="139" t="s">
        <v>245</v>
      </c>
      <c r="D105" s="66">
        <f>'CCE1'!G29</f>
        <v>19</v>
      </c>
      <c r="E105" s="141">
        <f>'CCE2'!I108</f>
        <v>21</v>
      </c>
      <c r="F105" s="141">
        <f>'CCE3'!N108</f>
        <v>36</v>
      </c>
      <c r="G105" s="33">
        <f>SUM(Table3[[#This Row],[CCE'#1  (30)]:[CCE'#3 (50)]])</f>
        <v>76</v>
      </c>
      <c r="H105" s="143">
        <f t="shared" si="1"/>
        <v>19</v>
      </c>
    </row>
    <row r="106" spans="1:8" ht="15.75">
      <c r="A106" s="144">
        <v>99</v>
      </c>
      <c r="B106" s="138">
        <v>22231</v>
      </c>
      <c r="C106" s="139" t="s">
        <v>246</v>
      </c>
      <c r="D106" s="66">
        <f>'CCE1'!G30</f>
        <v>16</v>
      </c>
      <c r="E106" s="141">
        <f>'CCE2'!I109</f>
        <v>16</v>
      </c>
      <c r="F106" s="141">
        <f>'CCE3'!N109</f>
        <v>35</v>
      </c>
      <c r="G106" s="33">
        <f>SUM(Table3[[#This Row],[CCE'#1  (30)]:[CCE'#3 (50)]])</f>
        <v>67</v>
      </c>
      <c r="H106" s="143">
        <f t="shared" si="1"/>
        <v>16.75</v>
      </c>
    </row>
    <row r="107" spans="1:8" ht="15.75">
      <c r="A107" s="144">
        <v>100</v>
      </c>
      <c r="B107" s="138">
        <v>22232</v>
      </c>
      <c r="C107" s="139" t="s">
        <v>247</v>
      </c>
      <c r="D107" s="66">
        <f>'CCE1'!G31</f>
        <v>15</v>
      </c>
      <c r="E107" s="141">
        <f>'CCE2'!I110</f>
        <v>22</v>
      </c>
      <c r="F107" s="141">
        <f>'CCE3'!N110</f>
        <v>36</v>
      </c>
      <c r="G107" s="33">
        <f>SUM(Table3[[#This Row],[CCE'#1  (30)]:[CCE'#3 (50)]])</f>
        <v>73</v>
      </c>
      <c r="H107" s="143">
        <f t="shared" si="1"/>
        <v>18.25</v>
      </c>
    </row>
    <row r="108" spans="1:8" ht="15.75">
      <c r="A108" s="144">
        <v>101</v>
      </c>
      <c r="B108" s="138">
        <v>22233</v>
      </c>
      <c r="C108" s="139" t="s">
        <v>248</v>
      </c>
      <c r="D108" s="66">
        <f>'CCE1'!G32</f>
        <v>19</v>
      </c>
      <c r="E108" s="141">
        <f>'CCE2'!I111</f>
        <v>19</v>
      </c>
      <c r="F108" s="141">
        <f>'CCE3'!N111</f>
        <v>34</v>
      </c>
      <c r="G108" s="33">
        <f>SUM(Table3[[#This Row],[CCE'#1  (30)]:[CCE'#3 (50)]])</f>
        <v>72</v>
      </c>
      <c r="H108" s="143">
        <f t="shared" si="1"/>
        <v>18</v>
      </c>
    </row>
    <row r="109" spans="1:8" ht="15.75">
      <c r="A109" s="144">
        <v>102</v>
      </c>
      <c r="B109" s="138">
        <v>22234</v>
      </c>
      <c r="C109" s="139" t="s">
        <v>249</v>
      </c>
      <c r="D109" s="66">
        <f>'CCE1'!G33</f>
        <v>23</v>
      </c>
      <c r="E109" s="141">
        <f>'CCE2'!I112</f>
        <v>20</v>
      </c>
      <c r="F109" s="141">
        <f>'CCE3'!N112</f>
        <v>35</v>
      </c>
      <c r="G109" s="33">
        <f>SUM(Table3[[#This Row],[CCE'#1  (30)]:[CCE'#3 (50)]])</f>
        <v>78</v>
      </c>
      <c r="H109" s="143">
        <f t="shared" si="1"/>
        <v>19.5</v>
      </c>
    </row>
    <row r="110" spans="1:8" ht="15.75">
      <c r="A110" s="144">
        <v>103</v>
      </c>
      <c r="B110" s="138">
        <v>22235</v>
      </c>
      <c r="C110" s="139" t="s">
        <v>250</v>
      </c>
      <c r="D110" s="66">
        <f>'CCE1'!G34</f>
        <v>17</v>
      </c>
      <c r="E110" s="141">
        <f>'CCE2'!I113</f>
        <v>17</v>
      </c>
      <c r="F110" s="141">
        <f>'CCE3'!N113</f>
        <v>33</v>
      </c>
      <c r="G110" s="33">
        <f>SUM(Table3[[#This Row],[CCE'#1  (30)]:[CCE'#3 (50)]])</f>
        <v>67</v>
      </c>
      <c r="H110" s="143">
        <f t="shared" si="1"/>
        <v>16.75</v>
      </c>
    </row>
    <row r="111" spans="1:8" ht="15.75">
      <c r="A111" s="144">
        <v>104</v>
      </c>
      <c r="B111" s="138">
        <v>22236</v>
      </c>
      <c r="C111" s="139" t="s">
        <v>251</v>
      </c>
      <c r="D111" s="66">
        <f>'CCE1'!G35</f>
        <v>17</v>
      </c>
      <c r="E111" s="141">
        <f>'CCE2'!I114</f>
        <v>19</v>
      </c>
      <c r="F111" s="141">
        <f>'CCE3'!N114</f>
        <v>37</v>
      </c>
      <c r="G111" s="33">
        <f>SUM(Table3[[#This Row],[CCE'#1  (30)]:[CCE'#3 (50)]])</f>
        <v>73</v>
      </c>
      <c r="H111" s="143">
        <f t="shared" si="1"/>
        <v>18.25</v>
      </c>
    </row>
    <row r="112" spans="1:8" ht="15.75">
      <c r="A112" s="144">
        <v>105</v>
      </c>
      <c r="B112" s="138">
        <v>22237</v>
      </c>
      <c r="C112" s="139" t="s">
        <v>252</v>
      </c>
      <c r="D112" s="66">
        <f>'CCE1'!G36</f>
        <v>16</v>
      </c>
      <c r="E112" s="141">
        <f>'CCE2'!I115</f>
        <v>21</v>
      </c>
      <c r="F112" s="141">
        <f>'CCE3'!N115</f>
        <v>32</v>
      </c>
      <c r="G112" s="33">
        <f>SUM(Table3[[#This Row],[CCE'#1  (30)]:[CCE'#3 (50)]])</f>
        <v>69</v>
      </c>
      <c r="H112" s="143">
        <f t="shared" si="1"/>
        <v>17.25</v>
      </c>
    </row>
    <row r="113" spans="1:15" ht="15.75">
      <c r="A113" s="144">
        <v>106</v>
      </c>
      <c r="B113" s="138">
        <v>22238</v>
      </c>
      <c r="C113" s="139" t="s">
        <v>253</v>
      </c>
      <c r="D113" s="66">
        <f>'CCE1'!G37</f>
        <v>20</v>
      </c>
      <c r="E113" s="141">
        <f>'CCE2'!I116</f>
        <v>19</v>
      </c>
      <c r="F113" s="141">
        <f>'CCE3'!N116</f>
        <v>37</v>
      </c>
      <c r="G113" s="33">
        <f>SUM(Table3[[#This Row],[CCE'#1  (30)]:[CCE'#3 (50)]])</f>
        <v>76</v>
      </c>
      <c r="H113" s="143">
        <f t="shared" si="1"/>
        <v>19</v>
      </c>
    </row>
    <row r="114" spans="1:15" ht="15.75">
      <c r="A114" s="144">
        <v>107</v>
      </c>
      <c r="B114" s="138">
        <v>22239</v>
      </c>
      <c r="C114" s="139" t="s">
        <v>254</v>
      </c>
      <c r="D114" s="66">
        <f>'CCE1'!G38</f>
        <v>16</v>
      </c>
      <c r="E114" s="141">
        <f>'CCE2'!I117</f>
        <v>19</v>
      </c>
      <c r="F114" s="141">
        <f>'CCE3'!N117</f>
        <v>34</v>
      </c>
      <c r="G114" s="33">
        <f>SUM(Table3[[#This Row],[CCE'#1  (30)]:[CCE'#3 (50)]])</f>
        <v>69</v>
      </c>
      <c r="H114" s="143">
        <f t="shared" si="1"/>
        <v>17.25</v>
      </c>
    </row>
    <row r="115" spans="1:15" ht="15.75">
      <c r="A115" s="144">
        <v>108</v>
      </c>
      <c r="B115" s="138">
        <v>22240</v>
      </c>
      <c r="C115" s="139" t="s">
        <v>255</v>
      </c>
      <c r="D115" s="66">
        <f>'CCE1'!G39</f>
        <v>16</v>
      </c>
      <c r="E115" s="141">
        <f>'CCE2'!I118</f>
        <v>22</v>
      </c>
      <c r="F115" s="141">
        <f>'CCE3'!N118</f>
        <v>31</v>
      </c>
      <c r="G115" s="33">
        <f>SUM(Table3[[#This Row],[CCE'#1  (30)]:[CCE'#3 (50)]])</f>
        <v>69</v>
      </c>
      <c r="H115" s="143">
        <f t="shared" si="1"/>
        <v>17.25</v>
      </c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ht="18.7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 s="68"/>
    </row>
    <row r="119" spans="1:15" ht="18.7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 s="68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ht="15.75">
      <c r="A121" s="70"/>
      <c r="B121" t="str">
        <f>Faculty</f>
        <v>Narsareddy Chude, Sonali Late</v>
      </c>
      <c r="C121"/>
      <c r="G121" s="2"/>
      <c r="H121" s="2"/>
      <c r="K121" s="70"/>
      <c r="L121"/>
      <c r="M121" s="70"/>
      <c r="O121"/>
    </row>
    <row r="122" spans="1:15" ht="15.75">
      <c r="A122" s="70"/>
      <c r="B122" s="70" t="str">
        <f>SubjectDetails!E17</f>
        <v>Subject Faculty</v>
      </c>
      <c r="C122" s="299"/>
      <c r="D122" s="299"/>
      <c r="E122" s="299"/>
      <c r="G122" s="2"/>
      <c r="H122" s="2"/>
      <c r="K122" s="70"/>
      <c r="L122"/>
      <c r="M122" s="70"/>
      <c r="O122" s="7"/>
    </row>
    <row r="123" spans="1:15" ht="15.75">
      <c r="A123"/>
      <c r="B123"/>
      <c r="C123" s="73"/>
      <c r="D123" s="224"/>
      <c r="E123" s="224"/>
      <c r="F123"/>
      <c r="G123" s="39"/>
      <c r="H123"/>
      <c r="I123" s="2"/>
      <c r="J123" s="2"/>
      <c r="K123"/>
      <c r="L123"/>
      <c r="M123"/>
      <c r="O123" s="7"/>
    </row>
    <row r="124" spans="1:15" ht="15.75">
      <c r="A124" s="1"/>
      <c r="B124" s="1"/>
      <c r="C124" s="1"/>
      <c r="D124" s="224"/>
      <c r="E124" s="224"/>
      <c r="F124" s="2"/>
      <c r="G124" s="39"/>
      <c r="H124" s="2"/>
      <c r="I124" s="2"/>
      <c r="J124" s="2"/>
      <c r="K124" s="2"/>
      <c r="L124" s="2"/>
      <c r="M124" s="2"/>
      <c r="N124" s="3"/>
      <c r="O124" s="7"/>
    </row>
    <row r="125" spans="1:15" ht="15.75">
      <c r="A125" s="28"/>
      <c r="B125" s="27"/>
      <c r="C125" s="27"/>
      <c r="D125" s="27"/>
      <c r="E125" s="27"/>
      <c r="F125" s="27"/>
      <c r="G125" s="3"/>
      <c r="H125" s="27"/>
      <c r="I125" s="27"/>
      <c r="J125" s="27"/>
      <c r="K125" s="27"/>
      <c r="L125" s="27"/>
      <c r="M125" s="27"/>
      <c r="N125" s="27"/>
      <c r="O125" s="27"/>
    </row>
    <row r="126" spans="1:15" s="27" customFormat="1" ht="15.75">
      <c r="A126" s="221" t="str">
        <f>SubjectDetails!A24</f>
        <v>Dr. Ravi Chourasiya</v>
      </c>
      <c r="B126" s="221"/>
      <c r="C126" s="221"/>
      <c r="D126" t="str">
        <f>SubjectDetails!E24</f>
        <v>Dr. Ashwini Chavan</v>
      </c>
      <c r="E126" s="224"/>
      <c r="F126" s="224"/>
      <c r="G126" t="str">
        <f>SubjectDetails!H24</f>
        <v>Dr. Priyanka Singh</v>
      </c>
      <c r="H126"/>
      <c r="I126" s="222"/>
      <c r="J126" s="222"/>
      <c r="K126" s="70"/>
      <c r="L126"/>
      <c r="M126" s="70"/>
      <c r="N126" s="39"/>
      <c r="O126"/>
    </row>
    <row r="127" spans="1:15" s="27" customFormat="1" ht="15.75">
      <c r="A127" s="221" t="str">
        <f>SubjectDetails!A25</f>
        <v>(College Examination Officer)</v>
      </c>
      <c r="B127" s="221"/>
      <c r="C127" s="221"/>
      <c r="D127" s="115" t="str">
        <f>SubjectDetails!E25</f>
        <v>HOD (MCA)</v>
      </c>
      <c r="E127" s="224"/>
      <c r="F127" s="224"/>
      <c r="G127" s="115" t="str">
        <f>SubjectDetails!H25</f>
        <v>Director</v>
      </c>
      <c r="H127"/>
      <c r="I127" s="222"/>
      <c r="J127" s="222"/>
      <c r="K127" s="70"/>
      <c r="L127"/>
      <c r="M127" s="70"/>
      <c r="N127" s="39"/>
      <c r="O127" s="7"/>
    </row>
  </sheetData>
  <mergeCells count="16">
    <mergeCell ref="A1:H1"/>
    <mergeCell ref="A2:H2"/>
    <mergeCell ref="A3:H3"/>
    <mergeCell ref="A4:H4"/>
    <mergeCell ref="A126:C126"/>
    <mergeCell ref="E126:F126"/>
    <mergeCell ref="A6:B6"/>
    <mergeCell ref="A5:H5"/>
    <mergeCell ref="D6:H6"/>
    <mergeCell ref="I126:J126"/>
    <mergeCell ref="A127:C127"/>
    <mergeCell ref="E127:F127"/>
    <mergeCell ref="I127:J127"/>
    <mergeCell ref="C122:E122"/>
    <mergeCell ref="D123:E123"/>
    <mergeCell ref="D124:E124"/>
  </mergeCells>
  <pageMargins left="0.7" right="0.7" top="0.75" bottom="0.75" header="0.3" footer="0.3"/>
  <pageSetup scale="75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45"/>
  <sheetViews>
    <sheetView topLeftCell="A7" zoomScaleNormal="100" workbookViewId="0">
      <selection activeCell="R13" sqref="R13"/>
    </sheetView>
  </sheetViews>
  <sheetFormatPr defaultColWidth="8.85546875" defaultRowHeight="12.75"/>
  <cols>
    <col min="1" max="1" width="8.85546875" style="7"/>
    <col min="2" max="2" width="8.28515625" style="7" bestFit="1" customWidth="1"/>
    <col min="3" max="3" width="47.85546875" style="7" bestFit="1" customWidth="1"/>
    <col min="4" max="5" width="8.7109375" style="7" bestFit="1" customWidth="1"/>
    <col min="6" max="7" width="6.5703125" style="7" customWidth="1"/>
    <col min="8" max="15" width="6.28515625" style="7" customWidth="1"/>
    <col min="16" max="17" width="7.7109375" style="7" customWidth="1"/>
    <col min="18" max="18" width="8.7109375" style="7" customWidth="1"/>
    <col min="19" max="20" width="7.7109375" style="7" customWidth="1"/>
    <col min="21" max="21" width="9" style="7" bestFit="1" customWidth="1"/>
    <col min="22" max="16384" width="8.85546875" style="7"/>
  </cols>
  <sheetData>
    <row r="1" spans="1:24" ht="20.45" customHeight="1">
      <c r="A1" s="232" t="s">
        <v>94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</row>
    <row r="2" spans="1:24" ht="25.15" customHeight="1">
      <c r="A2" s="234" t="s">
        <v>95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</row>
    <row r="3" spans="1:24" ht="21.6" customHeight="1">
      <c r="A3" s="236" t="s">
        <v>96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</row>
    <row r="4" spans="1:24" ht="17.45" customHeight="1">
      <c r="A4" s="236" t="s">
        <v>9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</row>
    <row r="5" spans="1:24" ht="14.45" customHeight="1" thickBo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5.75">
      <c r="A6" s="12" t="str">
        <f>CONCATENATE("Faculty Name: ", Faculty)</f>
        <v>Faculty Name: Narsareddy Chude, Sonali Late</v>
      </c>
      <c r="B6" s="23"/>
      <c r="C6" s="23"/>
      <c r="D6" s="23"/>
      <c r="E6" s="23"/>
      <c r="F6" s="324" t="s">
        <v>144</v>
      </c>
      <c r="G6" s="324"/>
      <c r="H6" s="325"/>
      <c r="I6" s="330">
        <v>3</v>
      </c>
      <c r="J6" s="330"/>
      <c r="K6" s="151">
        <v>70</v>
      </c>
      <c r="L6" s="315" t="s">
        <v>28</v>
      </c>
      <c r="M6" s="316"/>
      <c r="N6" s="316"/>
      <c r="O6" s="317"/>
      <c r="P6" s="303">
        <v>0.6</v>
      </c>
      <c r="U6" s="6"/>
      <c r="V6" s="6"/>
      <c r="W6" s="6"/>
      <c r="X6" s="6"/>
    </row>
    <row r="7" spans="1:24" ht="15.75">
      <c r="A7" s="12" t="str">
        <f>CONCATENATE("Subject Name &amp; Code: ", Sub_Code)</f>
        <v>Subject Name &amp; Code: Java Programming</v>
      </c>
      <c r="B7" s="23"/>
      <c r="C7" s="23"/>
      <c r="D7" s="23"/>
      <c r="E7" s="23"/>
      <c r="F7" s="326"/>
      <c r="G7" s="326"/>
      <c r="H7" s="327"/>
      <c r="I7" s="330">
        <v>2</v>
      </c>
      <c r="J7" s="330"/>
      <c r="K7" s="152">
        <v>60</v>
      </c>
      <c r="L7" s="318"/>
      <c r="M7" s="319"/>
      <c r="N7" s="319"/>
      <c r="O7" s="320"/>
      <c r="P7" s="304"/>
      <c r="Q7" s="12"/>
      <c r="R7" s="12">
        <v>60</v>
      </c>
      <c r="S7" s="12"/>
      <c r="T7" s="12"/>
      <c r="U7" s="12"/>
      <c r="V7" s="6"/>
      <c r="W7" s="6"/>
      <c r="X7" s="6"/>
    </row>
    <row r="8" spans="1:24" ht="16.5" thickBot="1">
      <c r="A8" s="12" t="str">
        <f>CONCATENATE("Class: ",Class_AY)</f>
        <v>Class: MCA I SEM I AY 2023-24</v>
      </c>
      <c r="B8" s="23"/>
      <c r="C8" s="23"/>
      <c r="D8" s="23"/>
      <c r="E8" s="23"/>
      <c r="F8" s="328"/>
      <c r="G8" s="328"/>
      <c r="H8" s="329"/>
      <c r="I8" s="330">
        <v>1</v>
      </c>
      <c r="J8" s="330"/>
      <c r="K8" s="153">
        <v>50</v>
      </c>
      <c r="L8" s="321"/>
      <c r="M8" s="322"/>
      <c r="N8" s="322"/>
      <c r="O8" s="323"/>
      <c r="P8" s="305"/>
      <c r="Q8" s="12"/>
      <c r="R8" s="6"/>
      <c r="S8" s="6"/>
      <c r="T8" s="6"/>
      <c r="U8" s="6"/>
      <c r="V8" s="6"/>
      <c r="W8" s="6"/>
      <c r="X8" s="6"/>
    </row>
    <row r="9" spans="1:24" ht="13.5" thickBot="1"/>
    <row r="10" spans="1:24" ht="21" thickBot="1">
      <c r="A10" s="306" t="s">
        <v>56</v>
      </c>
      <c r="B10" s="307"/>
      <c r="C10" s="307"/>
      <c r="D10" s="307"/>
      <c r="E10" s="307"/>
      <c r="F10" s="307"/>
      <c r="G10" s="307"/>
      <c r="H10" s="307"/>
      <c r="I10" s="307"/>
      <c r="J10" s="307"/>
      <c r="K10" s="307"/>
      <c r="L10" s="307"/>
      <c r="M10" s="307"/>
      <c r="N10" s="307"/>
      <c r="O10" s="307"/>
      <c r="P10" s="307"/>
      <c r="Q10" s="307"/>
      <c r="R10" s="307"/>
      <c r="S10" s="307"/>
      <c r="T10" s="307"/>
      <c r="U10" s="308"/>
    </row>
    <row r="11" spans="1:24">
      <c r="A11" s="310" t="s">
        <v>145</v>
      </c>
      <c r="B11" s="313" t="s">
        <v>6</v>
      </c>
      <c r="C11" s="302" t="s">
        <v>1</v>
      </c>
      <c r="D11" s="302" t="s">
        <v>131</v>
      </c>
      <c r="E11" s="302"/>
      <c r="F11" s="302" t="s">
        <v>139</v>
      </c>
      <c r="G11" s="302"/>
      <c r="H11" s="302"/>
      <c r="I11" s="302"/>
      <c r="J11" s="302"/>
      <c r="K11" s="302" t="s">
        <v>132</v>
      </c>
      <c r="L11" s="302"/>
      <c r="M11" s="302"/>
      <c r="N11" s="302"/>
      <c r="O11" s="302"/>
      <c r="P11" s="302" t="s">
        <v>140</v>
      </c>
      <c r="Q11" s="302"/>
      <c r="R11" s="302"/>
      <c r="S11" s="302"/>
      <c r="T11" s="302"/>
      <c r="U11" s="309" t="s">
        <v>11</v>
      </c>
    </row>
    <row r="12" spans="1:24">
      <c r="A12" s="311"/>
      <c r="B12" s="302"/>
      <c r="C12" s="302"/>
      <c r="D12" s="91" t="s">
        <v>2</v>
      </c>
      <c r="E12" s="91" t="s">
        <v>3</v>
      </c>
      <c r="F12" s="91" t="s">
        <v>2</v>
      </c>
      <c r="G12" s="91" t="s">
        <v>3</v>
      </c>
      <c r="H12" s="91" t="s">
        <v>4</v>
      </c>
      <c r="I12" s="91" t="s">
        <v>10</v>
      </c>
      <c r="J12" s="91" t="s">
        <v>12</v>
      </c>
      <c r="K12" s="91" t="s">
        <v>2</v>
      </c>
      <c r="L12" s="91" t="s">
        <v>3</v>
      </c>
      <c r="M12" s="91" t="s">
        <v>4</v>
      </c>
      <c r="N12" s="91" t="s">
        <v>10</v>
      </c>
      <c r="O12" s="91" t="s">
        <v>12</v>
      </c>
      <c r="P12" s="13" t="s">
        <v>2</v>
      </c>
      <c r="Q12" s="13" t="s">
        <v>3</v>
      </c>
      <c r="R12" s="13" t="s">
        <v>4</v>
      </c>
      <c r="S12" s="13" t="s">
        <v>10</v>
      </c>
      <c r="T12" s="13" t="s">
        <v>12</v>
      </c>
      <c r="U12" s="309"/>
    </row>
    <row r="13" spans="1:24" ht="13.5" thickBot="1">
      <c r="A13" s="312"/>
      <c r="B13" s="314"/>
      <c r="C13" s="302"/>
      <c r="D13" s="147">
        <f>'CCE1'!D9+'CCE1'!E9</f>
        <v>20</v>
      </c>
      <c r="E13" s="147">
        <f>'CCE1'!F9</f>
        <v>10</v>
      </c>
      <c r="F13" s="147">
        <f>'CCE2'!D9</f>
        <v>5</v>
      </c>
      <c r="G13" s="147">
        <f>'CCE2'!E9</f>
        <v>5</v>
      </c>
      <c r="H13" s="147">
        <f>'CCE2'!F9</f>
        <v>5</v>
      </c>
      <c r="I13" s="147">
        <f>'CCE2'!G9</f>
        <v>5</v>
      </c>
      <c r="J13" s="147">
        <f>'CCE2'!H9</f>
        <v>5</v>
      </c>
      <c r="K13" s="147" t="e">
        <f>'CCE3'!D9+'CCE3'!E9</f>
        <v>#VALUE!</v>
      </c>
      <c r="L13" s="147" t="e">
        <f>'CCE3'!F9+'CCE3'!G9</f>
        <v>#VALUE!</v>
      </c>
      <c r="M13" s="147" t="e">
        <f>'CCE3'!H9+'CCE3'!I9</f>
        <v>#VALUE!</v>
      </c>
      <c r="N13" s="147">
        <f>'CCE3'!K9+'CCE3'!K9</f>
        <v>0</v>
      </c>
      <c r="O13" s="147">
        <f>'CCE3'!L9+'CCE3'!M9</f>
        <v>0</v>
      </c>
      <c r="P13" s="122" t="e">
        <f>D13+F13+K13</f>
        <v>#VALUE!</v>
      </c>
      <c r="Q13" s="122" t="e">
        <f>E13+G13+L13</f>
        <v>#VALUE!</v>
      </c>
      <c r="R13" s="122" t="e">
        <f>#REF!+H13+M13</f>
        <v>#REF!</v>
      </c>
      <c r="S13" s="122" t="e">
        <f>#REF!+I13+N13</f>
        <v>#REF!</v>
      </c>
      <c r="T13" s="122" t="e">
        <f>#REF!+J13+O13</f>
        <v>#REF!</v>
      </c>
      <c r="U13" s="122" t="e">
        <f>SUM(P13:T13)</f>
        <v>#VALUE!</v>
      </c>
    </row>
    <row r="14" spans="1:24" ht="15.75">
      <c r="A14" s="147">
        <v>1</v>
      </c>
      <c r="B14" s="171" t="s">
        <v>258</v>
      </c>
      <c r="C14" s="172" t="s">
        <v>150</v>
      </c>
      <c r="D14" s="150">
        <f>'CCE1'!D11+'CCE1'!E11</f>
        <v>13</v>
      </c>
      <c r="E14" s="150">
        <f>'CCE1'!E11+'CCE1'!F11</f>
        <v>11</v>
      </c>
      <c r="F14" s="150">
        <f>'CCE2'!D11</f>
        <v>3</v>
      </c>
      <c r="G14" s="150">
        <f>'CCE2'!E11</f>
        <v>3</v>
      </c>
      <c r="H14" s="150">
        <f>'CCE2'!F11</f>
        <v>3</v>
      </c>
      <c r="I14" s="150">
        <f>'CCE2'!G11</f>
        <v>3</v>
      </c>
      <c r="J14" s="150">
        <f>'CCE2'!H11</f>
        <v>2</v>
      </c>
      <c r="K14" s="150">
        <f>'CCE3'!D11+'CCE3'!E11</f>
        <v>16</v>
      </c>
      <c r="L14" s="150">
        <f>'CCE3'!F11+'CCE3'!G11</f>
        <v>13</v>
      </c>
      <c r="M14" s="150">
        <f>'CCE3'!H11+'CCE3'!I11</f>
        <v>8</v>
      </c>
      <c r="N14" s="150">
        <f>'CCE3'!J11+'CCE3'!K11</f>
        <v>0</v>
      </c>
      <c r="O14" s="150">
        <f>'CCE3'!L11+'CCE3'!M11</f>
        <v>0</v>
      </c>
      <c r="P14" s="149">
        <f t="shared" ref="P14:P45" si="0">IFERROR(SUM(D14,F14,K14),"AB")</f>
        <v>32</v>
      </c>
      <c r="Q14" s="149">
        <f t="shared" ref="Q14:Q45" si="1">IFERROR(SUM(E14,G14,L14),"AB")</f>
        <v>27</v>
      </c>
      <c r="R14" s="149" t="str">
        <f>IFERROR(SUM(#REF!,H14,M14),"AB")</f>
        <v>AB</v>
      </c>
      <c r="S14" s="149" t="str">
        <f>IFERROR(SUM(#REF!,I14,N14),"AB")</f>
        <v>AB</v>
      </c>
      <c r="T14" s="149" t="str">
        <f>IFERROR(SUM(#REF!,J14,O14),"AB")</f>
        <v>AB</v>
      </c>
      <c r="U14" s="149">
        <f t="shared" ref="U14:U77" si="2">IFERROR(SUM(P14:T14),"AB")</f>
        <v>59</v>
      </c>
    </row>
    <row r="15" spans="1:24" ht="15.75">
      <c r="A15" s="147">
        <v>2</v>
      </c>
      <c r="B15" s="171" t="s">
        <v>259</v>
      </c>
      <c r="C15" s="172" t="s">
        <v>260</v>
      </c>
      <c r="D15" s="150">
        <f>'CCE1'!D12+'CCE1'!E12</f>
        <v>11</v>
      </c>
      <c r="E15" s="150">
        <f>'CCE1'!E12+'CCE1'!F12</f>
        <v>9</v>
      </c>
      <c r="F15" s="150">
        <f>'CCE2'!D12</f>
        <v>3</v>
      </c>
      <c r="G15" s="150">
        <f>'CCE2'!E12</f>
        <v>5</v>
      </c>
      <c r="H15" s="150">
        <f>'CCE2'!F12</f>
        <v>5</v>
      </c>
      <c r="I15" s="150">
        <f>'CCE2'!G12</f>
        <v>3</v>
      </c>
      <c r="J15" s="150">
        <f>'CCE2'!H12</f>
        <v>5</v>
      </c>
      <c r="K15" s="150">
        <f>'CCE3'!D12+'CCE3'!E12</f>
        <v>13</v>
      </c>
      <c r="L15" s="150">
        <f>'CCE3'!F12+'CCE3'!G12</f>
        <v>14</v>
      </c>
      <c r="M15" s="150">
        <f>'CCE3'!H12+'CCE3'!I12</f>
        <v>8</v>
      </c>
      <c r="N15" s="150">
        <f>'CCE3'!J12+'CCE3'!K12</f>
        <v>0</v>
      </c>
      <c r="O15" s="150">
        <f>'CCE3'!L12+'CCE3'!M12</f>
        <v>0</v>
      </c>
      <c r="P15" s="149">
        <f t="shared" si="0"/>
        <v>27</v>
      </c>
      <c r="Q15" s="149">
        <f t="shared" si="1"/>
        <v>28</v>
      </c>
      <c r="R15" s="149" t="str">
        <f>IFERROR(SUM(#REF!,H15,M15),"AB")</f>
        <v>AB</v>
      </c>
      <c r="S15" s="149" t="str">
        <f>IFERROR(SUM(#REF!,I15,N15),"AB")</f>
        <v>AB</v>
      </c>
      <c r="T15" s="149" t="str">
        <f>IFERROR(SUM(#REF!,J15,O15),"AB")</f>
        <v>AB</v>
      </c>
      <c r="U15" s="149">
        <f t="shared" si="2"/>
        <v>55</v>
      </c>
    </row>
    <row r="16" spans="1:24" ht="15.75">
      <c r="A16" s="147">
        <v>3</v>
      </c>
      <c r="B16" s="171" t="s">
        <v>261</v>
      </c>
      <c r="C16" s="172" t="s">
        <v>196</v>
      </c>
      <c r="D16" s="150">
        <f>'CCE1'!D13+'CCE1'!E13</f>
        <v>11</v>
      </c>
      <c r="E16" s="150">
        <f>'CCE1'!E13+'CCE1'!F13</f>
        <v>14</v>
      </c>
      <c r="F16" s="150">
        <f>'CCE2'!D13</f>
        <v>3</v>
      </c>
      <c r="G16" s="150">
        <f>'CCE2'!E13</f>
        <v>5</v>
      </c>
      <c r="H16" s="150">
        <f>'CCE2'!F13</f>
        <v>3</v>
      </c>
      <c r="I16" s="150">
        <f>'CCE2'!G13</f>
        <v>5</v>
      </c>
      <c r="J16" s="150">
        <f>'CCE2'!H13</f>
        <v>3</v>
      </c>
      <c r="K16" s="150">
        <f>'CCE3'!D13+'CCE3'!E13</f>
        <v>13</v>
      </c>
      <c r="L16" s="150">
        <f>'CCE3'!F13+'CCE3'!G13</f>
        <v>11</v>
      </c>
      <c r="M16" s="150">
        <f>'CCE3'!H13+'CCE3'!I13</f>
        <v>5</v>
      </c>
      <c r="N16" s="150">
        <f>'CCE3'!J13+'CCE3'!K13</f>
        <v>0</v>
      </c>
      <c r="O16" s="150">
        <f>'CCE3'!L13+'CCE3'!M13</f>
        <v>0</v>
      </c>
      <c r="P16" s="149">
        <f t="shared" si="0"/>
        <v>27</v>
      </c>
      <c r="Q16" s="149">
        <f t="shared" si="1"/>
        <v>30</v>
      </c>
      <c r="R16" s="149" t="str">
        <f>IFERROR(SUM(#REF!,H16,M16),"AB")</f>
        <v>AB</v>
      </c>
      <c r="S16" s="149" t="str">
        <f>IFERROR(SUM(#REF!,I16,N16),"AB")</f>
        <v>AB</v>
      </c>
      <c r="T16" s="149" t="str">
        <f>IFERROR(SUM(#REF!,J16,O16),"AB")</f>
        <v>AB</v>
      </c>
      <c r="U16" s="149">
        <f t="shared" si="2"/>
        <v>57</v>
      </c>
    </row>
    <row r="17" spans="1:21" ht="15.75">
      <c r="A17" s="147">
        <v>4</v>
      </c>
      <c r="B17" s="171" t="s">
        <v>262</v>
      </c>
      <c r="C17" s="172" t="s">
        <v>225</v>
      </c>
      <c r="D17" s="150">
        <f>'CCE1'!D14+'CCE1'!E14</f>
        <v>14</v>
      </c>
      <c r="E17" s="150">
        <f>'CCE1'!E14+'CCE1'!F14</f>
        <v>11</v>
      </c>
      <c r="F17" s="150">
        <f>'CCE2'!D14</f>
        <v>2</v>
      </c>
      <c r="G17" s="150">
        <f>'CCE2'!E14</f>
        <v>3</v>
      </c>
      <c r="H17" s="150">
        <f>'CCE2'!F14</f>
        <v>2</v>
      </c>
      <c r="I17" s="150">
        <f>'CCE2'!G14</f>
        <v>5</v>
      </c>
      <c r="J17" s="150">
        <f>'CCE2'!H14</f>
        <v>2</v>
      </c>
      <c r="K17" s="150">
        <f>'CCE3'!D14+'CCE3'!E14</f>
        <v>16</v>
      </c>
      <c r="L17" s="150">
        <f>'CCE3'!F14+'CCE3'!G14</f>
        <v>9</v>
      </c>
      <c r="M17" s="150">
        <f>'CCE3'!H14+'CCE3'!I14</f>
        <v>6</v>
      </c>
      <c r="N17" s="150">
        <f>'CCE3'!J14+'CCE3'!K14</f>
        <v>0</v>
      </c>
      <c r="O17" s="150">
        <f>'CCE3'!L14+'CCE3'!M14</f>
        <v>0</v>
      </c>
      <c r="P17" s="149">
        <f t="shared" si="0"/>
        <v>32</v>
      </c>
      <c r="Q17" s="149">
        <f t="shared" si="1"/>
        <v>23</v>
      </c>
      <c r="R17" s="149" t="str">
        <f>IFERROR(SUM(#REF!,H17,M17),"AB")</f>
        <v>AB</v>
      </c>
      <c r="S17" s="149" t="str">
        <f>IFERROR(SUM(#REF!,I17,N17),"AB")</f>
        <v>AB</v>
      </c>
      <c r="T17" s="149" t="str">
        <f>IFERROR(SUM(#REF!,J17,O17),"AB")</f>
        <v>AB</v>
      </c>
      <c r="U17" s="149">
        <f t="shared" si="2"/>
        <v>55</v>
      </c>
    </row>
    <row r="18" spans="1:21" ht="15.75">
      <c r="A18" s="147">
        <v>5</v>
      </c>
      <c r="B18" s="171" t="s">
        <v>263</v>
      </c>
      <c r="C18" s="172" t="s">
        <v>206</v>
      </c>
      <c r="D18" s="150">
        <f>'CCE1'!D15+'CCE1'!E15</f>
        <v>10</v>
      </c>
      <c r="E18" s="150">
        <f>'CCE1'!E15+'CCE1'!F15</f>
        <v>8</v>
      </c>
      <c r="F18" s="150">
        <f>'CCE2'!D15</f>
        <v>5</v>
      </c>
      <c r="G18" s="150">
        <f>'CCE2'!E15</f>
        <v>3</v>
      </c>
      <c r="H18" s="150">
        <f>'CCE2'!F15</f>
        <v>5</v>
      </c>
      <c r="I18" s="150">
        <f>'CCE2'!G15</f>
        <v>5</v>
      </c>
      <c r="J18" s="150">
        <f>'CCE2'!H15</f>
        <v>3</v>
      </c>
      <c r="K18" s="150">
        <f>'CCE3'!D15+'CCE3'!E15</f>
        <v>13</v>
      </c>
      <c r="L18" s="150">
        <f>'CCE3'!F15+'CCE3'!G15</f>
        <v>11</v>
      </c>
      <c r="M18" s="150">
        <f>'CCE3'!H15+'CCE3'!I15</f>
        <v>3</v>
      </c>
      <c r="N18" s="150">
        <f>'CCE3'!J15+'CCE3'!K15</f>
        <v>0</v>
      </c>
      <c r="O18" s="150">
        <f>'CCE3'!L15+'CCE3'!M15</f>
        <v>0</v>
      </c>
      <c r="P18" s="149">
        <f t="shared" si="0"/>
        <v>28</v>
      </c>
      <c r="Q18" s="149">
        <f t="shared" si="1"/>
        <v>22</v>
      </c>
      <c r="R18" s="149" t="str">
        <f>IFERROR(SUM(#REF!,H18,M18),"AB")</f>
        <v>AB</v>
      </c>
      <c r="S18" s="149" t="str">
        <f>IFERROR(SUM(#REF!,I18,N18),"AB")</f>
        <v>AB</v>
      </c>
      <c r="T18" s="149" t="str">
        <f>IFERROR(SUM(#REF!,J18,O18),"AB")</f>
        <v>AB</v>
      </c>
      <c r="U18" s="149">
        <f t="shared" si="2"/>
        <v>50</v>
      </c>
    </row>
    <row r="19" spans="1:21" ht="15.75">
      <c r="A19" s="147">
        <v>6</v>
      </c>
      <c r="B19" s="171" t="s">
        <v>264</v>
      </c>
      <c r="C19" s="172" t="s">
        <v>216</v>
      </c>
      <c r="D19" s="150">
        <f>'CCE1'!D16+'CCE1'!E16</f>
        <v>14</v>
      </c>
      <c r="E19" s="150">
        <f>'CCE1'!E16+'CCE1'!F16</f>
        <v>11</v>
      </c>
      <c r="F19" s="150">
        <f>'CCE2'!D16</f>
        <v>3</v>
      </c>
      <c r="G19" s="150">
        <f>'CCE2'!E16</f>
        <v>3</v>
      </c>
      <c r="H19" s="150">
        <f>'CCE2'!F16</f>
        <v>3</v>
      </c>
      <c r="I19" s="150">
        <f>'CCE2'!G16</f>
        <v>3</v>
      </c>
      <c r="J19" s="150">
        <f>'CCE2'!H16</f>
        <v>5</v>
      </c>
      <c r="K19" s="150">
        <f>'CCE3'!D16+'CCE3'!E16</f>
        <v>16</v>
      </c>
      <c r="L19" s="150">
        <f>'CCE3'!F16+'CCE3'!G16</f>
        <v>14</v>
      </c>
      <c r="M19" s="150">
        <f>'CCE3'!H16+'CCE3'!I16</f>
        <v>3</v>
      </c>
      <c r="N19" s="150">
        <f>'CCE3'!J16+'CCE3'!K16</f>
        <v>0</v>
      </c>
      <c r="O19" s="150">
        <f>'CCE3'!L16+'CCE3'!M16</f>
        <v>0</v>
      </c>
      <c r="P19" s="149">
        <f t="shared" si="0"/>
        <v>33</v>
      </c>
      <c r="Q19" s="149">
        <f t="shared" si="1"/>
        <v>28</v>
      </c>
      <c r="R19" s="149" t="str">
        <f>IFERROR(SUM(#REF!,H19,M19),"AB")</f>
        <v>AB</v>
      </c>
      <c r="S19" s="149" t="str">
        <f>IFERROR(SUM(#REF!,I19,N19),"AB")</f>
        <v>AB</v>
      </c>
      <c r="T19" s="149" t="str">
        <f>IFERROR(SUM(#REF!,J19,O19),"AB")</f>
        <v>AB</v>
      </c>
      <c r="U19" s="149">
        <f t="shared" si="2"/>
        <v>61</v>
      </c>
    </row>
    <row r="20" spans="1:21" ht="15.75">
      <c r="A20" s="147">
        <v>7</v>
      </c>
      <c r="B20" s="171" t="s">
        <v>265</v>
      </c>
      <c r="C20" s="172" t="s">
        <v>188</v>
      </c>
      <c r="D20" s="150">
        <f>'CCE1'!D17+'CCE1'!E17</f>
        <v>11</v>
      </c>
      <c r="E20" s="150">
        <f>'CCE1'!E17+'CCE1'!F17</f>
        <v>16</v>
      </c>
      <c r="F20" s="150">
        <f>'CCE2'!D17</f>
        <v>2</v>
      </c>
      <c r="G20" s="150">
        <f>'CCE2'!E17</f>
        <v>5</v>
      </c>
      <c r="H20" s="150">
        <f>'CCE2'!F17</f>
        <v>3</v>
      </c>
      <c r="I20" s="150">
        <f>'CCE2'!G17</f>
        <v>5</v>
      </c>
      <c r="J20" s="150">
        <f>'CCE2'!H17</f>
        <v>3</v>
      </c>
      <c r="K20" s="150">
        <f>'CCE3'!D17+'CCE3'!E17</f>
        <v>16</v>
      </c>
      <c r="L20" s="150">
        <f>'CCE3'!F17+'CCE3'!G17</f>
        <v>16</v>
      </c>
      <c r="M20" s="150">
        <f>'CCE3'!H17+'CCE3'!I17</f>
        <v>8</v>
      </c>
      <c r="N20" s="150">
        <f>'CCE3'!J17+'CCE3'!K17</f>
        <v>0</v>
      </c>
      <c r="O20" s="150">
        <f>'CCE3'!L17+'CCE3'!M17</f>
        <v>0</v>
      </c>
      <c r="P20" s="149">
        <f t="shared" si="0"/>
        <v>29</v>
      </c>
      <c r="Q20" s="149">
        <f t="shared" si="1"/>
        <v>37</v>
      </c>
      <c r="R20" s="149" t="str">
        <f>IFERROR(SUM(#REF!,H20,M20),"AB")</f>
        <v>AB</v>
      </c>
      <c r="S20" s="149" t="str">
        <f>IFERROR(SUM(#REF!,I20,N20),"AB")</f>
        <v>AB</v>
      </c>
      <c r="T20" s="149" t="str">
        <f>IFERROR(SUM(#REF!,J20,O20),"AB")</f>
        <v>AB</v>
      </c>
      <c r="U20" s="149">
        <f t="shared" si="2"/>
        <v>66</v>
      </c>
    </row>
    <row r="21" spans="1:21" ht="15.75">
      <c r="A21" s="147">
        <v>8</v>
      </c>
      <c r="B21" s="171" t="s">
        <v>266</v>
      </c>
      <c r="C21" s="172" t="s">
        <v>176</v>
      </c>
      <c r="D21" s="150">
        <f>'CCE1'!D18+'CCE1'!E18</f>
        <v>16</v>
      </c>
      <c r="E21" s="150">
        <f>'CCE1'!E18+'CCE1'!F18</f>
        <v>16</v>
      </c>
      <c r="F21" s="150">
        <f>'CCE2'!D18</f>
        <v>3</v>
      </c>
      <c r="G21" s="150">
        <f>'CCE2'!E18</f>
        <v>2</v>
      </c>
      <c r="H21" s="150">
        <f>'CCE2'!F18</f>
        <v>3</v>
      </c>
      <c r="I21" s="150">
        <f>'CCE2'!G18</f>
        <v>5</v>
      </c>
      <c r="J21" s="150">
        <f>'CCE2'!H18</f>
        <v>3</v>
      </c>
      <c r="K21" s="150">
        <f>'CCE3'!D18+'CCE3'!E18</f>
        <v>14</v>
      </c>
      <c r="L21" s="150">
        <f>'CCE3'!F18+'CCE3'!G18</f>
        <v>16</v>
      </c>
      <c r="M21" s="150">
        <f>'CCE3'!H18+'CCE3'!I18</f>
        <v>3</v>
      </c>
      <c r="N21" s="150">
        <f>'CCE3'!J18+'CCE3'!K18</f>
        <v>0</v>
      </c>
      <c r="O21" s="150">
        <f>'CCE3'!L18+'CCE3'!M18</f>
        <v>0</v>
      </c>
      <c r="P21" s="149">
        <f t="shared" si="0"/>
        <v>33</v>
      </c>
      <c r="Q21" s="149">
        <f t="shared" si="1"/>
        <v>34</v>
      </c>
      <c r="R21" s="149" t="str">
        <f>IFERROR(SUM(#REF!,H21,M21),"AB")</f>
        <v>AB</v>
      </c>
      <c r="S21" s="149" t="str">
        <f>IFERROR(SUM(#REF!,I21,N21),"AB")</f>
        <v>AB</v>
      </c>
      <c r="T21" s="149" t="str">
        <f>IFERROR(SUM(#REF!,J21,O21),"AB")</f>
        <v>AB</v>
      </c>
      <c r="U21" s="149">
        <f t="shared" si="2"/>
        <v>67</v>
      </c>
    </row>
    <row r="22" spans="1:21" ht="15.75">
      <c r="A22" s="147">
        <v>9</v>
      </c>
      <c r="B22" s="171" t="s">
        <v>267</v>
      </c>
      <c r="C22" s="172" t="s">
        <v>172</v>
      </c>
      <c r="D22" s="150">
        <f>'CCE1'!D19+'CCE1'!E19</f>
        <v>13</v>
      </c>
      <c r="E22" s="150">
        <f>'CCE1'!E19+'CCE1'!F19</f>
        <v>11</v>
      </c>
      <c r="F22" s="150">
        <f>'CCE2'!D19</f>
        <v>5</v>
      </c>
      <c r="G22" s="150">
        <f>'CCE2'!E19</f>
        <v>3</v>
      </c>
      <c r="H22" s="150">
        <f>'CCE2'!F19</f>
        <v>5</v>
      </c>
      <c r="I22" s="150">
        <f>'CCE2'!G19</f>
        <v>3</v>
      </c>
      <c r="J22" s="150">
        <f>'CCE2'!H19</f>
        <v>3</v>
      </c>
      <c r="K22" s="150">
        <f>'CCE3'!D19+'CCE3'!E19</f>
        <v>13</v>
      </c>
      <c r="L22" s="150">
        <f>'CCE3'!F19+'CCE3'!G19</f>
        <v>11</v>
      </c>
      <c r="M22" s="150">
        <f>'CCE3'!H19+'CCE3'!I19</f>
        <v>8</v>
      </c>
      <c r="N22" s="150">
        <f>'CCE3'!J19+'CCE3'!K19</f>
        <v>0</v>
      </c>
      <c r="O22" s="150">
        <f>'CCE3'!L19+'CCE3'!M19</f>
        <v>0</v>
      </c>
      <c r="P22" s="149">
        <f t="shared" si="0"/>
        <v>31</v>
      </c>
      <c r="Q22" s="149">
        <f t="shared" si="1"/>
        <v>25</v>
      </c>
      <c r="R22" s="149" t="str">
        <f>IFERROR(SUM(#REF!,H22,M22),"AB")</f>
        <v>AB</v>
      </c>
      <c r="S22" s="149" t="str">
        <f>IFERROR(SUM(#REF!,I22,N22),"AB")</f>
        <v>AB</v>
      </c>
      <c r="T22" s="149" t="str">
        <f>IFERROR(SUM(#REF!,J22,O22),"AB")</f>
        <v>AB</v>
      </c>
      <c r="U22" s="149">
        <f t="shared" si="2"/>
        <v>56</v>
      </c>
    </row>
    <row r="23" spans="1:21" ht="15.75">
      <c r="A23" s="147">
        <v>10</v>
      </c>
      <c r="B23" s="171" t="s">
        <v>268</v>
      </c>
      <c r="C23" s="172" t="s">
        <v>235</v>
      </c>
      <c r="D23" s="150">
        <f>'CCE1'!D20+'CCE1'!E20</f>
        <v>16</v>
      </c>
      <c r="E23" s="150">
        <f>'CCE1'!E20+'CCE1'!F20</f>
        <v>13</v>
      </c>
      <c r="F23" s="150">
        <f>'CCE2'!D20</f>
        <v>3</v>
      </c>
      <c r="G23" s="150">
        <f>'CCE2'!E20</f>
        <v>3</v>
      </c>
      <c r="H23" s="150">
        <f>'CCE2'!F20</f>
        <v>3</v>
      </c>
      <c r="I23" s="150">
        <f>'CCE2'!G20</f>
        <v>3</v>
      </c>
      <c r="J23" s="150">
        <f>'CCE2'!H20</f>
        <v>4</v>
      </c>
      <c r="K23" s="150">
        <f>'CCE3'!D20+'CCE3'!E20</f>
        <v>12</v>
      </c>
      <c r="L23" s="150">
        <f>'CCE3'!F20+'CCE3'!G20</f>
        <v>14</v>
      </c>
      <c r="M23" s="150">
        <f>'CCE3'!H20+'CCE3'!I20</f>
        <v>8</v>
      </c>
      <c r="N23" s="150">
        <f>'CCE3'!J20+'CCE3'!K20</f>
        <v>0</v>
      </c>
      <c r="O23" s="150">
        <f>'CCE3'!L20+'CCE3'!M20</f>
        <v>0</v>
      </c>
      <c r="P23" s="149">
        <f t="shared" si="0"/>
        <v>31</v>
      </c>
      <c r="Q23" s="149">
        <f t="shared" si="1"/>
        <v>30</v>
      </c>
      <c r="R23" s="149" t="str">
        <f>IFERROR(SUM(#REF!,H23,M23),"AB")</f>
        <v>AB</v>
      </c>
      <c r="S23" s="149" t="str">
        <f>IFERROR(SUM(#REF!,I23,N23),"AB")</f>
        <v>AB</v>
      </c>
      <c r="T23" s="149" t="str">
        <f>IFERROR(SUM(#REF!,J23,O23),"AB")</f>
        <v>AB</v>
      </c>
      <c r="U23" s="149">
        <f t="shared" si="2"/>
        <v>61</v>
      </c>
    </row>
    <row r="24" spans="1:21" ht="15.75">
      <c r="A24" s="147">
        <v>11</v>
      </c>
      <c r="B24" s="171" t="s">
        <v>269</v>
      </c>
      <c r="C24" s="172" t="s">
        <v>203</v>
      </c>
      <c r="D24" s="150">
        <f>'CCE1'!D21+'CCE1'!E21</f>
        <v>13</v>
      </c>
      <c r="E24" s="150">
        <f>'CCE1'!E21+'CCE1'!F21</f>
        <v>16</v>
      </c>
      <c r="F24" s="150">
        <f>'CCE2'!D21</f>
        <v>3</v>
      </c>
      <c r="G24" s="150">
        <f>'CCE2'!E21</f>
        <v>2</v>
      </c>
      <c r="H24" s="150">
        <f>'CCE2'!F21</f>
        <v>3</v>
      </c>
      <c r="I24" s="150">
        <f>'CCE2'!G21</f>
        <v>5</v>
      </c>
      <c r="J24" s="150">
        <f>'CCE2'!H21</f>
        <v>4</v>
      </c>
      <c r="K24" s="150">
        <f>'CCE3'!D21+'CCE3'!E21</f>
        <v>14</v>
      </c>
      <c r="L24" s="150">
        <f>'CCE3'!F21+'CCE3'!G21</f>
        <v>14</v>
      </c>
      <c r="M24" s="150">
        <f>'CCE3'!H21+'CCE3'!I21</f>
        <v>8</v>
      </c>
      <c r="N24" s="150">
        <f>'CCE3'!J21+'CCE3'!K21</f>
        <v>0</v>
      </c>
      <c r="O24" s="150">
        <f>'CCE3'!L21+'CCE3'!M21</f>
        <v>0</v>
      </c>
      <c r="P24" s="149">
        <f t="shared" si="0"/>
        <v>30</v>
      </c>
      <c r="Q24" s="149">
        <f t="shared" si="1"/>
        <v>32</v>
      </c>
      <c r="R24" s="149" t="str">
        <f>IFERROR(SUM(#REF!,H24,M24),"AB")</f>
        <v>AB</v>
      </c>
      <c r="S24" s="149" t="str">
        <f>IFERROR(SUM(#REF!,I24,N24),"AB")</f>
        <v>AB</v>
      </c>
      <c r="T24" s="149" t="str">
        <f>IFERROR(SUM(#REF!,J24,O24),"AB")</f>
        <v>AB</v>
      </c>
      <c r="U24" s="149">
        <f t="shared" si="2"/>
        <v>62</v>
      </c>
    </row>
    <row r="25" spans="1:21" ht="15.75">
      <c r="A25" s="147">
        <v>12</v>
      </c>
      <c r="B25" s="171" t="s">
        <v>270</v>
      </c>
      <c r="C25" s="172" t="s">
        <v>240</v>
      </c>
      <c r="D25" s="150">
        <f>'CCE1'!D22+'CCE1'!E22</f>
        <v>8</v>
      </c>
      <c r="E25" s="150">
        <f>'CCE1'!E22+'CCE1'!F22</f>
        <v>11</v>
      </c>
      <c r="F25" s="150">
        <f>'CCE2'!D22</f>
        <v>3</v>
      </c>
      <c r="G25" s="150">
        <f>'CCE2'!E22</f>
        <v>4</v>
      </c>
      <c r="H25" s="150">
        <f>'CCE2'!F22</f>
        <v>2</v>
      </c>
      <c r="I25" s="150">
        <f>'CCE2'!G22</f>
        <v>2</v>
      </c>
      <c r="J25" s="150">
        <f>'CCE2'!H22</f>
        <v>5</v>
      </c>
      <c r="K25" s="150">
        <f>'CCE3'!D22+'CCE3'!E22</f>
        <v>14</v>
      </c>
      <c r="L25" s="150">
        <f>'CCE3'!F22+'CCE3'!G22</f>
        <v>13</v>
      </c>
      <c r="M25" s="150">
        <f>'CCE3'!H22+'CCE3'!I22</f>
        <v>7</v>
      </c>
      <c r="N25" s="150">
        <f>'CCE3'!J22+'CCE3'!K22</f>
        <v>0</v>
      </c>
      <c r="O25" s="150">
        <f>'CCE3'!L22+'CCE3'!M22</f>
        <v>0</v>
      </c>
      <c r="P25" s="149">
        <f t="shared" si="0"/>
        <v>25</v>
      </c>
      <c r="Q25" s="149">
        <f t="shared" si="1"/>
        <v>28</v>
      </c>
      <c r="R25" s="149" t="str">
        <f>IFERROR(SUM(#REF!,H25,M25),"AB")</f>
        <v>AB</v>
      </c>
      <c r="S25" s="149" t="str">
        <f>IFERROR(SUM(#REF!,I25,N25),"AB")</f>
        <v>AB</v>
      </c>
      <c r="T25" s="149" t="str">
        <f>IFERROR(SUM(#REF!,J25,O25),"AB")</f>
        <v>AB</v>
      </c>
      <c r="U25" s="149">
        <f t="shared" si="2"/>
        <v>53</v>
      </c>
    </row>
    <row r="26" spans="1:21" ht="15.75">
      <c r="A26" s="147">
        <v>13</v>
      </c>
      <c r="B26" s="171" t="s">
        <v>271</v>
      </c>
      <c r="C26" s="172" t="s">
        <v>249</v>
      </c>
      <c r="D26" s="150">
        <f>'CCE1'!D23+'CCE1'!E23</f>
        <v>13</v>
      </c>
      <c r="E26" s="150">
        <f>'CCE1'!E23+'CCE1'!F23</f>
        <v>15</v>
      </c>
      <c r="F26" s="150">
        <f>'CCE2'!D23</f>
        <v>4</v>
      </c>
      <c r="G26" s="150">
        <f>'CCE2'!E23</f>
        <v>5</v>
      </c>
      <c r="H26" s="150">
        <f>'CCE2'!F23</f>
        <v>3</v>
      </c>
      <c r="I26" s="150">
        <f>'CCE2'!G23</f>
        <v>3</v>
      </c>
      <c r="J26" s="150">
        <f>'CCE2'!H23</f>
        <v>3</v>
      </c>
      <c r="K26" s="150">
        <f>'CCE3'!D23+'CCE3'!E23</f>
        <v>11</v>
      </c>
      <c r="L26" s="150">
        <f>'CCE3'!F23+'CCE3'!G23</f>
        <v>14</v>
      </c>
      <c r="M26" s="150">
        <f>'CCE3'!H23+'CCE3'!I23</f>
        <v>8</v>
      </c>
      <c r="N26" s="150">
        <f>'CCE3'!J23+'CCE3'!K23</f>
        <v>0</v>
      </c>
      <c r="O26" s="150">
        <f>'CCE3'!L23+'CCE3'!M23</f>
        <v>0</v>
      </c>
      <c r="P26" s="149">
        <f t="shared" si="0"/>
        <v>28</v>
      </c>
      <c r="Q26" s="149">
        <f t="shared" si="1"/>
        <v>34</v>
      </c>
      <c r="R26" s="149" t="str">
        <f>IFERROR(SUM(#REF!,H26,M26),"AB")</f>
        <v>AB</v>
      </c>
      <c r="S26" s="149" t="str">
        <f>IFERROR(SUM(#REF!,I26,N26),"AB")</f>
        <v>AB</v>
      </c>
      <c r="T26" s="149" t="str">
        <f>IFERROR(SUM(#REF!,J26,O26),"AB")</f>
        <v>AB</v>
      </c>
      <c r="U26" s="149">
        <f t="shared" si="2"/>
        <v>62</v>
      </c>
    </row>
    <row r="27" spans="1:21" ht="15.75">
      <c r="A27" s="147">
        <v>14</v>
      </c>
      <c r="B27" s="171" t="s">
        <v>272</v>
      </c>
      <c r="C27" s="172" t="s">
        <v>226</v>
      </c>
      <c r="D27" s="150">
        <f>'CCE1'!D24+'CCE1'!E24</f>
        <v>14</v>
      </c>
      <c r="E27" s="150">
        <f>'CCE1'!E24+'CCE1'!F24</f>
        <v>16</v>
      </c>
      <c r="F27" s="150">
        <f>'CCE2'!D24</f>
        <v>4</v>
      </c>
      <c r="G27" s="150">
        <f>'CCE2'!E24</f>
        <v>5</v>
      </c>
      <c r="H27" s="150">
        <f>'CCE2'!F24</f>
        <v>5</v>
      </c>
      <c r="I27" s="150">
        <f>'CCE2'!G24</f>
        <v>3</v>
      </c>
      <c r="J27" s="150">
        <f>'CCE2'!H24</f>
        <v>4</v>
      </c>
      <c r="K27" s="150">
        <f>'CCE3'!D24+'CCE3'!E24</f>
        <v>15</v>
      </c>
      <c r="L27" s="150">
        <f>'CCE3'!F24+'CCE3'!G24</f>
        <v>16</v>
      </c>
      <c r="M27" s="150">
        <f>'CCE3'!H24+'CCE3'!I24</f>
        <v>7</v>
      </c>
      <c r="N27" s="150">
        <f>'CCE3'!J24+'CCE3'!K24</f>
        <v>0</v>
      </c>
      <c r="O27" s="150">
        <f>'CCE3'!L24+'CCE3'!M24</f>
        <v>0</v>
      </c>
      <c r="P27" s="149">
        <f t="shared" si="0"/>
        <v>33</v>
      </c>
      <c r="Q27" s="149">
        <f t="shared" si="1"/>
        <v>37</v>
      </c>
      <c r="R27" s="149" t="str">
        <f>IFERROR(SUM(#REF!,H27,M27),"AB")</f>
        <v>AB</v>
      </c>
      <c r="S27" s="149" t="str">
        <f>IFERROR(SUM(#REF!,I27,N27),"AB")</f>
        <v>AB</v>
      </c>
      <c r="T27" s="149" t="str">
        <f>IFERROR(SUM(#REF!,J27,O27),"AB")</f>
        <v>AB</v>
      </c>
      <c r="U27" s="149">
        <f t="shared" si="2"/>
        <v>70</v>
      </c>
    </row>
    <row r="28" spans="1:21" ht="15.75">
      <c r="A28" s="147">
        <v>15</v>
      </c>
      <c r="B28" s="171" t="s">
        <v>273</v>
      </c>
      <c r="C28" s="172" t="s">
        <v>224</v>
      </c>
      <c r="D28" s="150">
        <f>'CCE1'!D25+'CCE1'!E25</f>
        <v>16</v>
      </c>
      <c r="E28" s="150">
        <f>'CCE1'!E25+'CCE1'!F25</f>
        <v>16</v>
      </c>
      <c r="F28" s="150">
        <f>'CCE2'!D25</f>
        <v>5</v>
      </c>
      <c r="G28" s="150">
        <f>'CCE2'!E25</f>
        <v>5</v>
      </c>
      <c r="H28" s="150">
        <f>'CCE2'!F25</f>
        <v>3</v>
      </c>
      <c r="I28" s="150">
        <f>'CCE2'!G25</f>
        <v>4</v>
      </c>
      <c r="J28" s="150">
        <f>'CCE2'!H25</f>
        <v>5</v>
      </c>
      <c r="K28" s="150">
        <f>'CCE3'!D25+'CCE3'!E25</f>
        <v>13</v>
      </c>
      <c r="L28" s="150">
        <f>'CCE3'!F25+'CCE3'!G25</f>
        <v>14</v>
      </c>
      <c r="M28" s="150">
        <f>'CCE3'!H25+'CCE3'!I25</f>
        <v>6</v>
      </c>
      <c r="N28" s="150">
        <f>'CCE3'!J25+'CCE3'!K25</f>
        <v>0</v>
      </c>
      <c r="O28" s="150">
        <f>'CCE3'!L25+'CCE3'!M25</f>
        <v>0</v>
      </c>
      <c r="P28" s="149">
        <f t="shared" si="0"/>
        <v>34</v>
      </c>
      <c r="Q28" s="149">
        <f t="shared" si="1"/>
        <v>35</v>
      </c>
      <c r="R28" s="149" t="str">
        <f>IFERROR(SUM(#REF!,H28,M28),"AB")</f>
        <v>AB</v>
      </c>
      <c r="S28" s="149" t="str">
        <f>IFERROR(SUM(#REF!,I28,N28),"AB")</f>
        <v>AB</v>
      </c>
      <c r="T28" s="149" t="str">
        <f>IFERROR(SUM(#REF!,J28,O28),"AB")</f>
        <v>AB</v>
      </c>
      <c r="U28" s="149">
        <f t="shared" si="2"/>
        <v>69</v>
      </c>
    </row>
    <row r="29" spans="1:21" s="148" customFormat="1" ht="15.75">
      <c r="A29" s="147">
        <v>16</v>
      </c>
      <c r="B29" s="171" t="s">
        <v>274</v>
      </c>
      <c r="C29" s="172" t="s">
        <v>154</v>
      </c>
      <c r="D29" s="150">
        <f>'CCE1'!D26+'CCE1'!E26</f>
        <v>11</v>
      </c>
      <c r="E29" s="150">
        <f>'CCE1'!E26+'CCE1'!F26</f>
        <v>12</v>
      </c>
      <c r="F29" s="150">
        <f>'CCE2'!D26</f>
        <v>3</v>
      </c>
      <c r="G29" s="150">
        <f>'CCE2'!E26</f>
        <v>4</v>
      </c>
      <c r="H29" s="150">
        <f>'CCE2'!F26</f>
        <v>5</v>
      </c>
      <c r="I29" s="150">
        <f>'CCE2'!G26</f>
        <v>5</v>
      </c>
      <c r="J29" s="150">
        <f>'CCE2'!H26</f>
        <v>5</v>
      </c>
      <c r="K29" s="150">
        <f>'CCE3'!D26+'CCE3'!E26</f>
        <v>14</v>
      </c>
      <c r="L29" s="150">
        <f>'CCE3'!F26+'CCE3'!G26</f>
        <v>15</v>
      </c>
      <c r="M29" s="150">
        <f>'CCE3'!H26+'CCE3'!I26</f>
        <v>8</v>
      </c>
      <c r="N29" s="150">
        <f>'CCE3'!J26+'CCE3'!K26</f>
        <v>0</v>
      </c>
      <c r="O29" s="150">
        <f>'CCE3'!L26+'CCE3'!M26</f>
        <v>0</v>
      </c>
      <c r="P29" s="149">
        <f t="shared" si="0"/>
        <v>28</v>
      </c>
      <c r="Q29" s="149">
        <f t="shared" si="1"/>
        <v>31</v>
      </c>
      <c r="R29" s="149" t="str">
        <f>IFERROR(SUM(#REF!,H29,M29),"AB")</f>
        <v>AB</v>
      </c>
      <c r="S29" s="149" t="str">
        <f>IFERROR(SUM(#REF!,I29,N29),"AB")</f>
        <v>AB</v>
      </c>
      <c r="T29" s="149" t="str">
        <f>IFERROR(SUM(#REF!,J29,O29),"AB")</f>
        <v>AB</v>
      </c>
      <c r="U29" s="149">
        <f t="shared" si="2"/>
        <v>59</v>
      </c>
    </row>
    <row r="30" spans="1:21" s="148" customFormat="1" ht="15.75">
      <c r="A30" s="147">
        <v>17</v>
      </c>
      <c r="B30" s="171" t="s">
        <v>275</v>
      </c>
      <c r="C30" s="172" t="s">
        <v>217</v>
      </c>
      <c r="D30" s="150">
        <f>'CCE1'!D27+'CCE1'!E27</f>
        <v>10</v>
      </c>
      <c r="E30" s="150">
        <f>'CCE1'!E27+'CCE1'!F27</f>
        <v>11</v>
      </c>
      <c r="F30" s="150">
        <f>'CCE2'!D27</f>
        <v>4</v>
      </c>
      <c r="G30" s="150">
        <f>'CCE2'!E27</f>
        <v>3</v>
      </c>
      <c r="H30" s="150">
        <f>'CCE2'!F27</f>
        <v>3</v>
      </c>
      <c r="I30" s="150">
        <f>'CCE2'!G27</f>
        <v>5</v>
      </c>
      <c r="J30" s="150">
        <f>'CCE2'!H27</f>
        <v>5</v>
      </c>
      <c r="K30" s="150">
        <f>'CCE3'!D27+'CCE3'!E27</f>
        <v>12</v>
      </c>
      <c r="L30" s="150">
        <f>'CCE3'!F27+'CCE3'!G27</f>
        <v>16</v>
      </c>
      <c r="M30" s="150">
        <f>'CCE3'!H27+'CCE3'!I27</f>
        <v>6</v>
      </c>
      <c r="N30" s="150">
        <f>'CCE3'!J27+'CCE3'!K27</f>
        <v>0</v>
      </c>
      <c r="O30" s="150">
        <f>'CCE3'!L27+'CCE3'!M27</f>
        <v>0</v>
      </c>
      <c r="P30" s="149">
        <f t="shared" si="0"/>
        <v>26</v>
      </c>
      <c r="Q30" s="149">
        <f t="shared" si="1"/>
        <v>30</v>
      </c>
      <c r="R30" s="149" t="str">
        <f>IFERROR(SUM(#REF!,H30,M30),"AB")</f>
        <v>AB</v>
      </c>
      <c r="S30" s="149" t="str">
        <f>IFERROR(SUM(#REF!,I30,N30),"AB")</f>
        <v>AB</v>
      </c>
      <c r="T30" s="149" t="str">
        <f>IFERROR(SUM(#REF!,J30,O30),"AB")</f>
        <v>AB</v>
      </c>
      <c r="U30" s="149">
        <f t="shared" si="2"/>
        <v>56</v>
      </c>
    </row>
    <row r="31" spans="1:21" s="148" customFormat="1" ht="15.75">
      <c r="A31" s="147">
        <v>18</v>
      </c>
      <c r="B31" s="171" t="s">
        <v>276</v>
      </c>
      <c r="C31" s="172" t="s">
        <v>214</v>
      </c>
      <c r="D31" s="150">
        <f>'CCE1'!D28+'CCE1'!E28</f>
        <v>10</v>
      </c>
      <c r="E31" s="150">
        <f>'CCE1'!E28+'CCE1'!F28</f>
        <v>8</v>
      </c>
      <c r="F31" s="150">
        <f>'CCE2'!D28</f>
        <v>5</v>
      </c>
      <c r="G31" s="150">
        <f>'CCE2'!E28</f>
        <v>2</v>
      </c>
      <c r="H31" s="150">
        <f>'CCE2'!F28</f>
        <v>4</v>
      </c>
      <c r="I31" s="150">
        <f>'CCE2'!G28</f>
        <v>5</v>
      </c>
      <c r="J31" s="150">
        <f>'CCE2'!H28</f>
        <v>3</v>
      </c>
      <c r="K31" s="150">
        <f>'CCE3'!D28+'CCE3'!E28</f>
        <v>12</v>
      </c>
      <c r="L31" s="150">
        <f>'CCE3'!F28+'CCE3'!G28</f>
        <v>16</v>
      </c>
      <c r="M31" s="150">
        <f>'CCE3'!H28+'CCE3'!I28</f>
        <v>6</v>
      </c>
      <c r="N31" s="150">
        <f>'CCE3'!J28+'CCE3'!K28</f>
        <v>0</v>
      </c>
      <c r="O31" s="150">
        <f>'CCE3'!L28+'CCE3'!M28</f>
        <v>0</v>
      </c>
      <c r="P31" s="149">
        <f t="shared" si="0"/>
        <v>27</v>
      </c>
      <c r="Q31" s="149">
        <f t="shared" si="1"/>
        <v>26</v>
      </c>
      <c r="R31" s="149" t="str">
        <f>IFERROR(SUM(#REF!,H31,M31),"AB")</f>
        <v>AB</v>
      </c>
      <c r="S31" s="149" t="str">
        <f>IFERROR(SUM(#REF!,I31,N31),"AB")</f>
        <v>AB</v>
      </c>
      <c r="T31" s="149" t="str">
        <f>IFERROR(SUM(#REF!,J31,O31),"AB")</f>
        <v>AB</v>
      </c>
      <c r="U31" s="149">
        <f t="shared" si="2"/>
        <v>53</v>
      </c>
    </row>
    <row r="32" spans="1:21" s="148" customFormat="1" ht="15.75">
      <c r="A32" s="147">
        <v>19</v>
      </c>
      <c r="B32" s="171" t="s">
        <v>277</v>
      </c>
      <c r="C32" s="172" t="s">
        <v>200</v>
      </c>
      <c r="D32" s="150">
        <f>'CCE1'!D29+'CCE1'!E29</f>
        <v>11</v>
      </c>
      <c r="E32" s="150">
        <f>'CCE1'!E29+'CCE1'!F29</f>
        <v>15</v>
      </c>
      <c r="F32" s="150">
        <f>'CCE2'!D29</f>
        <v>5</v>
      </c>
      <c r="G32" s="150">
        <f>'CCE2'!E29</f>
        <v>3</v>
      </c>
      <c r="H32" s="150">
        <f>'CCE2'!F29</f>
        <v>5</v>
      </c>
      <c r="I32" s="150">
        <f>'CCE2'!G29</f>
        <v>5</v>
      </c>
      <c r="J32" s="150">
        <f>'CCE2'!H29</f>
        <v>3</v>
      </c>
      <c r="K32" s="150">
        <f>'CCE3'!D29+'CCE3'!E29</f>
        <v>12</v>
      </c>
      <c r="L32" s="150">
        <f>'CCE3'!F29+'CCE3'!G29</f>
        <v>16</v>
      </c>
      <c r="M32" s="150">
        <f>'CCE3'!H29+'CCE3'!I29</f>
        <v>7</v>
      </c>
      <c r="N32" s="150">
        <f>'CCE3'!J29+'CCE3'!K29</f>
        <v>0</v>
      </c>
      <c r="O32" s="150">
        <f>'CCE3'!L29+'CCE3'!M29</f>
        <v>0</v>
      </c>
      <c r="P32" s="149">
        <f t="shared" si="0"/>
        <v>28</v>
      </c>
      <c r="Q32" s="149">
        <f t="shared" si="1"/>
        <v>34</v>
      </c>
      <c r="R32" s="149" t="str">
        <f>IFERROR(SUM(#REF!,H32,M32),"AB")</f>
        <v>AB</v>
      </c>
      <c r="S32" s="149" t="str">
        <f>IFERROR(SUM(#REF!,I32,N32),"AB")</f>
        <v>AB</v>
      </c>
      <c r="T32" s="149" t="str">
        <f>IFERROR(SUM(#REF!,J32,O32),"AB")</f>
        <v>AB</v>
      </c>
      <c r="U32" s="149">
        <f t="shared" si="2"/>
        <v>62</v>
      </c>
    </row>
    <row r="33" spans="1:21" s="148" customFormat="1" ht="15.75">
      <c r="A33" s="147">
        <v>20</v>
      </c>
      <c r="B33" s="171" t="s">
        <v>278</v>
      </c>
      <c r="C33" s="172" t="s">
        <v>209</v>
      </c>
      <c r="D33" s="150">
        <f>'CCE1'!D30+'CCE1'!E30</f>
        <v>9</v>
      </c>
      <c r="E33" s="150">
        <f>'CCE1'!E30+'CCE1'!F30</f>
        <v>11</v>
      </c>
      <c r="F33" s="150">
        <f>'CCE2'!D30</f>
        <v>5</v>
      </c>
      <c r="G33" s="150">
        <f>'CCE2'!E30</f>
        <v>3</v>
      </c>
      <c r="H33" s="150">
        <f>'CCE2'!F30</f>
        <v>5</v>
      </c>
      <c r="I33" s="150">
        <f>'CCE2'!G30</f>
        <v>5</v>
      </c>
      <c r="J33" s="150">
        <f>'CCE2'!H30</f>
        <v>4</v>
      </c>
      <c r="K33" s="150">
        <f>'CCE3'!D30+'CCE3'!E30</f>
        <v>15</v>
      </c>
      <c r="L33" s="150">
        <f>'CCE3'!F30+'CCE3'!G30</f>
        <v>13</v>
      </c>
      <c r="M33" s="150">
        <f>'CCE3'!H30+'CCE3'!I30</f>
        <v>6</v>
      </c>
      <c r="N33" s="150">
        <f>'CCE3'!J30+'CCE3'!K30</f>
        <v>0</v>
      </c>
      <c r="O33" s="150">
        <f>'CCE3'!L30+'CCE3'!M30</f>
        <v>0</v>
      </c>
      <c r="P33" s="149">
        <f t="shared" si="0"/>
        <v>29</v>
      </c>
      <c r="Q33" s="149">
        <f t="shared" si="1"/>
        <v>27</v>
      </c>
      <c r="R33" s="149" t="str">
        <f>IFERROR(SUM(#REF!,H33,M33),"AB")</f>
        <v>AB</v>
      </c>
      <c r="S33" s="149" t="str">
        <f>IFERROR(SUM(#REF!,I33,N33),"AB")</f>
        <v>AB</v>
      </c>
      <c r="T33" s="149" t="str">
        <f>IFERROR(SUM(#REF!,J33,O33),"AB")</f>
        <v>AB</v>
      </c>
      <c r="U33" s="149">
        <f t="shared" si="2"/>
        <v>56</v>
      </c>
    </row>
    <row r="34" spans="1:21" s="148" customFormat="1" ht="15.75">
      <c r="A34" s="147">
        <v>21</v>
      </c>
      <c r="B34" s="171" t="s">
        <v>279</v>
      </c>
      <c r="C34" s="172" t="s">
        <v>228</v>
      </c>
      <c r="D34" s="150">
        <f>'CCE1'!D31+'CCE1'!E31</f>
        <v>8</v>
      </c>
      <c r="E34" s="150">
        <f>'CCE1'!E31+'CCE1'!F31</f>
        <v>11</v>
      </c>
      <c r="F34" s="150">
        <f>'CCE2'!D31</f>
        <v>3</v>
      </c>
      <c r="G34" s="150">
        <f>'CCE2'!E31</f>
        <v>3</v>
      </c>
      <c r="H34" s="150">
        <f>'CCE2'!F31</f>
        <v>2</v>
      </c>
      <c r="I34" s="150">
        <f>'CCE2'!G31</f>
        <v>2</v>
      </c>
      <c r="J34" s="150">
        <f>'CCE2'!H31</f>
        <v>3</v>
      </c>
      <c r="K34" s="150">
        <f>'CCE3'!D31+'CCE3'!E31</f>
        <v>16</v>
      </c>
      <c r="L34" s="150">
        <f>'CCE3'!F31+'CCE3'!G31</f>
        <v>11</v>
      </c>
      <c r="M34" s="150">
        <f>'CCE3'!H31+'CCE3'!I31</f>
        <v>8</v>
      </c>
      <c r="N34" s="150">
        <f>'CCE3'!J31+'CCE3'!K31</f>
        <v>0</v>
      </c>
      <c r="O34" s="150">
        <f>'CCE3'!L31+'CCE3'!M31</f>
        <v>0</v>
      </c>
      <c r="P34" s="149">
        <f t="shared" si="0"/>
        <v>27</v>
      </c>
      <c r="Q34" s="149">
        <f t="shared" si="1"/>
        <v>25</v>
      </c>
      <c r="R34" s="149" t="str">
        <f>IFERROR(SUM(#REF!,H34,M34),"AB")</f>
        <v>AB</v>
      </c>
      <c r="S34" s="149" t="str">
        <f>IFERROR(SUM(#REF!,I34,N34),"AB")</f>
        <v>AB</v>
      </c>
      <c r="T34" s="149" t="str">
        <f>IFERROR(SUM(#REF!,J34,O34),"AB")</f>
        <v>AB</v>
      </c>
      <c r="U34" s="149">
        <f t="shared" si="2"/>
        <v>52</v>
      </c>
    </row>
    <row r="35" spans="1:21" s="148" customFormat="1" ht="15.75">
      <c r="A35" s="147">
        <v>22</v>
      </c>
      <c r="B35" s="171" t="s">
        <v>280</v>
      </c>
      <c r="C35" s="172" t="s">
        <v>281</v>
      </c>
      <c r="D35" s="150">
        <f>'CCE1'!D32+'CCE1'!E32</f>
        <v>12</v>
      </c>
      <c r="E35" s="150">
        <f>'CCE1'!E32+'CCE1'!F32</f>
        <v>14</v>
      </c>
      <c r="F35" s="150">
        <f>'CCE2'!D32</f>
        <v>3</v>
      </c>
      <c r="G35" s="150">
        <f>'CCE2'!E32</f>
        <v>4</v>
      </c>
      <c r="H35" s="150">
        <f>'CCE2'!F32</f>
        <v>4</v>
      </c>
      <c r="I35" s="150">
        <f>'CCE2'!G32</f>
        <v>5</v>
      </c>
      <c r="J35" s="150">
        <f>'CCE2'!H32</f>
        <v>3</v>
      </c>
      <c r="K35" s="150">
        <f>'CCE3'!D32+'CCE3'!E32</f>
        <v>14</v>
      </c>
      <c r="L35" s="150">
        <f>'CCE3'!F32+'CCE3'!G32</f>
        <v>15</v>
      </c>
      <c r="M35" s="150">
        <f>'CCE3'!H32+'CCE3'!I32</f>
        <v>7</v>
      </c>
      <c r="N35" s="150">
        <f>'CCE3'!J32+'CCE3'!K32</f>
        <v>0</v>
      </c>
      <c r="O35" s="150">
        <f>'CCE3'!L32+'CCE3'!M32</f>
        <v>0</v>
      </c>
      <c r="P35" s="149">
        <f t="shared" si="0"/>
        <v>29</v>
      </c>
      <c r="Q35" s="149">
        <f t="shared" si="1"/>
        <v>33</v>
      </c>
      <c r="R35" s="149" t="str">
        <f>IFERROR(SUM(#REF!,H35,M35),"AB")</f>
        <v>AB</v>
      </c>
      <c r="S35" s="149" t="str">
        <f>IFERROR(SUM(#REF!,I35,N35),"AB")</f>
        <v>AB</v>
      </c>
      <c r="T35" s="149" t="str">
        <f>IFERROR(SUM(#REF!,J35,O35),"AB")</f>
        <v>AB</v>
      </c>
      <c r="U35" s="149">
        <f t="shared" si="2"/>
        <v>62</v>
      </c>
    </row>
    <row r="36" spans="1:21" s="148" customFormat="1" ht="15.75">
      <c r="A36" s="147">
        <v>23</v>
      </c>
      <c r="B36" s="171" t="s">
        <v>282</v>
      </c>
      <c r="C36" s="172" t="s">
        <v>164</v>
      </c>
      <c r="D36" s="150">
        <f>'CCE1'!D33+'CCE1'!E33</f>
        <v>16</v>
      </c>
      <c r="E36" s="150">
        <f>'CCE1'!E33+'CCE1'!F33</f>
        <v>15</v>
      </c>
      <c r="F36" s="150">
        <f>'CCE2'!D33</f>
        <v>4</v>
      </c>
      <c r="G36" s="150">
        <f>'CCE2'!E33</f>
        <v>5</v>
      </c>
      <c r="H36" s="150">
        <f>'CCE2'!F33</f>
        <v>3</v>
      </c>
      <c r="I36" s="150">
        <f>'CCE2'!G33</f>
        <v>5</v>
      </c>
      <c r="J36" s="150">
        <f>'CCE2'!H33</f>
        <v>5</v>
      </c>
      <c r="K36" s="150">
        <f>'CCE3'!D33+'CCE3'!E33</f>
        <v>13</v>
      </c>
      <c r="L36" s="150">
        <f>'CCE3'!F33+'CCE3'!G33</f>
        <v>14</v>
      </c>
      <c r="M36" s="150">
        <f>'CCE3'!H33+'CCE3'!I33</f>
        <v>8</v>
      </c>
      <c r="N36" s="150">
        <f>'CCE3'!J33+'CCE3'!K33</f>
        <v>0</v>
      </c>
      <c r="O36" s="150">
        <f>'CCE3'!L33+'CCE3'!M33</f>
        <v>0</v>
      </c>
      <c r="P36" s="149">
        <f t="shared" si="0"/>
        <v>33</v>
      </c>
      <c r="Q36" s="149">
        <f t="shared" si="1"/>
        <v>34</v>
      </c>
      <c r="R36" s="149" t="str">
        <f>IFERROR(SUM(#REF!,H36,M36),"AB")</f>
        <v>AB</v>
      </c>
      <c r="S36" s="149" t="str">
        <f>IFERROR(SUM(#REF!,I36,N36),"AB")</f>
        <v>AB</v>
      </c>
      <c r="T36" s="149" t="str">
        <f>IFERROR(SUM(#REF!,J36,O36),"AB")</f>
        <v>AB</v>
      </c>
      <c r="U36" s="149">
        <f t="shared" si="2"/>
        <v>67</v>
      </c>
    </row>
    <row r="37" spans="1:21" s="148" customFormat="1" ht="15.75">
      <c r="A37" s="147">
        <v>24</v>
      </c>
      <c r="B37" s="171" t="s">
        <v>283</v>
      </c>
      <c r="C37" s="172" t="s">
        <v>152</v>
      </c>
      <c r="D37" s="150">
        <f>'CCE1'!D34+'CCE1'!E34</f>
        <v>9</v>
      </c>
      <c r="E37" s="150">
        <f>'CCE1'!E34+'CCE1'!F34</f>
        <v>12</v>
      </c>
      <c r="F37" s="150">
        <f>'CCE2'!D34</f>
        <v>3</v>
      </c>
      <c r="G37" s="150">
        <f>'CCE2'!E34</f>
        <v>5</v>
      </c>
      <c r="H37" s="150">
        <f>'CCE2'!F34</f>
        <v>4</v>
      </c>
      <c r="I37" s="150">
        <f>'CCE2'!G34</f>
        <v>5</v>
      </c>
      <c r="J37" s="150">
        <f>'CCE2'!H34</f>
        <v>4</v>
      </c>
      <c r="K37" s="150">
        <f>'CCE3'!D34+'CCE3'!E34</f>
        <v>15</v>
      </c>
      <c r="L37" s="150">
        <f>'CCE3'!F34+'CCE3'!G34</f>
        <v>11</v>
      </c>
      <c r="M37" s="150">
        <f>'CCE3'!H34+'CCE3'!I34</f>
        <v>7</v>
      </c>
      <c r="N37" s="150">
        <f>'CCE3'!J34+'CCE3'!K34</f>
        <v>0</v>
      </c>
      <c r="O37" s="150">
        <f>'CCE3'!L34+'CCE3'!M34</f>
        <v>0</v>
      </c>
      <c r="P37" s="149">
        <f t="shared" si="0"/>
        <v>27</v>
      </c>
      <c r="Q37" s="149">
        <f t="shared" si="1"/>
        <v>28</v>
      </c>
      <c r="R37" s="149" t="str">
        <f>IFERROR(SUM(#REF!,H37,M37),"AB")</f>
        <v>AB</v>
      </c>
      <c r="S37" s="149" t="str">
        <f>IFERROR(SUM(#REF!,I37,N37),"AB")</f>
        <v>AB</v>
      </c>
      <c r="T37" s="149" t="str">
        <f>IFERROR(SUM(#REF!,J37,O37),"AB")</f>
        <v>AB</v>
      </c>
      <c r="U37" s="149">
        <f t="shared" si="2"/>
        <v>55</v>
      </c>
    </row>
    <row r="38" spans="1:21" s="148" customFormat="1" ht="15.75">
      <c r="A38" s="147">
        <v>25</v>
      </c>
      <c r="B38" s="171" t="s">
        <v>284</v>
      </c>
      <c r="C38" s="172" t="s">
        <v>285</v>
      </c>
      <c r="D38" s="150">
        <f>'CCE1'!D35+'CCE1'!E35</f>
        <v>12</v>
      </c>
      <c r="E38" s="150">
        <f>'CCE1'!E35+'CCE1'!F35</f>
        <v>13</v>
      </c>
      <c r="F38" s="150">
        <f>'CCE2'!D35</f>
        <v>3</v>
      </c>
      <c r="G38" s="150">
        <f>'CCE2'!E35</f>
        <v>3</v>
      </c>
      <c r="H38" s="150">
        <f>'CCE2'!F35</f>
        <v>3</v>
      </c>
      <c r="I38" s="150">
        <f>'CCE2'!G35</f>
        <v>5</v>
      </c>
      <c r="J38" s="150">
        <f>'CCE2'!H35</f>
        <v>4</v>
      </c>
      <c r="K38" s="150">
        <f>'CCE3'!D35+'CCE3'!E35</f>
        <v>14</v>
      </c>
      <c r="L38" s="150">
        <f>'CCE3'!F35+'CCE3'!G35</f>
        <v>13</v>
      </c>
      <c r="M38" s="150">
        <f>'CCE3'!H35+'CCE3'!I35</f>
        <v>8</v>
      </c>
      <c r="N38" s="150">
        <f>'CCE3'!J35+'CCE3'!K35</f>
        <v>0</v>
      </c>
      <c r="O38" s="150">
        <f>'CCE3'!L35+'CCE3'!M35</f>
        <v>0</v>
      </c>
      <c r="P38" s="149">
        <f t="shared" si="0"/>
        <v>29</v>
      </c>
      <c r="Q38" s="149">
        <f t="shared" si="1"/>
        <v>29</v>
      </c>
      <c r="R38" s="149" t="str">
        <f>IFERROR(SUM(#REF!,H38,M38),"AB")</f>
        <v>AB</v>
      </c>
      <c r="S38" s="149" t="str">
        <f>IFERROR(SUM(#REF!,I38,N38),"AB")</f>
        <v>AB</v>
      </c>
      <c r="T38" s="149" t="str">
        <f>IFERROR(SUM(#REF!,J38,O38),"AB")</f>
        <v>AB</v>
      </c>
      <c r="U38" s="149">
        <f t="shared" si="2"/>
        <v>58</v>
      </c>
    </row>
    <row r="39" spans="1:21" s="148" customFormat="1" ht="15.75">
      <c r="A39" s="147">
        <v>26</v>
      </c>
      <c r="B39" s="171" t="s">
        <v>286</v>
      </c>
      <c r="C39" s="172" t="s">
        <v>287</v>
      </c>
      <c r="D39" s="150">
        <f>'CCE1'!D36+'CCE1'!E36</f>
        <v>11</v>
      </c>
      <c r="E39" s="150">
        <f>'CCE1'!E36+'CCE1'!F36</f>
        <v>9</v>
      </c>
      <c r="F39" s="150">
        <f>'CCE2'!D36</f>
        <v>5</v>
      </c>
      <c r="G39" s="150">
        <f>'CCE2'!E36</f>
        <v>3</v>
      </c>
      <c r="H39" s="150">
        <f>'CCE2'!F36</f>
        <v>3</v>
      </c>
      <c r="I39" s="150">
        <f>'CCE2'!G36</f>
        <v>4</v>
      </c>
      <c r="J39" s="150">
        <f>'CCE2'!H36</f>
        <v>4</v>
      </c>
      <c r="K39" s="150">
        <f>'CCE3'!D36+'CCE3'!E36</f>
        <v>16</v>
      </c>
      <c r="L39" s="150">
        <f>'CCE3'!F36+'CCE3'!G36</f>
        <v>15</v>
      </c>
      <c r="M39" s="150">
        <f>'CCE3'!H36+'CCE3'!I36</f>
        <v>8</v>
      </c>
      <c r="N39" s="150">
        <f>'CCE3'!J36+'CCE3'!K36</f>
        <v>0</v>
      </c>
      <c r="O39" s="150">
        <f>'CCE3'!L36+'CCE3'!M36</f>
        <v>0</v>
      </c>
      <c r="P39" s="149">
        <f t="shared" si="0"/>
        <v>32</v>
      </c>
      <c r="Q39" s="149">
        <f t="shared" si="1"/>
        <v>27</v>
      </c>
      <c r="R39" s="149" t="str">
        <f>IFERROR(SUM(#REF!,H39,M39),"AB")</f>
        <v>AB</v>
      </c>
      <c r="S39" s="149" t="str">
        <f>IFERROR(SUM(#REF!,I39,N39),"AB")</f>
        <v>AB</v>
      </c>
      <c r="T39" s="149" t="str">
        <f>IFERROR(SUM(#REF!,J39,O39),"AB")</f>
        <v>AB</v>
      </c>
      <c r="U39" s="149">
        <f t="shared" si="2"/>
        <v>59</v>
      </c>
    </row>
    <row r="40" spans="1:21" s="148" customFormat="1" ht="15.75">
      <c r="A40" s="147">
        <v>27</v>
      </c>
      <c r="B40" s="171" t="s">
        <v>288</v>
      </c>
      <c r="C40" s="172" t="s">
        <v>189</v>
      </c>
      <c r="D40" s="150">
        <f>'CCE1'!D37+'CCE1'!E37</f>
        <v>12</v>
      </c>
      <c r="E40" s="150">
        <f>'CCE1'!E37+'CCE1'!F37</f>
        <v>15</v>
      </c>
      <c r="F40" s="150">
        <f>'CCE2'!D37</f>
        <v>4</v>
      </c>
      <c r="G40" s="150">
        <f>'CCE2'!E37</f>
        <v>3</v>
      </c>
      <c r="H40" s="150">
        <f>'CCE2'!F37</f>
        <v>4</v>
      </c>
      <c r="I40" s="150">
        <f>'CCE2'!G37</f>
        <v>4</v>
      </c>
      <c r="J40" s="150">
        <f>'CCE2'!H37</f>
        <v>5</v>
      </c>
      <c r="K40" s="150">
        <f>'CCE3'!D37+'CCE3'!E37</f>
        <v>13</v>
      </c>
      <c r="L40" s="150">
        <f>'CCE3'!F37+'CCE3'!G37</f>
        <v>16</v>
      </c>
      <c r="M40" s="150">
        <f>'CCE3'!H37+'CCE3'!I37</f>
        <v>8</v>
      </c>
      <c r="N40" s="150">
        <f>'CCE3'!J37+'CCE3'!K37</f>
        <v>0</v>
      </c>
      <c r="O40" s="150">
        <f>'CCE3'!L37+'CCE3'!M37</f>
        <v>0</v>
      </c>
      <c r="P40" s="149">
        <f t="shared" si="0"/>
        <v>29</v>
      </c>
      <c r="Q40" s="149">
        <f t="shared" si="1"/>
        <v>34</v>
      </c>
      <c r="R40" s="149" t="str">
        <f>IFERROR(SUM(#REF!,H40,M40),"AB")</f>
        <v>AB</v>
      </c>
      <c r="S40" s="149" t="str">
        <f>IFERROR(SUM(#REF!,I40,N40),"AB")</f>
        <v>AB</v>
      </c>
      <c r="T40" s="149" t="str">
        <f>IFERROR(SUM(#REF!,J40,O40),"AB")</f>
        <v>AB</v>
      </c>
      <c r="U40" s="149">
        <f t="shared" si="2"/>
        <v>63</v>
      </c>
    </row>
    <row r="41" spans="1:21" s="148" customFormat="1" ht="15.75">
      <c r="A41" s="147">
        <v>28</v>
      </c>
      <c r="B41" s="171" t="s">
        <v>289</v>
      </c>
      <c r="C41" s="172" t="s">
        <v>218</v>
      </c>
      <c r="D41" s="150">
        <f>'CCE1'!D38+'CCE1'!E38</f>
        <v>9</v>
      </c>
      <c r="E41" s="150">
        <f>'CCE1'!E38+'CCE1'!F38</f>
        <v>12</v>
      </c>
      <c r="F41" s="150">
        <f>'CCE2'!D38</f>
        <v>4</v>
      </c>
      <c r="G41" s="150">
        <f>'CCE2'!E38</f>
        <v>3</v>
      </c>
      <c r="H41" s="150">
        <f>'CCE2'!F38</f>
        <v>3</v>
      </c>
      <c r="I41" s="150">
        <f>'CCE2'!G38</f>
        <v>4</v>
      </c>
      <c r="J41" s="150">
        <f>'CCE2'!H38</f>
        <v>5</v>
      </c>
      <c r="K41" s="150">
        <f>'CCE3'!D38+'CCE3'!E38</f>
        <v>13</v>
      </c>
      <c r="L41" s="150">
        <f>'CCE3'!F38+'CCE3'!G38</f>
        <v>14</v>
      </c>
      <c r="M41" s="150">
        <f>'CCE3'!H38+'CCE3'!I38</f>
        <v>7</v>
      </c>
      <c r="N41" s="150">
        <f>'CCE3'!J38+'CCE3'!K38</f>
        <v>0</v>
      </c>
      <c r="O41" s="150">
        <f>'CCE3'!L38+'CCE3'!M38</f>
        <v>0</v>
      </c>
      <c r="P41" s="149">
        <f t="shared" si="0"/>
        <v>26</v>
      </c>
      <c r="Q41" s="149">
        <f t="shared" si="1"/>
        <v>29</v>
      </c>
      <c r="R41" s="149" t="str">
        <f>IFERROR(SUM(#REF!,H41,M41),"AB")</f>
        <v>AB</v>
      </c>
      <c r="S41" s="149" t="str">
        <f>IFERROR(SUM(#REF!,I41,N41),"AB")</f>
        <v>AB</v>
      </c>
      <c r="T41" s="149" t="str">
        <f>IFERROR(SUM(#REF!,J41,O41),"AB")</f>
        <v>AB</v>
      </c>
      <c r="U41" s="149">
        <f t="shared" si="2"/>
        <v>55</v>
      </c>
    </row>
    <row r="42" spans="1:21" s="148" customFormat="1" ht="15.75">
      <c r="A42" s="147">
        <v>29</v>
      </c>
      <c r="B42" s="171" t="s">
        <v>290</v>
      </c>
      <c r="C42" s="172" t="s">
        <v>155</v>
      </c>
      <c r="D42" s="150">
        <f>'CCE1'!D39+'CCE1'!E39</f>
        <v>10</v>
      </c>
      <c r="E42" s="150">
        <f>'CCE1'!E39+'CCE1'!F39</f>
        <v>11</v>
      </c>
      <c r="F42" s="150">
        <f>'CCE2'!D39</f>
        <v>4</v>
      </c>
      <c r="G42" s="150">
        <f>'CCE2'!E39</f>
        <v>3</v>
      </c>
      <c r="H42" s="150">
        <f>'CCE2'!F39</f>
        <v>5</v>
      </c>
      <c r="I42" s="150">
        <f>'CCE2'!G39</f>
        <v>3</v>
      </c>
      <c r="J42" s="150">
        <f>'CCE2'!H39</f>
        <v>4</v>
      </c>
      <c r="K42" s="150">
        <f>'CCE3'!D39+'CCE3'!E39</f>
        <v>11</v>
      </c>
      <c r="L42" s="150">
        <f>'CCE3'!F39+'CCE3'!G39</f>
        <v>13</v>
      </c>
      <c r="M42" s="150">
        <f>'CCE3'!H39+'CCE3'!I39</f>
        <v>7</v>
      </c>
      <c r="N42" s="150">
        <f>'CCE3'!J39+'CCE3'!K39</f>
        <v>0</v>
      </c>
      <c r="O42" s="150">
        <f>'CCE3'!L39+'CCE3'!M39</f>
        <v>0</v>
      </c>
      <c r="P42" s="149">
        <f t="shared" si="0"/>
        <v>25</v>
      </c>
      <c r="Q42" s="149">
        <f t="shared" si="1"/>
        <v>27</v>
      </c>
      <c r="R42" s="149" t="str">
        <f>IFERROR(SUM(#REF!,H42,M42),"AB")</f>
        <v>AB</v>
      </c>
      <c r="S42" s="149" t="str">
        <f>IFERROR(SUM(#REF!,I42,N42),"AB")</f>
        <v>AB</v>
      </c>
      <c r="T42" s="149" t="str">
        <f>IFERROR(SUM(#REF!,J42,O42),"AB")</f>
        <v>AB</v>
      </c>
      <c r="U42" s="149">
        <f t="shared" si="2"/>
        <v>52</v>
      </c>
    </row>
    <row r="43" spans="1:21" s="148" customFormat="1" ht="15.75">
      <c r="A43" s="147">
        <v>30</v>
      </c>
      <c r="B43" s="171" t="s">
        <v>291</v>
      </c>
      <c r="C43" s="172" t="s">
        <v>253</v>
      </c>
      <c r="D43" s="150">
        <f>'CCE1'!D40+'CCE1'!E40</f>
        <v>14</v>
      </c>
      <c r="E43" s="150">
        <f>'CCE1'!E40+'CCE1'!F40</f>
        <v>14</v>
      </c>
      <c r="F43" s="150">
        <f>'CCE2'!D40</f>
        <v>5</v>
      </c>
      <c r="G43" s="150">
        <f>'CCE2'!E40</f>
        <v>5</v>
      </c>
      <c r="H43" s="150">
        <f>'CCE2'!F40</f>
        <v>3</v>
      </c>
      <c r="I43" s="150">
        <f>'CCE2'!G40</f>
        <v>3</v>
      </c>
      <c r="J43" s="150">
        <f>'CCE2'!H40</f>
        <v>2</v>
      </c>
      <c r="K43" s="150">
        <f>'CCE3'!D40+'CCE3'!E40</f>
        <v>14</v>
      </c>
      <c r="L43" s="150">
        <f>'CCE3'!F40+'CCE3'!G40</f>
        <v>12</v>
      </c>
      <c r="M43" s="150">
        <f>'CCE3'!H40+'CCE3'!I40</f>
        <v>7</v>
      </c>
      <c r="N43" s="150">
        <f>'CCE3'!J40+'CCE3'!K40</f>
        <v>0</v>
      </c>
      <c r="O43" s="150">
        <f>'CCE3'!L40+'CCE3'!M40</f>
        <v>0</v>
      </c>
      <c r="P43" s="149">
        <f t="shared" si="0"/>
        <v>33</v>
      </c>
      <c r="Q43" s="149">
        <f t="shared" si="1"/>
        <v>31</v>
      </c>
      <c r="R43" s="149" t="str">
        <f>IFERROR(SUM(#REF!,H43,M43),"AB")</f>
        <v>AB</v>
      </c>
      <c r="S43" s="149" t="str">
        <f>IFERROR(SUM(#REF!,I43,N43),"AB")</f>
        <v>AB</v>
      </c>
      <c r="T43" s="149" t="str">
        <f>IFERROR(SUM(#REF!,J43,O43),"AB")</f>
        <v>AB</v>
      </c>
      <c r="U43" s="149">
        <f t="shared" si="2"/>
        <v>64</v>
      </c>
    </row>
    <row r="44" spans="1:21" s="148" customFormat="1" ht="15.75">
      <c r="A44" s="147">
        <v>31</v>
      </c>
      <c r="B44" s="171" t="s">
        <v>292</v>
      </c>
      <c r="C44" s="172" t="s">
        <v>293</v>
      </c>
      <c r="D44" s="150">
        <f>'CCE1'!D41+'CCE1'!E41</f>
        <v>13</v>
      </c>
      <c r="E44" s="150">
        <f>'CCE1'!E41+'CCE1'!F41</f>
        <v>10</v>
      </c>
      <c r="F44" s="150">
        <f>'CCE2'!D41</f>
        <v>5</v>
      </c>
      <c r="G44" s="150">
        <f>'CCE2'!E41</f>
        <v>5</v>
      </c>
      <c r="H44" s="150">
        <f>'CCE2'!F41</f>
        <v>2</v>
      </c>
      <c r="I44" s="150">
        <f>'CCE2'!G41</f>
        <v>5</v>
      </c>
      <c r="J44" s="150">
        <f>'CCE2'!H41</f>
        <v>5</v>
      </c>
      <c r="K44" s="150">
        <f>'CCE3'!D41+'CCE3'!E41</f>
        <v>14</v>
      </c>
      <c r="L44" s="150">
        <f>'CCE3'!F41+'CCE3'!G41</f>
        <v>14</v>
      </c>
      <c r="M44" s="150">
        <f>'CCE3'!H41+'CCE3'!I41</f>
        <v>8</v>
      </c>
      <c r="N44" s="150">
        <f>'CCE3'!J41+'CCE3'!K41</f>
        <v>0</v>
      </c>
      <c r="O44" s="150">
        <f>'CCE3'!L41+'CCE3'!M41</f>
        <v>0</v>
      </c>
      <c r="P44" s="149">
        <f t="shared" si="0"/>
        <v>32</v>
      </c>
      <c r="Q44" s="149">
        <f t="shared" si="1"/>
        <v>29</v>
      </c>
      <c r="R44" s="149" t="str">
        <f>IFERROR(SUM(#REF!,H44,M44),"AB")</f>
        <v>AB</v>
      </c>
      <c r="S44" s="149" t="str">
        <f>IFERROR(SUM(#REF!,I44,N44),"AB")</f>
        <v>AB</v>
      </c>
      <c r="T44" s="149" t="str">
        <f>IFERROR(SUM(#REF!,J44,O44),"AB")</f>
        <v>AB</v>
      </c>
      <c r="U44" s="149">
        <f t="shared" si="2"/>
        <v>61</v>
      </c>
    </row>
    <row r="45" spans="1:21" s="148" customFormat="1" ht="15.75">
      <c r="A45" s="147">
        <v>32</v>
      </c>
      <c r="B45" s="171" t="s">
        <v>294</v>
      </c>
      <c r="C45" s="172" t="s">
        <v>160</v>
      </c>
      <c r="D45" s="150">
        <f>'CCE1'!D42+'CCE1'!E42</f>
        <v>12</v>
      </c>
      <c r="E45" s="150">
        <f>'CCE1'!E42+'CCE1'!F42</f>
        <v>12</v>
      </c>
      <c r="F45" s="150">
        <f>'CCE2'!D42</f>
        <v>4</v>
      </c>
      <c r="G45" s="150">
        <f>'CCE2'!E42</f>
        <v>4</v>
      </c>
      <c r="H45" s="150">
        <f>'CCE2'!F42</f>
        <v>4</v>
      </c>
      <c r="I45" s="150">
        <f>'CCE2'!G42</f>
        <v>4</v>
      </c>
      <c r="J45" s="150">
        <f>'CCE2'!H42</f>
        <v>5</v>
      </c>
      <c r="K45" s="150">
        <f>'CCE3'!D42+'CCE3'!E42</f>
        <v>14</v>
      </c>
      <c r="L45" s="150">
        <f>'CCE3'!F42+'CCE3'!G42</f>
        <v>15</v>
      </c>
      <c r="M45" s="150">
        <f>'CCE3'!H42+'CCE3'!I42</f>
        <v>6</v>
      </c>
      <c r="N45" s="150">
        <f>'CCE3'!J42+'CCE3'!K42</f>
        <v>0</v>
      </c>
      <c r="O45" s="150">
        <f>'CCE3'!L42+'CCE3'!M42</f>
        <v>0</v>
      </c>
      <c r="P45" s="149">
        <f t="shared" si="0"/>
        <v>30</v>
      </c>
      <c r="Q45" s="149">
        <f t="shared" si="1"/>
        <v>31</v>
      </c>
      <c r="R45" s="149" t="str">
        <f>IFERROR(SUM(#REF!,H45,M45),"AB")</f>
        <v>AB</v>
      </c>
      <c r="S45" s="149" t="str">
        <f>IFERROR(SUM(#REF!,I45,N45),"AB")</f>
        <v>AB</v>
      </c>
      <c r="T45" s="149" t="str">
        <f>IFERROR(SUM(#REF!,J45,O45),"AB")</f>
        <v>AB</v>
      </c>
      <c r="U45" s="149">
        <f t="shared" si="2"/>
        <v>61</v>
      </c>
    </row>
    <row r="46" spans="1:21" s="148" customFormat="1" ht="15.75">
      <c r="A46" s="147">
        <v>33</v>
      </c>
      <c r="B46" s="171" t="s">
        <v>295</v>
      </c>
      <c r="C46" s="172" t="s">
        <v>148</v>
      </c>
      <c r="D46" s="150">
        <f>'CCE1'!D43+'CCE1'!E43</f>
        <v>14</v>
      </c>
      <c r="E46" s="150">
        <f>'CCE1'!E43+'CCE1'!F43</f>
        <v>14</v>
      </c>
      <c r="F46" s="150">
        <f>'CCE2'!D43</f>
        <v>2</v>
      </c>
      <c r="G46" s="150">
        <f>'CCE2'!E43</f>
        <v>2</v>
      </c>
      <c r="H46" s="150">
        <f>'CCE2'!F43</f>
        <v>5</v>
      </c>
      <c r="I46" s="150">
        <f>'CCE2'!G43</f>
        <v>3</v>
      </c>
      <c r="J46" s="150">
        <f>'CCE2'!H43</f>
        <v>5</v>
      </c>
      <c r="K46" s="150">
        <f>'CCE3'!D43+'CCE3'!E43</f>
        <v>15</v>
      </c>
      <c r="L46" s="150">
        <f>'CCE3'!F43+'CCE3'!G43</f>
        <v>15</v>
      </c>
      <c r="M46" s="150">
        <f>'CCE3'!H43+'CCE3'!I43</f>
        <v>6</v>
      </c>
      <c r="N46" s="150">
        <f>'CCE3'!J43+'CCE3'!K43</f>
        <v>0</v>
      </c>
      <c r="O46" s="150">
        <f>'CCE3'!L43+'CCE3'!M43</f>
        <v>0</v>
      </c>
      <c r="P46" s="149">
        <f t="shared" ref="P46:P77" si="3">IFERROR(SUM(D46,F46,K46),"AB")</f>
        <v>31</v>
      </c>
      <c r="Q46" s="149">
        <f t="shared" ref="Q46:Q77" si="4">IFERROR(SUM(E46,G46,L46),"AB")</f>
        <v>31</v>
      </c>
      <c r="R46" s="149" t="str">
        <f>IFERROR(SUM(#REF!,H46,M46),"AB")</f>
        <v>AB</v>
      </c>
      <c r="S46" s="149" t="str">
        <f>IFERROR(SUM(#REF!,I46,N46),"AB")</f>
        <v>AB</v>
      </c>
      <c r="T46" s="149" t="str">
        <f>IFERROR(SUM(#REF!,J46,O46),"AB")</f>
        <v>AB</v>
      </c>
      <c r="U46" s="149">
        <f t="shared" si="2"/>
        <v>62</v>
      </c>
    </row>
    <row r="47" spans="1:21" s="148" customFormat="1" ht="15.75">
      <c r="A47" s="147">
        <v>34</v>
      </c>
      <c r="B47" s="171" t="s">
        <v>296</v>
      </c>
      <c r="C47" s="172" t="s">
        <v>183</v>
      </c>
      <c r="D47" s="150">
        <f>'CCE1'!D44+'CCE1'!E44</f>
        <v>14</v>
      </c>
      <c r="E47" s="150">
        <f>'CCE1'!E44+'CCE1'!F44</f>
        <v>15</v>
      </c>
      <c r="F47" s="150">
        <f>'CCE2'!D44</f>
        <v>5</v>
      </c>
      <c r="G47" s="150">
        <f>'CCE2'!E44</f>
        <v>5</v>
      </c>
      <c r="H47" s="150">
        <f>'CCE2'!F44</f>
        <v>4</v>
      </c>
      <c r="I47" s="150">
        <f>'CCE2'!G44</f>
        <v>3</v>
      </c>
      <c r="J47" s="150">
        <f>'CCE2'!H44</f>
        <v>4</v>
      </c>
      <c r="K47" s="150">
        <f>'CCE3'!D44+'CCE3'!E44</f>
        <v>15</v>
      </c>
      <c r="L47" s="150">
        <f>'CCE3'!F44+'CCE3'!G44</f>
        <v>15</v>
      </c>
      <c r="M47" s="150">
        <f>'CCE3'!H44+'CCE3'!I44</f>
        <v>7</v>
      </c>
      <c r="N47" s="150">
        <f>'CCE3'!J44+'CCE3'!K44</f>
        <v>0</v>
      </c>
      <c r="O47" s="150">
        <f>'CCE3'!L44+'CCE3'!M44</f>
        <v>0</v>
      </c>
      <c r="P47" s="149">
        <f t="shared" si="3"/>
        <v>34</v>
      </c>
      <c r="Q47" s="149">
        <f t="shared" si="4"/>
        <v>35</v>
      </c>
      <c r="R47" s="149" t="str">
        <f>IFERROR(SUM(#REF!,H47,M47),"AB")</f>
        <v>AB</v>
      </c>
      <c r="S47" s="149" t="str">
        <f>IFERROR(SUM(#REF!,I47,N47),"AB")</f>
        <v>AB</v>
      </c>
      <c r="T47" s="149" t="str">
        <f>IFERROR(SUM(#REF!,J47,O47),"AB")</f>
        <v>AB</v>
      </c>
      <c r="U47" s="149">
        <f t="shared" si="2"/>
        <v>69</v>
      </c>
    </row>
    <row r="48" spans="1:21" s="148" customFormat="1" ht="15.75">
      <c r="A48" s="147">
        <v>35</v>
      </c>
      <c r="B48" s="171" t="s">
        <v>297</v>
      </c>
      <c r="C48" s="172" t="s">
        <v>159</v>
      </c>
      <c r="D48" s="150">
        <f>'CCE1'!D45+'CCE1'!E45</f>
        <v>13</v>
      </c>
      <c r="E48" s="150">
        <f>'CCE1'!E45+'CCE1'!F45</f>
        <v>12</v>
      </c>
      <c r="F48" s="150">
        <f>'CCE2'!D45</f>
        <v>5</v>
      </c>
      <c r="G48" s="150">
        <f>'CCE2'!E45</f>
        <v>5</v>
      </c>
      <c r="H48" s="150">
        <f>'CCE2'!F45</f>
        <v>4</v>
      </c>
      <c r="I48" s="150">
        <f>'CCE2'!G45</f>
        <v>2</v>
      </c>
      <c r="J48" s="150">
        <f>'CCE2'!H45</f>
        <v>4</v>
      </c>
      <c r="K48" s="150">
        <f>'CCE3'!D45+'CCE3'!E45</f>
        <v>14</v>
      </c>
      <c r="L48" s="150">
        <f>'CCE3'!F45+'CCE3'!G45</f>
        <v>15</v>
      </c>
      <c r="M48" s="150">
        <f>'CCE3'!H45+'CCE3'!I45</f>
        <v>8</v>
      </c>
      <c r="N48" s="150">
        <f>'CCE3'!J45+'CCE3'!K45</f>
        <v>0</v>
      </c>
      <c r="O48" s="150">
        <f>'CCE3'!L45+'CCE3'!M45</f>
        <v>0</v>
      </c>
      <c r="P48" s="149">
        <f t="shared" si="3"/>
        <v>32</v>
      </c>
      <c r="Q48" s="149">
        <f t="shared" si="4"/>
        <v>32</v>
      </c>
      <c r="R48" s="149" t="str">
        <f>IFERROR(SUM(#REF!,H48,M48),"AB")</f>
        <v>AB</v>
      </c>
      <c r="S48" s="149" t="str">
        <f>IFERROR(SUM(#REF!,I48,N48),"AB")</f>
        <v>AB</v>
      </c>
      <c r="T48" s="149" t="str">
        <f>IFERROR(SUM(#REF!,J48,O48),"AB")</f>
        <v>AB</v>
      </c>
      <c r="U48" s="149">
        <f t="shared" si="2"/>
        <v>64</v>
      </c>
    </row>
    <row r="49" spans="1:21" s="148" customFormat="1" ht="15.75">
      <c r="A49" s="147">
        <v>36</v>
      </c>
      <c r="B49" s="171" t="s">
        <v>298</v>
      </c>
      <c r="C49" s="172" t="s">
        <v>299</v>
      </c>
      <c r="D49" s="150">
        <f>'CCE1'!D46+'CCE1'!E46</f>
        <v>11</v>
      </c>
      <c r="E49" s="150">
        <f>'CCE1'!E46+'CCE1'!F46</f>
        <v>12</v>
      </c>
      <c r="F49" s="150">
        <f>'CCE2'!D46</f>
        <v>5</v>
      </c>
      <c r="G49" s="150">
        <f>'CCE2'!E46</f>
        <v>4</v>
      </c>
      <c r="H49" s="150">
        <f>'CCE2'!F46</f>
        <v>3</v>
      </c>
      <c r="I49" s="150">
        <f>'CCE2'!G46</f>
        <v>4</v>
      </c>
      <c r="J49" s="150">
        <f>'CCE2'!H46</f>
        <v>2</v>
      </c>
      <c r="K49" s="150">
        <f>'CCE3'!D46+'CCE3'!E46</f>
        <v>15</v>
      </c>
      <c r="L49" s="150">
        <f>'CCE3'!F46+'CCE3'!G46</f>
        <v>16</v>
      </c>
      <c r="M49" s="150">
        <f>'CCE3'!H46+'CCE3'!I46</f>
        <v>8</v>
      </c>
      <c r="N49" s="150">
        <f>'CCE3'!J46+'CCE3'!K46</f>
        <v>0</v>
      </c>
      <c r="O49" s="150">
        <f>'CCE3'!L46+'CCE3'!M46</f>
        <v>0</v>
      </c>
      <c r="P49" s="149">
        <f t="shared" si="3"/>
        <v>31</v>
      </c>
      <c r="Q49" s="149">
        <f t="shared" si="4"/>
        <v>32</v>
      </c>
      <c r="R49" s="149" t="str">
        <f>IFERROR(SUM(#REF!,H49,M49),"AB")</f>
        <v>AB</v>
      </c>
      <c r="S49" s="149" t="str">
        <f>IFERROR(SUM(#REF!,I49,N49),"AB")</f>
        <v>AB</v>
      </c>
      <c r="T49" s="149" t="str">
        <f>IFERROR(SUM(#REF!,J49,O49),"AB")</f>
        <v>AB</v>
      </c>
      <c r="U49" s="149">
        <f t="shared" si="2"/>
        <v>63</v>
      </c>
    </row>
    <row r="50" spans="1:21" s="148" customFormat="1" ht="15.75">
      <c r="A50" s="147">
        <v>37</v>
      </c>
      <c r="B50" s="171" t="s">
        <v>300</v>
      </c>
      <c r="C50" s="172" t="s">
        <v>177</v>
      </c>
      <c r="D50" s="150">
        <f>'CCE1'!D47+'CCE1'!E47</f>
        <v>13</v>
      </c>
      <c r="E50" s="150">
        <f>'CCE1'!E47+'CCE1'!F47</f>
        <v>15</v>
      </c>
      <c r="F50" s="150">
        <f>'CCE2'!D47</f>
        <v>4</v>
      </c>
      <c r="G50" s="150">
        <f>'CCE2'!E47</f>
        <v>4</v>
      </c>
      <c r="H50" s="150">
        <f>'CCE2'!F47</f>
        <v>4</v>
      </c>
      <c r="I50" s="150">
        <f>'CCE2'!G47</f>
        <v>5</v>
      </c>
      <c r="J50" s="150">
        <f>'CCE2'!H47</f>
        <v>3</v>
      </c>
      <c r="K50" s="150">
        <f>'CCE3'!D47+'CCE3'!E47</f>
        <v>14</v>
      </c>
      <c r="L50" s="150">
        <f>'CCE3'!F47+'CCE3'!G47</f>
        <v>13</v>
      </c>
      <c r="M50" s="150">
        <f>'CCE3'!H47+'CCE3'!I47</f>
        <v>7</v>
      </c>
      <c r="N50" s="150">
        <f>'CCE3'!J47+'CCE3'!K47</f>
        <v>0</v>
      </c>
      <c r="O50" s="150">
        <f>'CCE3'!L47+'CCE3'!M47</f>
        <v>0</v>
      </c>
      <c r="P50" s="149">
        <f t="shared" si="3"/>
        <v>31</v>
      </c>
      <c r="Q50" s="149">
        <f t="shared" si="4"/>
        <v>32</v>
      </c>
      <c r="R50" s="149" t="str">
        <f>IFERROR(SUM(#REF!,H50,M50),"AB")</f>
        <v>AB</v>
      </c>
      <c r="S50" s="149" t="str">
        <f>IFERROR(SUM(#REF!,I50,N50),"AB")</f>
        <v>AB</v>
      </c>
      <c r="T50" s="149" t="str">
        <f>IFERROR(SUM(#REF!,J50,O50),"AB")</f>
        <v>AB</v>
      </c>
      <c r="U50" s="149">
        <f t="shared" si="2"/>
        <v>63</v>
      </c>
    </row>
    <row r="51" spans="1:21" s="148" customFormat="1" ht="15.75">
      <c r="A51" s="147">
        <v>38</v>
      </c>
      <c r="B51" s="171" t="s">
        <v>301</v>
      </c>
      <c r="C51" s="172" t="s">
        <v>302</v>
      </c>
      <c r="D51" s="150">
        <f>'CCE1'!D48+'CCE1'!E48</f>
        <v>12</v>
      </c>
      <c r="E51" s="150">
        <f>'CCE1'!E48+'CCE1'!F48</f>
        <v>12</v>
      </c>
      <c r="F51" s="150">
        <f>'CCE2'!D48</f>
        <v>4</v>
      </c>
      <c r="G51" s="150">
        <f>'CCE2'!E48</f>
        <v>4</v>
      </c>
      <c r="H51" s="150">
        <f>'CCE2'!F48</f>
        <v>4</v>
      </c>
      <c r="I51" s="150">
        <f>'CCE2'!G48</f>
        <v>5</v>
      </c>
      <c r="J51" s="150">
        <f>'CCE2'!H48</f>
        <v>4</v>
      </c>
      <c r="K51" s="150">
        <f>'CCE3'!D48+'CCE3'!E48</f>
        <v>15</v>
      </c>
      <c r="L51" s="150">
        <f>'CCE3'!F48+'CCE3'!G48</f>
        <v>15</v>
      </c>
      <c r="M51" s="150">
        <f>'CCE3'!H48+'CCE3'!I48</f>
        <v>8</v>
      </c>
      <c r="N51" s="150">
        <f>'CCE3'!J48+'CCE3'!K48</f>
        <v>0</v>
      </c>
      <c r="O51" s="150">
        <f>'CCE3'!L48+'CCE3'!M48</f>
        <v>0</v>
      </c>
      <c r="P51" s="149">
        <f t="shared" si="3"/>
        <v>31</v>
      </c>
      <c r="Q51" s="149">
        <f t="shared" si="4"/>
        <v>31</v>
      </c>
      <c r="R51" s="149" t="str">
        <f>IFERROR(SUM(#REF!,H51,M51),"AB")</f>
        <v>AB</v>
      </c>
      <c r="S51" s="149" t="str">
        <f>IFERROR(SUM(#REF!,I51,N51),"AB")</f>
        <v>AB</v>
      </c>
      <c r="T51" s="149" t="str">
        <f>IFERROR(SUM(#REF!,J51,O51),"AB")</f>
        <v>AB</v>
      </c>
      <c r="U51" s="149">
        <f t="shared" si="2"/>
        <v>62</v>
      </c>
    </row>
    <row r="52" spans="1:21" s="148" customFormat="1" ht="15.75">
      <c r="A52" s="147">
        <v>39</v>
      </c>
      <c r="B52" s="171" t="s">
        <v>303</v>
      </c>
      <c r="C52" s="172" t="s">
        <v>156</v>
      </c>
      <c r="D52" s="150">
        <f>'CCE1'!D49+'CCE1'!E49</f>
        <v>12</v>
      </c>
      <c r="E52" s="150">
        <f>'CCE1'!E49+'CCE1'!F49</f>
        <v>11</v>
      </c>
      <c r="F52" s="150">
        <f>'CCE2'!D49</f>
        <v>2</v>
      </c>
      <c r="G52" s="150">
        <f>'CCE2'!E49</f>
        <v>5</v>
      </c>
      <c r="H52" s="150">
        <f>'CCE2'!F49</f>
        <v>5</v>
      </c>
      <c r="I52" s="150">
        <f>'CCE2'!G49</f>
        <v>5</v>
      </c>
      <c r="J52" s="150">
        <f>'CCE2'!H49</f>
        <v>3</v>
      </c>
      <c r="K52" s="150">
        <f>'CCE3'!D49+'CCE3'!E49</f>
        <v>15</v>
      </c>
      <c r="L52" s="150">
        <f>'CCE3'!F49+'CCE3'!G49</f>
        <v>15</v>
      </c>
      <c r="M52" s="150">
        <f>'CCE3'!H49+'CCE3'!I49</f>
        <v>6</v>
      </c>
      <c r="N52" s="150">
        <f>'CCE3'!J49+'CCE3'!K49</f>
        <v>0</v>
      </c>
      <c r="O52" s="150">
        <f>'CCE3'!L49+'CCE3'!M49</f>
        <v>0</v>
      </c>
      <c r="P52" s="149">
        <f t="shared" si="3"/>
        <v>29</v>
      </c>
      <c r="Q52" s="149">
        <f t="shared" si="4"/>
        <v>31</v>
      </c>
      <c r="R52" s="149" t="str">
        <f>IFERROR(SUM(#REF!,H52,M52),"AB")</f>
        <v>AB</v>
      </c>
      <c r="S52" s="149" t="str">
        <f>IFERROR(SUM(#REF!,I52,N52),"AB")</f>
        <v>AB</v>
      </c>
      <c r="T52" s="149" t="str">
        <f>IFERROR(SUM(#REF!,J52,O52),"AB")</f>
        <v>AB</v>
      </c>
      <c r="U52" s="149">
        <f t="shared" si="2"/>
        <v>60</v>
      </c>
    </row>
    <row r="53" spans="1:21" s="148" customFormat="1" ht="15.75">
      <c r="A53" s="147">
        <v>40</v>
      </c>
      <c r="B53" s="171" t="s">
        <v>304</v>
      </c>
      <c r="C53" s="172" t="s">
        <v>178</v>
      </c>
      <c r="D53" s="150">
        <f>'CCE1'!D50+'CCE1'!E50</f>
        <v>11</v>
      </c>
      <c r="E53" s="150">
        <f>'CCE1'!E50+'CCE1'!F50</f>
        <v>12</v>
      </c>
      <c r="F53" s="150">
        <f>'CCE2'!D50</f>
        <v>3</v>
      </c>
      <c r="G53" s="150">
        <f>'CCE2'!E50</f>
        <v>5</v>
      </c>
      <c r="H53" s="150">
        <f>'CCE2'!F50</f>
        <v>3</v>
      </c>
      <c r="I53" s="150">
        <f>'CCE2'!G50</f>
        <v>4</v>
      </c>
      <c r="J53" s="150">
        <f>'CCE2'!H50</f>
        <v>4</v>
      </c>
      <c r="K53" s="150">
        <f>'CCE3'!D50+'CCE3'!E50</f>
        <v>13</v>
      </c>
      <c r="L53" s="150">
        <f>'CCE3'!F50+'CCE3'!G50</f>
        <v>15</v>
      </c>
      <c r="M53" s="150">
        <f>'CCE3'!H50+'CCE3'!I50</f>
        <v>7</v>
      </c>
      <c r="N53" s="150">
        <f>'CCE3'!J50+'CCE3'!K50</f>
        <v>0</v>
      </c>
      <c r="O53" s="150">
        <f>'CCE3'!L50+'CCE3'!M50</f>
        <v>0</v>
      </c>
      <c r="P53" s="149">
        <f t="shared" si="3"/>
        <v>27</v>
      </c>
      <c r="Q53" s="149">
        <f t="shared" si="4"/>
        <v>32</v>
      </c>
      <c r="R53" s="149" t="str">
        <f>IFERROR(SUM(#REF!,H53,M53),"AB")</f>
        <v>AB</v>
      </c>
      <c r="S53" s="149" t="str">
        <f>IFERROR(SUM(#REF!,I53,N53),"AB")</f>
        <v>AB</v>
      </c>
      <c r="T53" s="149" t="str">
        <f>IFERROR(SUM(#REF!,J53,O53),"AB")</f>
        <v>AB</v>
      </c>
      <c r="U53" s="149">
        <f t="shared" si="2"/>
        <v>59</v>
      </c>
    </row>
    <row r="54" spans="1:21" s="148" customFormat="1" ht="15.75">
      <c r="A54" s="147">
        <v>41</v>
      </c>
      <c r="B54" s="171" t="s">
        <v>305</v>
      </c>
      <c r="C54" s="172" t="s">
        <v>306</v>
      </c>
      <c r="D54" s="150">
        <f>'CCE1'!D51+'CCE1'!E51</f>
        <v>12</v>
      </c>
      <c r="E54" s="150">
        <f>'CCE1'!E51+'CCE1'!F51</f>
        <v>13</v>
      </c>
      <c r="F54" s="150">
        <f>'CCE2'!D51</f>
        <v>4</v>
      </c>
      <c r="G54" s="150">
        <f>'CCE2'!E51</f>
        <v>4</v>
      </c>
      <c r="H54" s="150">
        <f>'CCE2'!F51</f>
        <v>4</v>
      </c>
      <c r="I54" s="150">
        <f>'CCE2'!G51</f>
        <v>3</v>
      </c>
      <c r="J54" s="150">
        <f>'CCE2'!H51</f>
        <v>5</v>
      </c>
      <c r="K54" s="150">
        <f>'CCE3'!D51+'CCE3'!E51</f>
        <v>14</v>
      </c>
      <c r="L54" s="150">
        <f>'CCE3'!F51+'CCE3'!G51</f>
        <v>14</v>
      </c>
      <c r="M54" s="150">
        <f>'CCE3'!H51+'CCE3'!I51</f>
        <v>8</v>
      </c>
      <c r="N54" s="150">
        <f>'CCE3'!J51+'CCE3'!K51</f>
        <v>0</v>
      </c>
      <c r="O54" s="150">
        <f>'CCE3'!L51+'CCE3'!M51</f>
        <v>0</v>
      </c>
      <c r="P54" s="149">
        <f t="shared" si="3"/>
        <v>30</v>
      </c>
      <c r="Q54" s="149">
        <f t="shared" si="4"/>
        <v>31</v>
      </c>
      <c r="R54" s="149" t="str">
        <f>IFERROR(SUM(#REF!,H54,M54),"AB")</f>
        <v>AB</v>
      </c>
      <c r="S54" s="149" t="str">
        <f>IFERROR(SUM(#REF!,I54,N54),"AB")</f>
        <v>AB</v>
      </c>
      <c r="T54" s="149" t="str">
        <f>IFERROR(SUM(#REF!,J54,O54),"AB")</f>
        <v>AB</v>
      </c>
      <c r="U54" s="149">
        <f t="shared" si="2"/>
        <v>61</v>
      </c>
    </row>
    <row r="55" spans="1:21" s="148" customFormat="1" ht="15.75">
      <c r="A55" s="147">
        <v>42</v>
      </c>
      <c r="B55" s="171" t="s">
        <v>307</v>
      </c>
      <c r="C55" s="172" t="s">
        <v>202</v>
      </c>
      <c r="D55" s="150">
        <f>'CCE1'!D52+'CCE1'!E52</f>
        <v>13</v>
      </c>
      <c r="E55" s="150">
        <f>'CCE1'!E52+'CCE1'!F52</f>
        <v>11</v>
      </c>
      <c r="F55" s="150">
        <f>'CCE2'!D52</f>
        <v>3</v>
      </c>
      <c r="G55" s="150">
        <f>'CCE2'!E52</f>
        <v>5</v>
      </c>
      <c r="H55" s="150">
        <f>'CCE2'!F52</f>
        <v>5</v>
      </c>
      <c r="I55" s="150">
        <f>'CCE2'!G52</f>
        <v>2</v>
      </c>
      <c r="J55" s="150">
        <f>'CCE2'!H52</f>
        <v>5</v>
      </c>
      <c r="K55" s="150">
        <f>'CCE3'!D52+'CCE3'!E52</f>
        <v>15</v>
      </c>
      <c r="L55" s="150">
        <f>'CCE3'!F52+'CCE3'!G52</f>
        <v>13</v>
      </c>
      <c r="M55" s="150">
        <f>'CCE3'!H52+'CCE3'!I52</f>
        <v>6</v>
      </c>
      <c r="N55" s="150">
        <f>'CCE3'!J52+'CCE3'!K52</f>
        <v>0</v>
      </c>
      <c r="O55" s="150">
        <f>'CCE3'!L52+'CCE3'!M52</f>
        <v>0</v>
      </c>
      <c r="P55" s="149">
        <f t="shared" si="3"/>
        <v>31</v>
      </c>
      <c r="Q55" s="149">
        <f t="shared" si="4"/>
        <v>29</v>
      </c>
      <c r="R55" s="149" t="str">
        <f>IFERROR(SUM(#REF!,H55,M55),"AB")</f>
        <v>AB</v>
      </c>
      <c r="S55" s="149" t="str">
        <f>IFERROR(SUM(#REF!,I55,N55),"AB")</f>
        <v>AB</v>
      </c>
      <c r="T55" s="149" t="str">
        <f>IFERROR(SUM(#REF!,J55,O55),"AB")</f>
        <v>AB</v>
      </c>
      <c r="U55" s="149">
        <f t="shared" si="2"/>
        <v>60</v>
      </c>
    </row>
    <row r="56" spans="1:21" s="148" customFormat="1" ht="15.75">
      <c r="A56" s="147">
        <v>43</v>
      </c>
      <c r="B56" s="171" t="s">
        <v>308</v>
      </c>
      <c r="C56" s="172" t="s">
        <v>162</v>
      </c>
      <c r="D56" s="150">
        <f>'CCE1'!D53+'CCE1'!E53</f>
        <v>13</v>
      </c>
      <c r="E56" s="150">
        <f>'CCE1'!E53+'CCE1'!F53</f>
        <v>12</v>
      </c>
      <c r="F56" s="150">
        <f>'CCE2'!D53</f>
        <v>4</v>
      </c>
      <c r="G56" s="150">
        <f>'CCE2'!E53</f>
        <v>3</v>
      </c>
      <c r="H56" s="150">
        <f>'CCE2'!F53</f>
        <v>5</v>
      </c>
      <c r="I56" s="150">
        <f>'CCE2'!G53</f>
        <v>3</v>
      </c>
      <c r="J56" s="150">
        <f>'CCE2'!H53</f>
        <v>5</v>
      </c>
      <c r="K56" s="150">
        <f>'CCE3'!D53+'CCE3'!E53</f>
        <v>14</v>
      </c>
      <c r="L56" s="150">
        <f>'CCE3'!F53+'CCE3'!G53</f>
        <v>15</v>
      </c>
      <c r="M56" s="150">
        <f>'CCE3'!H53+'CCE3'!I53</f>
        <v>6</v>
      </c>
      <c r="N56" s="150">
        <f>'CCE3'!J53+'CCE3'!K53</f>
        <v>0</v>
      </c>
      <c r="O56" s="150">
        <f>'CCE3'!L53+'CCE3'!M53</f>
        <v>0</v>
      </c>
      <c r="P56" s="149">
        <f t="shared" si="3"/>
        <v>31</v>
      </c>
      <c r="Q56" s="149">
        <f t="shared" si="4"/>
        <v>30</v>
      </c>
      <c r="R56" s="149" t="str">
        <f>IFERROR(SUM(#REF!,H56,M56),"AB")</f>
        <v>AB</v>
      </c>
      <c r="S56" s="149" t="str">
        <f>IFERROR(SUM(#REF!,I56,N56),"AB")</f>
        <v>AB</v>
      </c>
      <c r="T56" s="149" t="str">
        <f>IFERROR(SUM(#REF!,J56,O56),"AB")</f>
        <v>AB</v>
      </c>
      <c r="U56" s="149">
        <f t="shared" si="2"/>
        <v>61</v>
      </c>
    </row>
    <row r="57" spans="1:21" s="148" customFormat="1" ht="15.75">
      <c r="A57" s="147">
        <v>44</v>
      </c>
      <c r="B57" s="171" t="s">
        <v>309</v>
      </c>
      <c r="C57" s="172" t="s">
        <v>310</v>
      </c>
      <c r="D57" s="150">
        <f>'CCE1'!D54+'CCE1'!E54</f>
        <v>13</v>
      </c>
      <c r="E57" s="150">
        <f>'CCE1'!E54+'CCE1'!F54</f>
        <v>12</v>
      </c>
      <c r="F57" s="150">
        <f>'CCE2'!D54</f>
        <v>5</v>
      </c>
      <c r="G57" s="150">
        <f>'CCE2'!E54</f>
        <v>5</v>
      </c>
      <c r="H57" s="150">
        <f>'CCE2'!F54</f>
        <v>5</v>
      </c>
      <c r="I57" s="150">
        <f>'CCE2'!G54</f>
        <v>3</v>
      </c>
      <c r="J57" s="150">
        <f>'CCE2'!H54</f>
        <v>3</v>
      </c>
      <c r="K57" s="150">
        <f>'CCE3'!D54+'CCE3'!E54</f>
        <v>14</v>
      </c>
      <c r="L57" s="150">
        <f>'CCE3'!F54+'CCE3'!G54</f>
        <v>15</v>
      </c>
      <c r="M57" s="150">
        <f>'CCE3'!H54+'CCE3'!I54</f>
        <v>6</v>
      </c>
      <c r="N57" s="150">
        <f>'CCE3'!J54+'CCE3'!K54</f>
        <v>0</v>
      </c>
      <c r="O57" s="150">
        <f>'CCE3'!L54+'CCE3'!M54</f>
        <v>0</v>
      </c>
      <c r="P57" s="149">
        <f t="shared" si="3"/>
        <v>32</v>
      </c>
      <c r="Q57" s="149">
        <f t="shared" si="4"/>
        <v>32</v>
      </c>
      <c r="R57" s="149" t="str">
        <f>IFERROR(SUM(#REF!,H57,M57),"AB")</f>
        <v>AB</v>
      </c>
      <c r="S57" s="149" t="str">
        <f>IFERROR(SUM(#REF!,I57,N57),"AB")</f>
        <v>AB</v>
      </c>
      <c r="T57" s="149" t="str">
        <f>IFERROR(SUM(#REF!,J57,O57),"AB")</f>
        <v>AB</v>
      </c>
      <c r="U57" s="149">
        <f t="shared" si="2"/>
        <v>64</v>
      </c>
    </row>
    <row r="58" spans="1:21" s="148" customFormat="1" ht="15.75">
      <c r="A58" s="147">
        <v>45</v>
      </c>
      <c r="B58" s="171" t="s">
        <v>311</v>
      </c>
      <c r="C58" s="172" t="s">
        <v>312</v>
      </c>
      <c r="D58" s="150">
        <f>'CCE1'!D55+'CCE1'!E55</f>
        <v>14</v>
      </c>
      <c r="E58" s="150">
        <f>'CCE1'!E55+'CCE1'!F55</f>
        <v>14</v>
      </c>
      <c r="F58" s="150">
        <f>'CCE2'!D55</f>
        <v>5</v>
      </c>
      <c r="G58" s="150">
        <f>'CCE2'!E55</f>
        <v>3</v>
      </c>
      <c r="H58" s="150">
        <f>'CCE2'!F55</f>
        <v>2</v>
      </c>
      <c r="I58" s="150">
        <f>'CCE2'!G55</f>
        <v>2</v>
      </c>
      <c r="J58" s="150">
        <f>'CCE2'!H55</f>
        <v>5</v>
      </c>
      <c r="K58" s="150">
        <f>'CCE3'!D55+'CCE3'!E55</f>
        <v>11</v>
      </c>
      <c r="L58" s="150">
        <f>'CCE3'!F55+'CCE3'!G55</f>
        <v>11</v>
      </c>
      <c r="M58" s="150">
        <f>'CCE3'!H55+'CCE3'!I55</f>
        <v>6</v>
      </c>
      <c r="N58" s="150">
        <f>'CCE3'!J55+'CCE3'!K55</f>
        <v>0</v>
      </c>
      <c r="O58" s="150">
        <f>'CCE3'!L55+'CCE3'!M55</f>
        <v>0</v>
      </c>
      <c r="P58" s="149">
        <f t="shared" si="3"/>
        <v>30</v>
      </c>
      <c r="Q58" s="149">
        <f t="shared" si="4"/>
        <v>28</v>
      </c>
      <c r="R58" s="149" t="str">
        <f>IFERROR(SUM(#REF!,H58,M58),"AB")</f>
        <v>AB</v>
      </c>
      <c r="S58" s="149" t="str">
        <f>IFERROR(SUM(#REF!,I58,N58),"AB")</f>
        <v>AB</v>
      </c>
      <c r="T58" s="149" t="str">
        <f>IFERROR(SUM(#REF!,J58,O58),"AB")</f>
        <v>AB</v>
      </c>
      <c r="U58" s="149">
        <f t="shared" si="2"/>
        <v>58</v>
      </c>
    </row>
    <row r="59" spans="1:21" s="148" customFormat="1" ht="15.75">
      <c r="A59" s="147">
        <v>46</v>
      </c>
      <c r="B59" s="171" t="s">
        <v>313</v>
      </c>
      <c r="C59" s="172" t="s">
        <v>170</v>
      </c>
      <c r="D59" s="150">
        <f>'CCE1'!D56+'CCE1'!E56</f>
        <v>13</v>
      </c>
      <c r="E59" s="150">
        <f>'CCE1'!E56+'CCE1'!F56</f>
        <v>14</v>
      </c>
      <c r="F59" s="150">
        <f>'CCE2'!D56</f>
        <v>5</v>
      </c>
      <c r="G59" s="150">
        <f>'CCE2'!E56</f>
        <v>3</v>
      </c>
      <c r="H59" s="150">
        <f>'CCE2'!F56</f>
        <v>3</v>
      </c>
      <c r="I59" s="150">
        <f>'CCE2'!G56</f>
        <v>4</v>
      </c>
      <c r="J59" s="150">
        <f>'CCE2'!H56</f>
        <v>5</v>
      </c>
      <c r="K59" s="150">
        <f>'CCE3'!D56+'CCE3'!E56</f>
        <v>11</v>
      </c>
      <c r="L59" s="150">
        <f>'CCE3'!F56+'CCE3'!G56</f>
        <v>14</v>
      </c>
      <c r="M59" s="150">
        <f>'CCE3'!H56+'CCE3'!I56</f>
        <v>4</v>
      </c>
      <c r="N59" s="150">
        <f>'CCE3'!J56+'CCE3'!K56</f>
        <v>0</v>
      </c>
      <c r="O59" s="150">
        <f>'CCE3'!L56+'CCE3'!M56</f>
        <v>0</v>
      </c>
      <c r="P59" s="149">
        <f t="shared" si="3"/>
        <v>29</v>
      </c>
      <c r="Q59" s="149">
        <f t="shared" si="4"/>
        <v>31</v>
      </c>
      <c r="R59" s="149" t="str">
        <f>IFERROR(SUM(#REF!,H59,M59),"AB")</f>
        <v>AB</v>
      </c>
      <c r="S59" s="149" t="str">
        <f>IFERROR(SUM(#REF!,I59,N59),"AB")</f>
        <v>AB</v>
      </c>
      <c r="T59" s="149" t="str">
        <f>IFERROR(SUM(#REF!,J59,O59),"AB")</f>
        <v>AB</v>
      </c>
      <c r="U59" s="149">
        <f t="shared" si="2"/>
        <v>60</v>
      </c>
    </row>
    <row r="60" spans="1:21" s="148" customFormat="1" ht="15.75">
      <c r="A60" s="147">
        <v>47</v>
      </c>
      <c r="B60" s="171" t="s">
        <v>314</v>
      </c>
      <c r="C60" s="172" t="s">
        <v>315</v>
      </c>
      <c r="D60" s="150">
        <f>'CCE1'!D57+'CCE1'!E57</f>
        <v>11</v>
      </c>
      <c r="E60" s="150">
        <f>'CCE1'!E57+'CCE1'!F57</f>
        <v>11</v>
      </c>
      <c r="F60" s="150">
        <f>'CCE2'!D57</f>
        <v>3</v>
      </c>
      <c r="G60" s="150">
        <f>'CCE2'!E57</f>
        <v>5</v>
      </c>
      <c r="H60" s="150">
        <f>'CCE2'!F57</f>
        <v>4</v>
      </c>
      <c r="I60" s="150">
        <f>'CCE2'!G57</f>
        <v>5</v>
      </c>
      <c r="J60" s="150">
        <f>'CCE2'!H57</f>
        <v>4</v>
      </c>
      <c r="K60" s="150">
        <f>'CCE3'!D57+'CCE3'!E57</f>
        <v>11</v>
      </c>
      <c r="L60" s="150">
        <f>'CCE3'!F57+'CCE3'!G57</f>
        <v>14</v>
      </c>
      <c r="M60" s="150">
        <f>'CCE3'!H57+'CCE3'!I57</f>
        <v>7</v>
      </c>
      <c r="N60" s="150">
        <f>'CCE3'!J57+'CCE3'!K57</f>
        <v>0</v>
      </c>
      <c r="O60" s="150">
        <f>'CCE3'!L57+'CCE3'!M57</f>
        <v>0</v>
      </c>
      <c r="P60" s="149">
        <f t="shared" si="3"/>
        <v>25</v>
      </c>
      <c r="Q60" s="149">
        <f t="shared" si="4"/>
        <v>30</v>
      </c>
      <c r="R60" s="149" t="str">
        <f>IFERROR(SUM(#REF!,H60,M60),"AB")</f>
        <v>AB</v>
      </c>
      <c r="S60" s="149" t="str">
        <f>IFERROR(SUM(#REF!,I60,N60),"AB")</f>
        <v>AB</v>
      </c>
      <c r="T60" s="149" t="str">
        <f>IFERROR(SUM(#REF!,J60,O60),"AB")</f>
        <v>AB</v>
      </c>
      <c r="U60" s="149">
        <f t="shared" si="2"/>
        <v>55</v>
      </c>
    </row>
    <row r="61" spans="1:21" s="148" customFormat="1" ht="15.75">
      <c r="A61" s="147">
        <v>48</v>
      </c>
      <c r="B61" s="171" t="s">
        <v>316</v>
      </c>
      <c r="C61" s="172" t="s">
        <v>153</v>
      </c>
      <c r="D61" s="150">
        <f>'CCE1'!D58+'CCE1'!E58</f>
        <v>11</v>
      </c>
      <c r="E61" s="150">
        <f>'CCE1'!E58+'CCE1'!F58</f>
        <v>11</v>
      </c>
      <c r="F61" s="150">
        <f>'CCE2'!D58</f>
        <v>5</v>
      </c>
      <c r="G61" s="150">
        <f>'CCE2'!E58</f>
        <v>3</v>
      </c>
      <c r="H61" s="150">
        <f>'CCE2'!F58</f>
        <v>3</v>
      </c>
      <c r="I61" s="150">
        <f>'CCE2'!G58</f>
        <v>5</v>
      </c>
      <c r="J61" s="150">
        <f>'CCE2'!H58</f>
        <v>5</v>
      </c>
      <c r="K61" s="150">
        <f>'CCE3'!D58+'CCE3'!E58</f>
        <v>12</v>
      </c>
      <c r="L61" s="150">
        <f>'CCE3'!F58+'CCE3'!G58</f>
        <v>10</v>
      </c>
      <c r="M61" s="150">
        <f>'CCE3'!H58+'CCE3'!I58</f>
        <v>7</v>
      </c>
      <c r="N61" s="150">
        <f>'CCE3'!J58+'CCE3'!K58</f>
        <v>0</v>
      </c>
      <c r="O61" s="150">
        <f>'CCE3'!L58+'CCE3'!M58</f>
        <v>0</v>
      </c>
      <c r="P61" s="149">
        <f t="shared" si="3"/>
        <v>28</v>
      </c>
      <c r="Q61" s="149">
        <f t="shared" si="4"/>
        <v>24</v>
      </c>
      <c r="R61" s="149" t="str">
        <f>IFERROR(SUM(#REF!,H61,M61),"AB")</f>
        <v>AB</v>
      </c>
      <c r="S61" s="149" t="str">
        <f>IFERROR(SUM(#REF!,I61,N61),"AB")</f>
        <v>AB</v>
      </c>
      <c r="T61" s="149" t="str">
        <f>IFERROR(SUM(#REF!,J61,O61),"AB")</f>
        <v>AB</v>
      </c>
      <c r="U61" s="149">
        <f t="shared" si="2"/>
        <v>52</v>
      </c>
    </row>
    <row r="62" spans="1:21" s="148" customFormat="1" ht="15.75">
      <c r="A62" s="147">
        <v>49</v>
      </c>
      <c r="B62" s="171" t="s">
        <v>317</v>
      </c>
      <c r="C62" s="172" t="s">
        <v>163</v>
      </c>
      <c r="D62" s="150">
        <f>'CCE1'!D59+'CCE1'!E59</f>
        <v>14</v>
      </c>
      <c r="E62" s="150">
        <f>'CCE1'!E59+'CCE1'!F59</f>
        <v>12</v>
      </c>
      <c r="F62" s="150">
        <f>'CCE2'!D59</f>
        <v>5</v>
      </c>
      <c r="G62" s="150">
        <f>'CCE2'!E59</f>
        <v>4</v>
      </c>
      <c r="H62" s="150">
        <f>'CCE2'!F59</f>
        <v>2</v>
      </c>
      <c r="I62" s="150">
        <f>'CCE2'!G59</f>
        <v>3</v>
      </c>
      <c r="J62" s="150">
        <f>'CCE2'!H59</f>
        <v>3</v>
      </c>
      <c r="K62" s="150">
        <f>'CCE3'!D59+'CCE3'!E59</f>
        <v>15</v>
      </c>
      <c r="L62" s="150">
        <f>'CCE3'!F59+'CCE3'!G59</f>
        <v>11</v>
      </c>
      <c r="M62" s="150">
        <f>'CCE3'!H59+'CCE3'!I59</f>
        <v>8</v>
      </c>
      <c r="N62" s="150">
        <f>'CCE3'!J59+'CCE3'!K59</f>
        <v>0</v>
      </c>
      <c r="O62" s="150">
        <f>'CCE3'!L59+'CCE3'!M59</f>
        <v>0</v>
      </c>
      <c r="P62" s="149">
        <f t="shared" si="3"/>
        <v>34</v>
      </c>
      <c r="Q62" s="149">
        <f t="shared" si="4"/>
        <v>27</v>
      </c>
      <c r="R62" s="149" t="str">
        <f>IFERROR(SUM(#REF!,H62,M62),"AB")</f>
        <v>AB</v>
      </c>
      <c r="S62" s="149" t="str">
        <f>IFERROR(SUM(#REF!,I62,N62),"AB")</f>
        <v>AB</v>
      </c>
      <c r="T62" s="149" t="str">
        <f>IFERROR(SUM(#REF!,J62,O62),"AB")</f>
        <v>AB</v>
      </c>
      <c r="U62" s="149">
        <f t="shared" si="2"/>
        <v>61</v>
      </c>
    </row>
    <row r="63" spans="1:21" s="148" customFormat="1" ht="15.75">
      <c r="A63" s="147">
        <v>50</v>
      </c>
      <c r="B63" s="171" t="s">
        <v>318</v>
      </c>
      <c r="C63" s="172" t="s">
        <v>319</v>
      </c>
      <c r="D63" s="150">
        <f>'CCE1'!D60+'CCE1'!E60</f>
        <v>14</v>
      </c>
      <c r="E63" s="150">
        <f>'CCE1'!E60+'CCE1'!F60</f>
        <v>13</v>
      </c>
      <c r="F63" s="150">
        <f>'CCE2'!D60</f>
        <v>4</v>
      </c>
      <c r="G63" s="150">
        <f>'CCE2'!E60</f>
        <v>4</v>
      </c>
      <c r="H63" s="150">
        <f>'CCE2'!F60</f>
        <v>5</v>
      </c>
      <c r="I63" s="150">
        <f>'CCE2'!G60</f>
        <v>4</v>
      </c>
      <c r="J63" s="150">
        <f>'CCE2'!H60</f>
        <v>5</v>
      </c>
      <c r="K63" s="150">
        <f>'CCE3'!D60+'CCE3'!E60</f>
        <v>12</v>
      </c>
      <c r="L63" s="150">
        <f>'CCE3'!F60+'CCE3'!G60</f>
        <v>14</v>
      </c>
      <c r="M63" s="150">
        <f>'CCE3'!H60+'CCE3'!I60</f>
        <v>7</v>
      </c>
      <c r="N63" s="150">
        <f>'CCE3'!J60+'CCE3'!K60</f>
        <v>0</v>
      </c>
      <c r="O63" s="150">
        <f>'CCE3'!L60+'CCE3'!M60</f>
        <v>0</v>
      </c>
      <c r="P63" s="149">
        <f t="shared" si="3"/>
        <v>30</v>
      </c>
      <c r="Q63" s="149">
        <f t="shared" si="4"/>
        <v>31</v>
      </c>
      <c r="R63" s="149" t="str">
        <f>IFERROR(SUM(#REF!,H63,M63),"AB")</f>
        <v>AB</v>
      </c>
      <c r="S63" s="149" t="str">
        <f>IFERROR(SUM(#REF!,I63,N63),"AB")</f>
        <v>AB</v>
      </c>
      <c r="T63" s="149" t="str">
        <f>IFERROR(SUM(#REF!,J63,O63),"AB")</f>
        <v>AB</v>
      </c>
      <c r="U63" s="149">
        <f t="shared" si="2"/>
        <v>61</v>
      </c>
    </row>
    <row r="64" spans="1:21" s="148" customFormat="1" ht="15.75">
      <c r="A64" s="147">
        <v>51</v>
      </c>
      <c r="B64" s="171" t="s">
        <v>320</v>
      </c>
      <c r="C64" s="172" t="s">
        <v>236</v>
      </c>
      <c r="D64" s="150">
        <f>'CCE1'!D61+'CCE1'!E61</f>
        <v>12</v>
      </c>
      <c r="E64" s="150">
        <f>'CCE1'!E61+'CCE1'!F61</f>
        <v>12</v>
      </c>
      <c r="F64" s="150">
        <f>'CCE2'!D61</f>
        <v>5</v>
      </c>
      <c r="G64" s="150">
        <f>'CCE2'!E61</f>
        <v>4</v>
      </c>
      <c r="H64" s="150">
        <f>'CCE2'!F61</f>
        <v>3</v>
      </c>
      <c r="I64" s="150">
        <f>'CCE2'!G61</f>
        <v>3</v>
      </c>
      <c r="J64" s="150">
        <f>'CCE2'!H61</f>
        <v>3</v>
      </c>
      <c r="K64" s="150">
        <f>'CCE3'!D61+'CCE3'!E61</f>
        <v>16</v>
      </c>
      <c r="L64" s="150">
        <f>'CCE3'!F61+'CCE3'!G61</f>
        <v>15</v>
      </c>
      <c r="M64" s="150">
        <f>'CCE3'!H61+'CCE3'!I61</f>
        <v>7</v>
      </c>
      <c r="N64" s="150">
        <f>'CCE3'!J61+'CCE3'!K61</f>
        <v>0</v>
      </c>
      <c r="O64" s="150">
        <f>'CCE3'!L61+'CCE3'!M61</f>
        <v>0</v>
      </c>
      <c r="P64" s="149">
        <f t="shared" si="3"/>
        <v>33</v>
      </c>
      <c r="Q64" s="149">
        <f t="shared" si="4"/>
        <v>31</v>
      </c>
      <c r="R64" s="149" t="str">
        <f>IFERROR(SUM(#REF!,H64,M64),"AB")</f>
        <v>AB</v>
      </c>
      <c r="S64" s="149" t="str">
        <f>IFERROR(SUM(#REF!,I64,N64),"AB")</f>
        <v>AB</v>
      </c>
      <c r="T64" s="149" t="str">
        <f>IFERROR(SUM(#REF!,J64,O64),"AB")</f>
        <v>AB</v>
      </c>
      <c r="U64" s="149">
        <f t="shared" si="2"/>
        <v>64</v>
      </c>
    </row>
    <row r="65" spans="1:21" s="148" customFormat="1" ht="15.75">
      <c r="A65" s="147">
        <v>52</v>
      </c>
      <c r="B65" s="171" t="s">
        <v>321</v>
      </c>
      <c r="C65" s="172" t="s">
        <v>322</v>
      </c>
      <c r="D65" s="150">
        <f>'CCE1'!D62+'CCE1'!E62</f>
        <v>13</v>
      </c>
      <c r="E65" s="150">
        <f>'CCE1'!E62+'CCE1'!F62</f>
        <v>13</v>
      </c>
      <c r="F65" s="150">
        <f>'CCE2'!D62</f>
        <v>3</v>
      </c>
      <c r="G65" s="150">
        <f>'CCE2'!E62</f>
        <v>3</v>
      </c>
      <c r="H65" s="150">
        <f>'CCE2'!F62</f>
        <v>5</v>
      </c>
      <c r="I65" s="150">
        <f>'CCE2'!G62</f>
        <v>3</v>
      </c>
      <c r="J65" s="150">
        <f>'CCE2'!H62</f>
        <v>2</v>
      </c>
      <c r="K65" s="150">
        <f>'CCE3'!D62+'CCE3'!E62</f>
        <v>14</v>
      </c>
      <c r="L65" s="150">
        <f>'CCE3'!F62+'CCE3'!G62</f>
        <v>8</v>
      </c>
      <c r="M65" s="150">
        <f>'CCE3'!H62+'CCE3'!I62</f>
        <v>8</v>
      </c>
      <c r="N65" s="150">
        <f>'CCE3'!J62+'CCE3'!K62</f>
        <v>0</v>
      </c>
      <c r="O65" s="150">
        <f>'CCE3'!L62+'CCE3'!M62</f>
        <v>0</v>
      </c>
      <c r="P65" s="149">
        <f t="shared" si="3"/>
        <v>30</v>
      </c>
      <c r="Q65" s="149">
        <f t="shared" si="4"/>
        <v>24</v>
      </c>
      <c r="R65" s="149" t="str">
        <f>IFERROR(SUM(#REF!,H65,M65),"AB")</f>
        <v>AB</v>
      </c>
      <c r="S65" s="149" t="str">
        <f>IFERROR(SUM(#REF!,I65,N65),"AB")</f>
        <v>AB</v>
      </c>
      <c r="T65" s="149" t="str">
        <f>IFERROR(SUM(#REF!,J65,O65),"AB")</f>
        <v>AB</v>
      </c>
      <c r="U65" s="149">
        <f t="shared" si="2"/>
        <v>54</v>
      </c>
    </row>
    <row r="66" spans="1:21" s="148" customFormat="1" ht="15.75">
      <c r="A66" s="147">
        <v>53</v>
      </c>
      <c r="B66" s="171" t="s">
        <v>323</v>
      </c>
      <c r="C66" s="172" t="s">
        <v>246</v>
      </c>
      <c r="D66" s="150">
        <f>'CCE1'!D63+'CCE1'!E63</f>
        <v>16</v>
      </c>
      <c r="E66" s="150">
        <f>'CCE1'!E63+'CCE1'!F63</f>
        <v>16</v>
      </c>
      <c r="F66" s="150">
        <f>'CCE2'!D63</f>
        <v>5</v>
      </c>
      <c r="G66" s="150">
        <f>'CCE2'!E63</f>
        <v>3</v>
      </c>
      <c r="H66" s="150">
        <f>'CCE2'!F63</f>
        <v>3</v>
      </c>
      <c r="I66" s="150">
        <f>'CCE2'!G63</f>
        <v>5</v>
      </c>
      <c r="J66" s="150">
        <f>'CCE2'!H63</f>
        <v>5</v>
      </c>
      <c r="K66" s="150">
        <f>'CCE3'!D63+'CCE3'!E63</f>
        <v>14</v>
      </c>
      <c r="L66" s="150">
        <f>'CCE3'!F63+'CCE3'!G63</f>
        <v>14</v>
      </c>
      <c r="M66" s="150">
        <f>'CCE3'!H63+'CCE3'!I63</f>
        <v>6</v>
      </c>
      <c r="N66" s="150">
        <f>'CCE3'!J63+'CCE3'!K63</f>
        <v>0</v>
      </c>
      <c r="O66" s="150">
        <f>'CCE3'!L63+'CCE3'!M63</f>
        <v>0</v>
      </c>
      <c r="P66" s="149">
        <f t="shared" si="3"/>
        <v>35</v>
      </c>
      <c r="Q66" s="149">
        <f t="shared" si="4"/>
        <v>33</v>
      </c>
      <c r="R66" s="149" t="str">
        <f>IFERROR(SUM(#REF!,H66,M66),"AB")</f>
        <v>AB</v>
      </c>
      <c r="S66" s="149" t="str">
        <f>IFERROR(SUM(#REF!,I66,N66),"AB")</f>
        <v>AB</v>
      </c>
      <c r="T66" s="149" t="str">
        <f>IFERROR(SUM(#REF!,J66,O66),"AB")</f>
        <v>AB</v>
      </c>
      <c r="U66" s="149">
        <f t="shared" si="2"/>
        <v>68</v>
      </c>
    </row>
    <row r="67" spans="1:21" s="148" customFormat="1" ht="15.75">
      <c r="A67" s="147">
        <v>54</v>
      </c>
      <c r="B67" s="171" t="s">
        <v>324</v>
      </c>
      <c r="C67" s="172" t="s">
        <v>325</v>
      </c>
      <c r="D67" s="150">
        <f>'CCE1'!D64+'CCE1'!E64</f>
        <v>13</v>
      </c>
      <c r="E67" s="150">
        <f>'CCE1'!E64+'CCE1'!F64</f>
        <v>13</v>
      </c>
      <c r="F67" s="150">
        <f>'CCE2'!D64</f>
        <v>3</v>
      </c>
      <c r="G67" s="150">
        <f>'CCE2'!E64</f>
        <v>5</v>
      </c>
      <c r="H67" s="150">
        <f>'CCE2'!F64</f>
        <v>2</v>
      </c>
      <c r="I67" s="150">
        <f>'CCE2'!G64</f>
        <v>5</v>
      </c>
      <c r="J67" s="150">
        <f>'CCE2'!H64</f>
        <v>4</v>
      </c>
      <c r="K67" s="150">
        <f>'CCE3'!D64+'CCE3'!E64</f>
        <v>14</v>
      </c>
      <c r="L67" s="150">
        <f>'CCE3'!F64+'CCE3'!G64</f>
        <v>15</v>
      </c>
      <c r="M67" s="150">
        <f>'CCE3'!H64+'CCE3'!I64</f>
        <v>8</v>
      </c>
      <c r="N67" s="150">
        <f>'CCE3'!J64+'CCE3'!K64</f>
        <v>0</v>
      </c>
      <c r="O67" s="150">
        <f>'CCE3'!L64+'CCE3'!M64</f>
        <v>0</v>
      </c>
      <c r="P67" s="149">
        <f t="shared" si="3"/>
        <v>30</v>
      </c>
      <c r="Q67" s="149">
        <f t="shared" si="4"/>
        <v>33</v>
      </c>
      <c r="R67" s="149" t="str">
        <f>IFERROR(SUM(#REF!,H67,M67),"AB")</f>
        <v>AB</v>
      </c>
      <c r="S67" s="149" t="str">
        <f>IFERROR(SUM(#REF!,I67,N67),"AB")</f>
        <v>AB</v>
      </c>
      <c r="T67" s="149" t="str">
        <f>IFERROR(SUM(#REF!,J67,O67),"AB")</f>
        <v>AB</v>
      </c>
      <c r="U67" s="149">
        <f t="shared" si="2"/>
        <v>63</v>
      </c>
    </row>
    <row r="68" spans="1:21" s="148" customFormat="1" ht="15.75">
      <c r="A68" s="147">
        <v>55</v>
      </c>
      <c r="B68" s="171" t="s">
        <v>326</v>
      </c>
      <c r="C68" s="172" t="s">
        <v>327</v>
      </c>
      <c r="D68" s="150">
        <f>'CCE1'!D65+'CCE1'!E65</f>
        <v>12</v>
      </c>
      <c r="E68" s="150">
        <f>'CCE1'!E65+'CCE1'!F65</f>
        <v>13</v>
      </c>
      <c r="F68" s="150">
        <f>'CCE2'!D65</f>
        <v>2</v>
      </c>
      <c r="G68" s="150">
        <f>'CCE2'!E65</f>
        <v>5</v>
      </c>
      <c r="H68" s="150">
        <f>'CCE2'!F65</f>
        <v>5</v>
      </c>
      <c r="I68" s="150">
        <f>'CCE2'!G65</f>
        <v>5</v>
      </c>
      <c r="J68" s="150">
        <f>'CCE2'!H65</f>
        <v>4</v>
      </c>
      <c r="K68" s="150">
        <f>'CCE3'!D65+'CCE3'!E65</f>
        <v>11</v>
      </c>
      <c r="L68" s="150">
        <f>'CCE3'!F65+'CCE3'!G65</f>
        <v>16</v>
      </c>
      <c r="M68" s="150">
        <f>'CCE3'!H65+'CCE3'!I65</f>
        <v>6</v>
      </c>
      <c r="N68" s="150">
        <f>'CCE3'!J65+'CCE3'!K65</f>
        <v>0</v>
      </c>
      <c r="O68" s="150">
        <f>'CCE3'!L65+'CCE3'!M65</f>
        <v>0</v>
      </c>
      <c r="P68" s="149">
        <f t="shared" si="3"/>
        <v>25</v>
      </c>
      <c r="Q68" s="149">
        <f t="shared" si="4"/>
        <v>34</v>
      </c>
      <c r="R68" s="149" t="str">
        <f>IFERROR(SUM(#REF!,H68,M68),"AB")</f>
        <v>AB</v>
      </c>
      <c r="S68" s="149" t="str">
        <f>IFERROR(SUM(#REF!,I68,N68),"AB")</f>
        <v>AB</v>
      </c>
      <c r="T68" s="149" t="str">
        <f>IFERROR(SUM(#REF!,J68,O68),"AB")</f>
        <v>AB</v>
      </c>
      <c r="U68" s="149">
        <f t="shared" si="2"/>
        <v>59</v>
      </c>
    </row>
    <row r="69" spans="1:21" s="148" customFormat="1" ht="15.75">
      <c r="A69" s="147">
        <v>56</v>
      </c>
      <c r="B69" s="171" t="s">
        <v>328</v>
      </c>
      <c r="C69" s="172" t="s">
        <v>179</v>
      </c>
      <c r="D69" s="150">
        <f>'CCE1'!D66+'CCE1'!E66</f>
        <v>14</v>
      </c>
      <c r="E69" s="150">
        <f>'CCE1'!E66+'CCE1'!F66</f>
        <v>14</v>
      </c>
      <c r="F69" s="150">
        <f>'CCE2'!D66</f>
        <v>5</v>
      </c>
      <c r="G69" s="150">
        <f>'CCE2'!E66</f>
        <v>5</v>
      </c>
      <c r="H69" s="150">
        <f>'CCE2'!F66</f>
        <v>4</v>
      </c>
      <c r="I69" s="150">
        <f>'CCE2'!G66</f>
        <v>4</v>
      </c>
      <c r="J69" s="150">
        <f>'CCE2'!H66</f>
        <v>4</v>
      </c>
      <c r="K69" s="150">
        <f>'CCE3'!D66+'CCE3'!E66</f>
        <v>15</v>
      </c>
      <c r="L69" s="150">
        <f>'CCE3'!F66+'CCE3'!G66</f>
        <v>14</v>
      </c>
      <c r="M69" s="150">
        <f>'CCE3'!H66+'CCE3'!I66</f>
        <v>6</v>
      </c>
      <c r="N69" s="150">
        <f>'CCE3'!J66+'CCE3'!K66</f>
        <v>0</v>
      </c>
      <c r="O69" s="150">
        <f>'CCE3'!L66+'CCE3'!M66</f>
        <v>0</v>
      </c>
      <c r="P69" s="149">
        <f t="shared" si="3"/>
        <v>34</v>
      </c>
      <c r="Q69" s="149">
        <f t="shared" si="4"/>
        <v>33</v>
      </c>
      <c r="R69" s="149" t="str">
        <f>IFERROR(SUM(#REF!,H69,M69),"AB")</f>
        <v>AB</v>
      </c>
      <c r="S69" s="149" t="str">
        <f>IFERROR(SUM(#REF!,I69,N69),"AB")</f>
        <v>AB</v>
      </c>
      <c r="T69" s="149" t="str">
        <f>IFERROR(SUM(#REF!,J69,O69),"AB")</f>
        <v>AB</v>
      </c>
      <c r="U69" s="149">
        <f t="shared" si="2"/>
        <v>67</v>
      </c>
    </row>
    <row r="70" spans="1:21" s="148" customFormat="1" ht="15.75">
      <c r="A70" s="147">
        <v>57</v>
      </c>
      <c r="B70" s="171" t="s">
        <v>329</v>
      </c>
      <c r="C70" s="172" t="s">
        <v>149</v>
      </c>
      <c r="D70" s="150">
        <f>'CCE1'!D67+'CCE1'!E67</f>
        <v>12</v>
      </c>
      <c r="E70" s="150">
        <f>'CCE1'!E67+'CCE1'!F67</f>
        <v>13</v>
      </c>
      <c r="F70" s="150">
        <f>'CCE2'!D67</f>
        <v>4</v>
      </c>
      <c r="G70" s="150">
        <f>'CCE2'!E67</f>
        <v>4</v>
      </c>
      <c r="H70" s="150">
        <f>'CCE2'!F67</f>
        <v>4</v>
      </c>
      <c r="I70" s="150">
        <f>'CCE2'!G67</f>
        <v>5</v>
      </c>
      <c r="J70" s="150">
        <f>'CCE2'!H67</f>
        <v>5</v>
      </c>
      <c r="K70" s="150">
        <f>'CCE3'!D67+'CCE3'!E67</f>
        <v>12</v>
      </c>
      <c r="L70" s="150">
        <f>'CCE3'!F67+'CCE3'!G67</f>
        <v>13</v>
      </c>
      <c r="M70" s="150">
        <f>'CCE3'!H67+'CCE3'!I67</f>
        <v>8</v>
      </c>
      <c r="N70" s="150">
        <f>'CCE3'!J67+'CCE3'!K67</f>
        <v>0</v>
      </c>
      <c r="O70" s="150">
        <f>'CCE3'!L67+'CCE3'!M67</f>
        <v>0</v>
      </c>
      <c r="P70" s="149">
        <f t="shared" si="3"/>
        <v>28</v>
      </c>
      <c r="Q70" s="149">
        <f t="shared" si="4"/>
        <v>30</v>
      </c>
      <c r="R70" s="149" t="str">
        <f>IFERROR(SUM(#REF!,H70,M70),"AB")</f>
        <v>AB</v>
      </c>
      <c r="S70" s="149" t="str">
        <f>IFERROR(SUM(#REF!,I70,N70),"AB")</f>
        <v>AB</v>
      </c>
      <c r="T70" s="149" t="str">
        <f>IFERROR(SUM(#REF!,J70,O70),"AB")</f>
        <v>AB</v>
      </c>
      <c r="U70" s="149">
        <f t="shared" si="2"/>
        <v>58</v>
      </c>
    </row>
    <row r="71" spans="1:21" s="148" customFormat="1" ht="15.75">
      <c r="A71" s="147">
        <v>58</v>
      </c>
      <c r="B71" s="171" t="s">
        <v>330</v>
      </c>
      <c r="C71" s="172" t="s">
        <v>204</v>
      </c>
      <c r="D71" s="150">
        <f>'CCE1'!D68+'CCE1'!E68</f>
        <v>12</v>
      </c>
      <c r="E71" s="150">
        <f>'CCE1'!E68+'CCE1'!F68</f>
        <v>14</v>
      </c>
      <c r="F71" s="150">
        <f>'CCE2'!D68</f>
        <v>4</v>
      </c>
      <c r="G71" s="150">
        <f>'CCE2'!E68</f>
        <v>5</v>
      </c>
      <c r="H71" s="150">
        <f>'CCE2'!F68</f>
        <v>4</v>
      </c>
      <c r="I71" s="150">
        <f>'CCE2'!G68</f>
        <v>5</v>
      </c>
      <c r="J71" s="150">
        <f>'CCE2'!H68</f>
        <v>4</v>
      </c>
      <c r="K71" s="150">
        <f>'CCE3'!D68+'CCE3'!E68</f>
        <v>13</v>
      </c>
      <c r="L71" s="150">
        <f>'CCE3'!F68+'CCE3'!G68</f>
        <v>13</v>
      </c>
      <c r="M71" s="150">
        <f>'CCE3'!H68+'CCE3'!I68</f>
        <v>7</v>
      </c>
      <c r="N71" s="150">
        <f>'CCE3'!J68+'CCE3'!K68</f>
        <v>0</v>
      </c>
      <c r="O71" s="150">
        <f>'CCE3'!L68+'CCE3'!M68</f>
        <v>0</v>
      </c>
      <c r="P71" s="149">
        <f t="shared" si="3"/>
        <v>29</v>
      </c>
      <c r="Q71" s="149">
        <f t="shared" si="4"/>
        <v>32</v>
      </c>
      <c r="R71" s="149" t="str">
        <f>IFERROR(SUM(#REF!,H71,M71),"AB")</f>
        <v>AB</v>
      </c>
      <c r="S71" s="149" t="str">
        <f>IFERROR(SUM(#REF!,I71,N71),"AB")</f>
        <v>AB</v>
      </c>
      <c r="T71" s="149" t="str">
        <f>IFERROR(SUM(#REF!,J71,O71),"AB")</f>
        <v>AB</v>
      </c>
      <c r="U71" s="149">
        <f t="shared" si="2"/>
        <v>61</v>
      </c>
    </row>
    <row r="72" spans="1:21" s="148" customFormat="1" ht="15.75">
      <c r="A72" s="147">
        <v>59</v>
      </c>
      <c r="B72" s="171" t="s">
        <v>331</v>
      </c>
      <c r="C72" s="172" t="s">
        <v>238</v>
      </c>
      <c r="D72" s="150">
        <f>'CCE1'!D69+'CCE1'!E69</f>
        <v>13</v>
      </c>
      <c r="E72" s="150">
        <f>'CCE1'!E69+'CCE1'!F69</f>
        <v>13</v>
      </c>
      <c r="F72" s="150">
        <f>'CCE2'!D69</f>
        <v>4</v>
      </c>
      <c r="G72" s="150">
        <f>'CCE2'!E69</f>
        <v>5</v>
      </c>
      <c r="H72" s="150">
        <f>'CCE2'!F69</f>
        <v>5</v>
      </c>
      <c r="I72" s="150">
        <f>'CCE2'!G69</f>
        <v>4</v>
      </c>
      <c r="J72" s="150">
        <f>'CCE2'!H69</f>
        <v>3</v>
      </c>
      <c r="K72" s="150">
        <f>'CCE3'!D69+'CCE3'!E69</f>
        <v>14</v>
      </c>
      <c r="L72" s="150">
        <f>'CCE3'!F69+'CCE3'!G69</f>
        <v>15</v>
      </c>
      <c r="M72" s="150">
        <f>'CCE3'!H69+'CCE3'!I69</f>
        <v>7</v>
      </c>
      <c r="N72" s="150">
        <f>'CCE3'!J69+'CCE3'!K69</f>
        <v>0</v>
      </c>
      <c r="O72" s="150">
        <f>'CCE3'!L69+'CCE3'!M69</f>
        <v>0</v>
      </c>
      <c r="P72" s="149">
        <f t="shared" si="3"/>
        <v>31</v>
      </c>
      <c r="Q72" s="149">
        <f t="shared" si="4"/>
        <v>33</v>
      </c>
      <c r="R72" s="149" t="str">
        <f>IFERROR(SUM(#REF!,H72,M72),"AB")</f>
        <v>AB</v>
      </c>
      <c r="S72" s="149" t="str">
        <f>IFERROR(SUM(#REF!,I72,N72),"AB")</f>
        <v>AB</v>
      </c>
      <c r="T72" s="149" t="str">
        <f>IFERROR(SUM(#REF!,J72,O72),"AB")</f>
        <v>AB</v>
      </c>
      <c r="U72" s="149">
        <f t="shared" si="2"/>
        <v>64</v>
      </c>
    </row>
    <row r="73" spans="1:21" s="148" customFormat="1" ht="15.75">
      <c r="A73" s="147">
        <v>60</v>
      </c>
      <c r="B73" s="171" t="s">
        <v>332</v>
      </c>
      <c r="C73" s="172" t="s">
        <v>167</v>
      </c>
      <c r="D73" s="150">
        <f>'CCE1'!D70+'CCE1'!E70</f>
        <v>15</v>
      </c>
      <c r="E73" s="150">
        <f>'CCE1'!E70+'CCE1'!F70</f>
        <v>13</v>
      </c>
      <c r="F73" s="150">
        <f>'CCE2'!D70</f>
        <v>5</v>
      </c>
      <c r="G73" s="150">
        <f>'CCE2'!E70</f>
        <v>4</v>
      </c>
      <c r="H73" s="150">
        <f>'CCE2'!F70</f>
        <v>4</v>
      </c>
      <c r="I73" s="150">
        <f>'CCE2'!G70</f>
        <v>4</v>
      </c>
      <c r="J73" s="150">
        <f>'CCE2'!H70</f>
        <v>3</v>
      </c>
      <c r="K73" s="150">
        <f>'CCE3'!D70+'CCE3'!E70</f>
        <v>13</v>
      </c>
      <c r="L73" s="150">
        <f>'CCE3'!F70+'CCE3'!G70</f>
        <v>16</v>
      </c>
      <c r="M73" s="150">
        <f>'CCE3'!H70+'CCE3'!I70</f>
        <v>8</v>
      </c>
      <c r="N73" s="150">
        <f>'CCE3'!J70+'CCE3'!K70</f>
        <v>0</v>
      </c>
      <c r="O73" s="150">
        <f>'CCE3'!L70+'CCE3'!M70</f>
        <v>0</v>
      </c>
      <c r="P73" s="149">
        <f t="shared" si="3"/>
        <v>33</v>
      </c>
      <c r="Q73" s="149">
        <f t="shared" si="4"/>
        <v>33</v>
      </c>
      <c r="R73" s="149" t="str">
        <f>IFERROR(SUM(#REF!,H73,M73),"AB")</f>
        <v>AB</v>
      </c>
      <c r="S73" s="149" t="str">
        <f>IFERROR(SUM(#REF!,I73,N73),"AB")</f>
        <v>AB</v>
      </c>
      <c r="T73" s="149" t="str">
        <f>IFERROR(SUM(#REF!,J73,O73),"AB")</f>
        <v>AB</v>
      </c>
      <c r="U73" s="149">
        <f t="shared" si="2"/>
        <v>66</v>
      </c>
    </row>
    <row r="74" spans="1:21" s="148" customFormat="1" ht="15.75">
      <c r="A74" s="147">
        <v>61</v>
      </c>
      <c r="B74" s="171" t="s">
        <v>333</v>
      </c>
      <c r="C74" s="172" t="s">
        <v>247</v>
      </c>
      <c r="D74" s="150">
        <f>'CCE1'!D71+'CCE1'!E71</f>
        <v>14</v>
      </c>
      <c r="E74" s="150">
        <f>'CCE1'!E71+'CCE1'!F71</f>
        <v>16</v>
      </c>
      <c r="F74" s="150">
        <f>'CCE2'!D71</f>
        <v>4</v>
      </c>
      <c r="G74" s="150">
        <f>'CCE2'!E71</f>
        <v>4</v>
      </c>
      <c r="H74" s="150">
        <f>'CCE2'!F71</f>
        <v>3</v>
      </c>
      <c r="I74" s="150">
        <f>'CCE2'!G71</f>
        <v>5</v>
      </c>
      <c r="J74" s="150">
        <f>'CCE2'!H71</f>
        <v>3</v>
      </c>
      <c r="K74" s="150">
        <f>'CCE3'!D71+'CCE3'!E71</f>
        <v>14</v>
      </c>
      <c r="L74" s="150">
        <f>'CCE3'!F71+'CCE3'!G71</f>
        <v>16</v>
      </c>
      <c r="M74" s="150">
        <f>'CCE3'!H71+'CCE3'!I71</f>
        <v>7</v>
      </c>
      <c r="N74" s="150">
        <f>'CCE3'!J71+'CCE3'!K71</f>
        <v>0</v>
      </c>
      <c r="O74" s="150">
        <f>'CCE3'!L71+'CCE3'!M71</f>
        <v>0</v>
      </c>
      <c r="P74" s="149">
        <f t="shared" si="3"/>
        <v>32</v>
      </c>
      <c r="Q74" s="149">
        <f t="shared" si="4"/>
        <v>36</v>
      </c>
      <c r="R74" s="149" t="str">
        <f>IFERROR(SUM(#REF!,H74,M74),"AB")</f>
        <v>AB</v>
      </c>
      <c r="S74" s="149" t="str">
        <f>IFERROR(SUM(#REF!,I74,N74),"AB")</f>
        <v>AB</v>
      </c>
      <c r="T74" s="149" t="str">
        <f>IFERROR(SUM(#REF!,J74,O74),"AB")</f>
        <v>AB</v>
      </c>
      <c r="U74" s="149">
        <f t="shared" si="2"/>
        <v>68</v>
      </c>
    </row>
    <row r="75" spans="1:21" s="148" customFormat="1" ht="15.75">
      <c r="A75" s="147">
        <v>62</v>
      </c>
      <c r="B75" s="171" t="s">
        <v>334</v>
      </c>
      <c r="C75" s="172" t="s">
        <v>166</v>
      </c>
      <c r="D75" s="150">
        <f>'CCE1'!D72+'CCE1'!E72</f>
        <v>14</v>
      </c>
      <c r="E75" s="150">
        <f>'CCE1'!E72+'CCE1'!F72</f>
        <v>14</v>
      </c>
      <c r="F75" s="150">
        <f>'CCE2'!D72</f>
        <v>3</v>
      </c>
      <c r="G75" s="150">
        <f>'CCE2'!E72</f>
        <v>5</v>
      </c>
      <c r="H75" s="150">
        <f>'CCE2'!F72</f>
        <v>3</v>
      </c>
      <c r="I75" s="150">
        <f>'CCE2'!G72</f>
        <v>3</v>
      </c>
      <c r="J75" s="150">
        <f>'CCE2'!H72</f>
        <v>5</v>
      </c>
      <c r="K75" s="150">
        <f>'CCE3'!D72+'CCE3'!E72</f>
        <v>16</v>
      </c>
      <c r="L75" s="150">
        <f>'CCE3'!F72+'CCE3'!G72</f>
        <v>16</v>
      </c>
      <c r="M75" s="150">
        <f>'CCE3'!H72+'CCE3'!I72</f>
        <v>8</v>
      </c>
      <c r="N75" s="150">
        <f>'CCE3'!J72+'CCE3'!K72</f>
        <v>0</v>
      </c>
      <c r="O75" s="150">
        <f>'CCE3'!L72+'CCE3'!M72</f>
        <v>0</v>
      </c>
      <c r="P75" s="149">
        <f t="shared" si="3"/>
        <v>33</v>
      </c>
      <c r="Q75" s="149">
        <f t="shared" si="4"/>
        <v>35</v>
      </c>
      <c r="R75" s="149" t="str">
        <f>IFERROR(SUM(#REF!,H75,M75),"AB")</f>
        <v>AB</v>
      </c>
      <c r="S75" s="149" t="str">
        <f>IFERROR(SUM(#REF!,I75,N75),"AB")</f>
        <v>AB</v>
      </c>
      <c r="T75" s="149" t="str">
        <f>IFERROR(SUM(#REF!,J75,O75),"AB")</f>
        <v>AB</v>
      </c>
      <c r="U75" s="149">
        <f t="shared" si="2"/>
        <v>68</v>
      </c>
    </row>
    <row r="76" spans="1:21" s="148" customFormat="1" ht="15.75">
      <c r="A76" s="147">
        <v>63</v>
      </c>
      <c r="B76" s="171" t="s">
        <v>335</v>
      </c>
      <c r="C76" s="172" t="s">
        <v>195</v>
      </c>
      <c r="D76" s="150">
        <f>'CCE1'!D73+'CCE1'!E73</f>
        <v>13</v>
      </c>
      <c r="E76" s="150">
        <f>'CCE1'!E73+'CCE1'!F73</f>
        <v>15</v>
      </c>
      <c r="F76" s="150">
        <f>'CCE2'!D73</f>
        <v>3</v>
      </c>
      <c r="G76" s="150">
        <f>'CCE2'!E73</f>
        <v>3</v>
      </c>
      <c r="H76" s="150">
        <f>'CCE2'!F73</f>
        <v>3</v>
      </c>
      <c r="I76" s="150">
        <f>'CCE2'!G73</f>
        <v>3</v>
      </c>
      <c r="J76" s="150">
        <f>'CCE2'!H73</f>
        <v>3</v>
      </c>
      <c r="K76" s="150">
        <f>'CCE3'!D73+'CCE3'!E73</f>
        <v>13</v>
      </c>
      <c r="L76" s="150">
        <f>'CCE3'!F73+'CCE3'!G73</f>
        <v>16</v>
      </c>
      <c r="M76" s="150">
        <f>'CCE3'!H73+'CCE3'!I73</f>
        <v>8</v>
      </c>
      <c r="N76" s="150">
        <f>'CCE3'!J73+'CCE3'!K73</f>
        <v>0</v>
      </c>
      <c r="O76" s="150">
        <f>'CCE3'!L73+'CCE3'!M73</f>
        <v>0</v>
      </c>
      <c r="P76" s="149">
        <f t="shared" si="3"/>
        <v>29</v>
      </c>
      <c r="Q76" s="149">
        <f t="shared" si="4"/>
        <v>34</v>
      </c>
      <c r="R76" s="149" t="str">
        <f>IFERROR(SUM(#REF!,H76,M76),"AB")</f>
        <v>AB</v>
      </c>
      <c r="S76" s="149" t="str">
        <f>IFERROR(SUM(#REF!,I76,N76),"AB")</f>
        <v>AB</v>
      </c>
      <c r="T76" s="149" t="str">
        <f>IFERROR(SUM(#REF!,J76,O76),"AB")</f>
        <v>AB</v>
      </c>
      <c r="U76" s="149">
        <f t="shared" si="2"/>
        <v>63</v>
      </c>
    </row>
    <row r="77" spans="1:21" s="148" customFormat="1" ht="15.75">
      <c r="A77" s="147">
        <v>64</v>
      </c>
      <c r="B77" s="171" t="s">
        <v>336</v>
      </c>
      <c r="C77" s="172" t="s">
        <v>245</v>
      </c>
      <c r="D77" s="150">
        <f>'CCE1'!D74+'CCE1'!E74</f>
        <v>13</v>
      </c>
      <c r="E77" s="150">
        <f>'CCE1'!E74+'CCE1'!F74</f>
        <v>13</v>
      </c>
      <c r="F77" s="150">
        <f>'CCE2'!D74</f>
        <v>3</v>
      </c>
      <c r="G77" s="150">
        <f>'CCE2'!E74</f>
        <v>3</v>
      </c>
      <c r="H77" s="150">
        <f>'CCE2'!F74</f>
        <v>5</v>
      </c>
      <c r="I77" s="150">
        <f>'CCE2'!G74</f>
        <v>3</v>
      </c>
      <c r="J77" s="150">
        <f>'CCE2'!H74</f>
        <v>5</v>
      </c>
      <c r="K77" s="150">
        <f>'CCE3'!D74+'CCE3'!E74</f>
        <v>13</v>
      </c>
      <c r="L77" s="150">
        <f>'CCE3'!F74+'CCE3'!G74</f>
        <v>16</v>
      </c>
      <c r="M77" s="150">
        <f>'CCE3'!H74+'CCE3'!I74</f>
        <v>8</v>
      </c>
      <c r="N77" s="150">
        <f>'CCE3'!J74+'CCE3'!K74</f>
        <v>0</v>
      </c>
      <c r="O77" s="150">
        <f>'CCE3'!L74+'CCE3'!M74</f>
        <v>0</v>
      </c>
      <c r="P77" s="149">
        <f t="shared" si="3"/>
        <v>29</v>
      </c>
      <c r="Q77" s="149">
        <f t="shared" si="4"/>
        <v>32</v>
      </c>
      <c r="R77" s="149" t="str">
        <f>IFERROR(SUM(#REF!,H77,M77),"AB")</f>
        <v>AB</v>
      </c>
      <c r="S77" s="149" t="str">
        <f>IFERROR(SUM(#REF!,I77,N77),"AB")</f>
        <v>AB</v>
      </c>
      <c r="T77" s="149" t="str">
        <f>IFERROR(SUM(#REF!,J77,O77),"AB")</f>
        <v>AB</v>
      </c>
      <c r="U77" s="149">
        <f t="shared" si="2"/>
        <v>61</v>
      </c>
    </row>
    <row r="78" spans="1:21" s="148" customFormat="1" ht="15.75">
      <c r="A78" s="147">
        <v>65</v>
      </c>
      <c r="B78" s="171" t="s">
        <v>337</v>
      </c>
      <c r="C78" s="172" t="s">
        <v>174</v>
      </c>
      <c r="D78" s="150">
        <f>'CCE1'!D75+'CCE1'!E75</f>
        <v>14</v>
      </c>
      <c r="E78" s="150">
        <f>'CCE1'!E75+'CCE1'!F75</f>
        <v>13</v>
      </c>
      <c r="F78" s="150">
        <f>'CCE2'!D75</f>
        <v>5</v>
      </c>
      <c r="G78" s="150">
        <f>'CCE2'!E75</f>
        <v>3</v>
      </c>
      <c r="H78" s="150">
        <f>'CCE2'!F75</f>
        <v>3</v>
      </c>
      <c r="I78" s="150">
        <f>'CCE2'!G75</f>
        <v>4</v>
      </c>
      <c r="J78" s="150">
        <f>'CCE2'!H75</f>
        <v>3</v>
      </c>
      <c r="K78" s="150">
        <f>'CCE3'!D75+'CCE3'!E75</f>
        <v>16</v>
      </c>
      <c r="L78" s="150">
        <f>'CCE3'!F75+'CCE3'!G75</f>
        <v>15</v>
      </c>
      <c r="M78" s="150">
        <f>'CCE3'!H75+'CCE3'!I75</f>
        <v>6</v>
      </c>
      <c r="N78" s="150">
        <f>'CCE3'!J75+'CCE3'!K75</f>
        <v>0</v>
      </c>
      <c r="O78" s="150">
        <f>'CCE3'!L75+'CCE3'!M75</f>
        <v>0</v>
      </c>
      <c r="P78" s="149">
        <f t="shared" ref="P78:P109" si="5">IFERROR(SUM(D78,F78,K78),"AB")</f>
        <v>35</v>
      </c>
      <c r="Q78" s="149">
        <f t="shared" ref="Q78:Q109" si="6">IFERROR(SUM(E78,G78,L78),"AB")</f>
        <v>31</v>
      </c>
      <c r="R78" s="149" t="str">
        <f>IFERROR(SUM(#REF!,H78,M78),"AB")</f>
        <v>AB</v>
      </c>
      <c r="S78" s="149" t="str">
        <f>IFERROR(SUM(#REF!,I78,N78),"AB")</f>
        <v>AB</v>
      </c>
      <c r="T78" s="149" t="str">
        <f>IFERROR(SUM(#REF!,J78,O78),"AB")</f>
        <v>AB</v>
      </c>
      <c r="U78" s="149">
        <f t="shared" ref="U78:U121" si="7">IFERROR(SUM(P78:T78),"AB")</f>
        <v>66</v>
      </c>
    </row>
    <row r="79" spans="1:21" s="148" customFormat="1" ht="15.75">
      <c r="A79" s="147">
        <v>66</v>
      </c>
      <c r="B79" s="171" t="s">
        <v>338</v>
      </c>
      <c r="C79" s="172" t="s">
        <v>161</v>
      </c>
      <c r="D79" s="150">
        <f>'CCE1'!D76+'CCE1'!E76</f>
        <v>12</v>
      </c>
      <c r="E79" s="150">
        <f>'CCE1'!E76+'CCE1'!F76</f>
        <v>14</v>
      </c>
      <c r="F79" s="150">
        <f>'CCE2'!D76</f>
        <v>3</v>
      </c>
      <c r="G79" s="150">
        <f>'CCE2'!E76</f>
        <v>4</v>
      </c>
      <c r="H79" s="150">
        <f>'CCE2'!F76</f>
        <v>5</v>
      </c>
      <c r="I79" s="150">
        <f>'CCE2'!G76</f>
        <v>5</v>
      </c>
      <c r="J79" s="150">
        <f>'CCE2'!H76</f>
        <v>4</v>
      </c>
      <c r="K79" s="150">
        <f>'CCE3'!D76+'CCE3'!E76</f>
        <v>15</v>
      </c>
      <c r="L79" s="150">
        <f>'CCE3'!F76+'CCE3'!G76</f>
        <v>15</v>
      </c>
      <c r="M79" s="150">
        <f>'CCE3'!H76+'CCE3'!I76</f>
        <v>8</v>
      </c>
      <c r="N79" s="150">
        <f>'CCE3'!J76+'CCE3'!K76</f>
        <v>0</v>
      </c>
      <c r="O79" s="150">
        <f>'CCE3'!L76+'CCE3'!M76</f>
        <v>0</v>
      </c>
      <c r="P79" s="149">
        <f t="shared" si="5"/>
        <v>30</v>
      </c>
      <c r="Q79" s="149">
        <f t="shared" si="6"/>
        <v>33</v>
      </c>
      <c r="R79" s="149" t="str">
        <f>IFERROR(SUM(#REF!,H79,M79),"AB")</f>
        <v>AB</v>
      </c>
      <c r="S79" s="149" t="str">
        <f>IFERROR(SUM(#REF!,I79,N79),"AB")</f>
        <v>AB</v>
      </c>
      <c r="T79" s="149" t="str">
        <f>IFERROR(SUM(#REF!,J79,O79),"AB")</f>
        <v>AB</v>
      </c>
      <c r="U79" s="149">
        <f t="shared" si="7"/>
        <v>63</v>
      </c>
    </row>
    <row r="80" spans="1:21" s="148" customFormat="1" ht="15.75">
      <c r="A80" s="147">
        <v>67</v>
      </c>
      <c r="B80" s="171" t="s">
        <v>339</v>
      </c>
      <c r="C80" s="172" t="s">
        <v>229</v>
      </c>
      <c r="D80" s="150">
        <f>'CCE1'!D77+'CCE1'!E77</f>
        <v>12</v>
      </c>
      <c r="E80" s="150">
        <f>'CCE1'!E77+'CCE1'!F77</f>
        <v>13</v>
      </c>
      <c r="F80" s="150">
        <f>'CCE2'!D77</f>
        <v>5</v>
      </c>
      <c r="G80" s="150">
        <f>'CCE2'!E77</f>
        <v>5</v>
      </c>
      <c r="H80" s="150">
        <f>'CCE2'!F77</f>
        <v>3</v>
      </c>
      <c r="I80" s="150">
        <f>'CCE2'!G77</f>
        <v>2</v>
      </c>
      <c r="J80" s="150">
        <f>'CCE2'!H77</f>
        <v>5</v>
      </c>
      <c r="K80" s="150">
        <f>'CCE3'!D77+'CCE3'!E77</f>
        <v>16</v>
      </c>
      <c r="L80" s="150">
        <f>'CCE3'!F77+'CCE3'!G77</f>
        <v>14</v>
      </c>
      <c r="M80" s="150">
        <f>'CCE3'!H77+'CCE3'!I77</f>
        <v>8</v>
      </c>
      <c r="N80" s="150">
        <f>'CCE3'!J77+'CCE3'!K77</f>
        <v>0</v>
      </c>
      <c r="O80" s="150">
        <f>'CCE3'!L77+'CCE3'!M77</f>
        <v>0</v>
      </c>
      <c r="P80" s="149">
        <f t="shared" si="5"/>
        <v>33</v>
      </c>
      <c r="Q80" s="149">
        <f t="shared" si="6"/>
        <v>32</v>
      </c>
      <c r="R80" s="149" t="str">
        <f>IFERROR(SUM(#REF!,H80,M80),"AB")</f>
        <v>AB</v>
      </c>
      <c r="S80" s="149" t="str">
        <f>IFERROR(SUM(#REF!,I80,N80),"AB")</f>
        <v>AB</v>
      </c>
      <c r="T80" s="149" t="str">
        <f>IFERROR(SUM(#REF!,J80,O80),"AB")</f>
        <v>AB</v>
      </c>
      <c r="U80" s="149">
        <f t="shared" si="7"/>
        <v>65</v>
      </c>
    </row>
    <row r="81" spans="1:21" s="148" customFormat="1" ht="15.75">
      <c r="A81" s="147">
        <v>68</v>
      </c>
      <c r="B81" s="171" t="s">
        <v>340</v>
      </c>
      <c r="C81" s="172" t="s">
        <v>211</v>
      </c>
      <c r="D81" s="150">
        <f>'CCE1'!D78+'CCE1'!E78</f>
        <v>12</v>
      </c>
      <c r="E81" s="150">
        <f>'CCE1'!E78+'CCE1'!F78</f>
        <v>14</v>
      </c>
      <c r="F81" s="150">
        <f>'CCE2'!D78</f>
        <v>3</v>
      </c>
      <c r="G81" s="150">
        <f>'CCE2'!E78</f>
        <v>5</v>
      </c>
      <c r="H81" s="150">
        <f>'CCE2'!F78</f>
        <v>4</v>
      </c>
      <c r="I81" s="150">
        <f>'CCE2'!G78</f>
        <v>5</v>
      </c>
      <c r="J81" s="150">
        <f>'CCE2'!H78</f>
        <v>5</v>
      </c>
      <c r="K81" s="150">
        <f>'CCE3'!D78+'CCE3'!E78</f>
        <v>15</v>
      </c>
      <c r="L81" s="150">
        <f>'CCE3'!F78+'CCE3'!G78</f>
        <v>14</v>
      </c>
      <c r="M81" s="150">
        <f>'CCE3'!H78+'CCE3'!I78</f>
        <v>8</v>
      </c>
      <c r="N81" s="150">
        <f>'CCE3'!J78+'CCE3'!K78</f>
        <v>0</v>
      </c>
      <c r="O81" s="150">
        <f>'CCE3'!L78+'CCE3'!M78</f>
        <v>0</v>
      </c>
      <c r="P81" s="149">
        <f t="shared" si="5"/>
        <v>30</v>
      </c>
      <c r="Q81" s="149">
        <f t="shared" si="6"/>
        <v>33</v>
      </c>
      <c r="R81" s="149" t="str">
        <f>IFERROR(SUM(#REF!,H81,M81),"AB")</f>
        <v>AB</v>
      </c>
      <c r="S81" s="149" t="str">
        <f>IFERROR(SUM(#REF!,I81,N81),"AB")</f>
        <v>AB</v>
      </c>
      <c r="T81" s="149" t="str">
        <f>IFERROR(SUM(#REF!,J81,O81),"AB")</f>
        <v>AB</v>
      </c>
      <c r="U81" s="149">
        <f t="shared" si="7"/>
        <v>63</v>
      </c>
    </row>
    <row r="82" spans="1:21" s="148" customFormat="1" ht="15.75">
      <c r="A82" s="147">
        <v>69</v>
      </c>
      <c r="B82" s="171" t="s">
        <v>341</v>
      </c>
      <c r="C82" s="172" t="s">
        <v>222</v>
      </c>
      <c r="D82" s="150">
        <f>'CCE1'!D79+'CCE1'!E79</f>
        <v>10</v>
      </c>
      <c r="E82" s="150">
        <f>'CCE1'!E79+'CCE1'!F79</f>
        <v>11</v>
      </c>
      <c r="F82" s="150">
        <f>'CCE2'!D79</f>
        <v>4</v>
      </c>
      <c r="G82" s="150">
        <f>'CCE2'!E79</f>
        <v>5</v>
      </c>
      <c r="H82" s="150">
        <f>'CCE2'!F79</f>
        <v>5</v>
      </c>
      <c r="I82" s="150">
        <f>'CCE2'!G79</f>
        <v>5</v>
      </c>
      <c r="J82" s="150">
        <f>'CCE2'!H79</f>
        <v>2</v>
      </c>
      <c r="K82" s="150">
        <f>'CCE3'!D79+'CCE3'!E79</f>
        <v>14</v>
      </c>
      <c r="L82" s="150">
        <f>'CCE3'!F79+'CCE3'!G79</f>
        <v>12</v>
      </c>
      <c r="M82" s="150">
        <f>'CCE3'!H79+'CCE3'!I79</f>
        <v>6</v>
      </c>
      <c r="N82" s="150">
        <f>'CCE3'!J79+'CCE3'!K79</f>
        <v>0</v>
      </c>
      <c r="O82" s="150">
        <f>'CCE3'!L79+'CCE3'!M79</f>
        <v>0</v>
      </c>
      <c r="P82" s="149">
        <f t="shared" si="5"/>
        <v>28</v>
      </c>
      <c r="Q82" s="149">
        <f t="shared" si="6"/>
        <v>28</v>
      </c>
      <c r="R82" s="149" t="str">
        <f>IFERROR(SUM(#REF!,H82,M82),"AB")</f>
        <v>AB</v>
      </c>
      <c r="S82" s="149" t="str">
        <f>IFERROR(SUM(#REF!,I82,N82),"AB")</f>
        <v>AB</v>
      </c>
      <c r="T82" s="149" t="str">
        <f>IFERROR(SUM(#REF!,J82,O82),"AB")</f>
        <v>AB</v>
      </c>
      <c r="U82" s="149">
        <f t="shared" si="7"/>
        <v>56</v>
      </c>
    </row>
    <row r="83" spans="1:21" s="148" customFormat="1" ht="15.75">
      <c r="A83" s="147">
        <v>70</v>
      </c>
      <c r="B83" s="171" t="s">
        <v>342</v>
      </c>
      <c r="C83" s="172" t="s">
        <v>231</v>
      </c>
      <c r="D83" s="150">
        <f>'CCE1'!D80+'CCE1'!E80</f>
        <v>12</v>
      </c>
      <c r="E83" s="150">
        <f>'CCE1'!E80+'CCE1'!F80</f>
        <v>11</v>
      </c>
      <c r="F83" s="150">
        <f>'CCE2'!D80</f>
        <v>5</v>
      </c>
      <c r="G83" s="150">
        <f>'CCE2'!E80</f>
        <v>5</v>
      </c>
      <c r="H83" s="150">
        <f>'CCE2'!F80</f>
        <v>5</v>
      </c>
      <c r="I83" s="150">
        <f>'CCE2'!G80</f>
        <v>5</v>
      </c>
      <c r="J83" s="150">
        <f>'CCE2'!H80</f>
        <v>4</v>
      </c>
      <c r="K83" s="150">
        <f>'CCE3'!D80+'CCE3'!E80</f>
        <v>14</v>
      </c>
      <c r="L83" s="150">
        <f>'CCE3'!F80+'CCE3'!G80</f>
        <v>15</v>
      </c>
      <c r="M83" s="150">
        <f>'CCE3'!H80+'CCE3'!I80</f>
        <v>6</v>
      </c>
      <c r="N83" s="150">
        <f>'CCE3'!J80+'CCE3'!K80</f>
        <v>0</v>
      </c>
      <c r="O83" s="150">
        <f>'CCE3'!L80+'CCE3'!M80</f>
        <v>0</v>
      </c>
      <c r="P83" s="149">
        <f t="shared" si="5"/>
        <v>31</v>
      </c>
      <c r="Q83" s="149">
        <f t="shared" si="6"/>
        <v>31</v>
      </c>
      <c r="R83" s="149" t="str">
        <f>IFERROR(SUM(#REF!,H83,M83),"AB")</f>
        <v>AB</v>
      </c>
      <c r="S83" s="149" t="str">
        <f>IFERROR(SUM(#REF!,I83,N83),"AB")</f>
        <v>AB</v>
      </c>
      <c r="T83" s="149" t="str">
        <f>IFERROR(SUM(#REF!,J83,O83),"AB")</f>
        <v>AB</v>
      </c>
      <c r="U83" s="149">
        <f t="shared" si="7"/>
        <v>62</v>
      </c>
    </row>
    <row r="84" spans="1:21" s="148" customFormat="1" ht="15.75">
      <c r="A84" s="147">
        <v>71</v>
      </c>
      <c r="B84" s="171" t="s">
        <v>343</v>
      </c>
      <c r="C84" s="172" t="s">
        <v>344</v>
      </c>
      <c r="D84" s="150">
        <f>'CCE1'!D81+'CCE1'!E81</f>
        <v>13</v>
      </c>
      <c r="E84" s="150">
        <f>'CCE1'!E81+'CCE1'!F81</f>
        <v>15</v>
      </c>
      <c r="F84" s="150">
        <f>'CCE2'!D81</f>
        <v>5</v>
      </c>
      <c r="G84" s="150">
        <f>'CCE2'!E81</f>
        <v>5</v>
      </c>
      <c r="H84" s="150">
        <f>'CCE2'!F81</f>
        <v>2</v>
      </c>
      <c r="I84" s="150">
        <f>'CCE2'!G81</f>
        <v>2</v>
      </c>
      <c r="J84" s="150">
        <f>'CCE2'!H81</f>
        <v>3</v>
      </c>
      <c r="K84" s="150">
        <f>'CCE3'!D81+'CCE3'!E81</f>
        <v>13</v>
      </c>
      <c r="L84" s="150">
        <f>'CCE3'!F81+'CCE3'!G81</f>
        <v>14</v>
      </c>
      <c r="M84" s="150">
        <f>'CCE3'!H81+'CCE3'!I81</f>
        <v>8</v>
      </c>
      <c r="N84" s="150">
        <f>'CCE3'!J81+'CCE3'!K81</f>
        <v>0</v>
      </c>
      <c r="O84" s="150">
        <f>'CCE3'!L81+'CCE3'!M81</f>
        <v>0</v>
      </c>
      <c r="P84" s="149">
        <f t="shared" si="5"/>
        <v>31</v>
      </c>
      <c r="Q84" s="149">
        <f t="shared" si="6"/>
        <v>34</v>
      </c>
      <c r="R84" s="149" t="str">
        <f>IFERROR(SUM(#REF!,H84,M84),"AB")</f>
        <v>AB</v>
      </c>
      <c r="S84" s="149" t="str">
        <f>IFERROR(SUM(#REF!,I84,N84),"AB")</f>
        <v>AB</v>
      </c>
      <c r="T84" s="149" t="str">
        <f>IFERROR(SUM(#REF!,J84,O84),"AB")</f>
        <v>AB</v>
      </c>
      <c r="U84" s="149">
        <f t="shared" si="7"/>
        <v>65</v>
      </c>
    </row>
    <row r="85" spans="1:21" s="148" customFormat="1" ht="15.75">
      <c r="A85" s="147">
        <v>72</v>
      </c>
      <c r="B85" s="171" t="s">
        <v>345</v>
      </c>
      <c r="C85" s="172" t="s">
        <v>219</v>
      </c>
      <c r="D85" s="150">
        <f>'CCE1'!D82+'CCE1'!E82</f>
        <v>15</v>
      </c>
      <c r="E85" s="150">
        <f>'CCE1'!E82+'CCE1'!F82</f>
        <v>13</v>
      </c>
      <c r="F85" s="150">
        <f>'CCE2'!D82</f>
        <v>2</v>
      </c>
      <c r="G85" s="150">
        <f>'CCE2'!E82</f>
        <v>2</v>
      </c>
      <c r="H85" s="150">
        <f>'CCE2'!F82</f>
        <v>4</v>
      </c>
      <c r="I85" s="150">
        <f>'CCE2'!G82</f>
        <v>5</v>
      </c>
      <c r="J85" s="150">
        <f>'CCE2'!H82</f>
        <v>4</v>
      </c>
      <c r="K85" s="150">
        <f>'CCE3'!D82+'CCE3'!E82</f>
        <v>15</v>
      </c>
      <c r="L85" s="150">
        <f>'CCE3'!F82+'CCE3'!G82</f>
        <v>14</v>
      </c>
      <c r="M85" s="150">
        <f>'CCE3'!H82+'CCE3'!I82</f>
        <v>7</v>
      </c>
      <c r="N85" s="150">
        <f>'CCE3'!J82+'CCE3'!K82</f>
        <v>0</v>
      </c>
      <c r="O85" s="150">
        <f>'CCE3'!L82+'CCE3'!M82</f>
        <v>0</v>
      </c>
      <c r="P85" s="149">
        <f t="shared" si="5"/>
        <v>32</v>
      </c>
      <c r="Q85" s="149">
        <f t="shared" si="6"/>
        <v>29</v>
      </c>
      <c r="R85" s="149" t="str">
        <f>IFERROR(SUM(#REF!,H85,M85),"AB")</f>
        <v>AB</v>
      </c>
      <c r="S85" s="149" t="str">
        <f>IFERROR(SUM(#REF!,I85,N85),"AB")</f>
        <v>AB</v>
      </c>
      <c r="T85" s="149" t="str">
        <f>IFERROR(SUM(#REF!,J85,O85),"AB")</f>
        <v>AB</v>
      </c>
      <c r="U85" s="149">
        <f t="shared" si="7"/>
        <v>61</v>
      </c>
    </row>
    <row r="86" spans="1:21" s="148" customFormat="1" ht="15.75">
      <c r="A86" s="147">
        <v>73</v>
      </c>
      <c r="B86" s="171" t="s">
        <v>346</v>
      </c>
      <c r="C86" s="172" t="s">
        <v>220</v>
      </c>
      <c r="D86" s="150">
        <f>'CCE1'!D83+'CCE1'!E83</f>
        <v>11</v>
      </c>
      <c r="E86" s="150">
        <f>'CCE1'!E83+'CCE1'!F83</f>
        <v>12</v>
      </c>
      <c r="F86" s="150">
        <f>'CCE2'!D83</f>
        <v>4</v>
      </c>
      <c r="G86" s="150">
        <f>'CCE2'!E83</f>
        <v>5</v>
      </c>
      <c r="H86" s="150">
        <f>'CCE2'!F83</f>
        <v>3</v>
      </c>
      <c r="I86" s="150">
        <f>'CCE2'!G83</f>
        <v>5</v>
      </c>
      <c r="J86" s="150">
        <f>'CCE2'!H83</f>
        <v>3</v>
      </c>
      <c r="K86" s="150">
        <f>'CCE3'!D83+'CCE3'!E83</f>
        <v>14</v>
      </c>
      <c r="L86" s="150">
        <f>'CCE3'!F83+'CCE3'!G83</f>
        <v>16</v>
      </c>
      <c r="M86" s="150">
        <f>'CCE3'!H83+'CCE3'!I83</f>
        <v>6</v>
      </c>
      <c r="N86" s="150">
        <f>'CCE3'!J83+'CCE3'!K83</f>
        <v>0</v>
      </c>
      <c r="O86" s="150">
        <f>'CCE3'!L83+'CCE3'!M83</f>
        <v>0</v>
      </c>
      <c r="P86" s="149">
        <f t="shared" si="5"/>
        <v>29</v>
      </c>
      <c r="Q86" s="149">
        <f t="shared" si="6"/>
        <v>33</v>
      </c>
      <c r="R86" s="149" t="str">
        <f>IFERROR(SUM(#REF!,H86,M86),"AB")</f>
        <v>AB</v>
      </c>
      <c r="S86" s="149" t="str">
        <f>IFERROR(SUM(#REF!,I86,N86),"AB")</f>
        <v>AB</v>
      </c>
      <c r="T86" s="149" t="str">
        <f>IFERROR(SUM(#REF!,J86,O86),"AB")</f>
        <v>AB</v>
      </c>
      <c r="U86" s="149">
        <f t="shared" si="7"/>
        <v>62</v>
      </c>
    </row>
    <row r="87" spans="1:21" s="148" customFormat="1" ht="15.75">
      <c r="A87" s="147">
        <v>74</v>
      </c>
      <c r="B87" s="171" t="s">
        <v>347</v>
      </c>
      <c r="C87" s="172" t="s">
        <v>201</v>
      </c>
      <c r="D87" s="150">
        <f>'CCE1'!D84+'CCE1'!E84</f>
        <v>12</v>
      </c>
      <c r="E87" s="150">
        <f>'CCE1'!E84+'CCE1'!F84</f>
        <v>13</v>
      </c>
      <c r="F87" s="150">
        <f>'CCE2'!D84</f>
        <v>3</v>
      </c>
      <c r="G87" s="150">
        <f>'CCE2'!E84</f>
        <v>5</v>
      </c>
      <c r="H87" s="150">
        <f>'CCE2'!F84</f>
        <v>4</v>
      </c>
      <c r="I87" s="150">
        <f>'CCE2'!G84</f>
        <v>5</v>
      </c>
      <c r="J87" s="150">
        <f>'CCE2'!H84</f>
        <v>3</v>
      </c>
      <c r="K87" s="150">
        <f>'CCE3'!D84+'CCE3'!E84</f>
        <v>15</v>
      </c>
      <c r="L87" s="150">
        <f>'CCE3'!F84+'CCE3'!G84</f>
        <v>13</v>
      </c>
      <c r="M87" s="150">
        <f>'CCE3'!H84+'CCE3'!I84</f>
        <v>6</v>
      </c>
      <c r="N87" s="150">
        <f>'CCE3'!J84+'CCE3'!K84</f>
        <v>0</v>
      </c>
      <c r="O87" s="150">
        <f>'CCE3'!L84+'CCE3'!M84</f>
        <v>0</v>
      </c>
      <c r="P87" s="149">
        <f t="shared" si="5"/>
        <v>30</v>
      </c>
      <c r="Q87" s="149">
        <f t="shared" si="6"/>
        <v>31</v>
      </c>
      <c r="R87" s="149" t="str">
        <f>IFERROR(SUM(#REF!,H87,M87),"AB")</f>
        <v>AB</v>
      </c>
      <c r="S87" s="149" t="str">
        <f>IFERROR(SUM(#REF!,I87,N87),"AB")</f>
        <v>AB</v>
      </c>
      <c r="T87" s="149" t="str">
        <f>IFERROR(SUM(#REF!,J87,O87),"AB")</f>
        <v>AB</v>
      </c>
      <c r="U87" s="149">
        <f t="shared" si="7"/>
        <v>61</v>
      </c>
    </row>
    <row r="88" spans="1:21" s="148" customFormat="1" ht="15.75">
      <c r="A88" s="147">
        <v>75</v>
      </c>
      <c r="B88" s="171" t="s">
        <v>348</v>
      </c>
      <c r="C88" s="172" t="s">
        <v>237</v>
      </c>
      <c r="D88" s="150">
        <f>'CCE1'!D85+'CCE1'!E85</f>
        <v>13</v>
      </c>
      <c r="E88" s="150">
        <f>'CCE1'!E85+'CCE1'!F85</f>
        <v>12</v>
      </c>
      <c r="F88" s="150">
        <f>'CCE2'!D85</f>
        <v>4</v>
      </c>
      <c r="G88" s="150">
        <f>'CCE2'!E85</f>
        <v>5</v>
      </c>
      <c r="H88" s="150">
        <f>'CCE2'!F85</f>
        <v>3</v>
      </c>
      <c r="I88" s="150">
        <f>'CCE2'!G85</f>
        <v>5</v>
      </c>
      <c r="J88" s="150">
        <f>'CCE2'!H85</f>
        <v>4</v>
      </c>
      <c r="K88" s="150">
        <f>'CCE3'!D85+'CCE3'!E85</f>
        <v>12</v>
      </c>
      <c r="L88" s="150">
        <f>'CCE3'!F85+'CCE3'!G85</f>
        <v>15</v>
      </c>
      <c r="M88" s="150">
        <f>'CCE3'!H85+'CCE3'!I85</f>
        <v>7</v>
      </c>
      <c r="N88" s="150">
        <f>'CCE3'!J85+'CCE3'!K85</f>
        <v>0</v>
      </c>
      <c r="O88" s="150">
        <f>'CCE3'!L85+'CCE3'!M85</f>
        <v>0</v>
      </c>
      <c r="P88" s="149">
        <f t="shared" si="5"/>
        <v>29</v>
      </c>
      <c r="Q88" s="149">
        <f t="shared" si="6"/>
        <v>32</v>
      </c>
      <c r="R88" s="149" t="str">
        <f>IFERROR(SUM(#REF!,H88,M88),"AB")</f>
        <v>AB</v>
      </c>
      <c r="S88" s="149" t="str">
        <f>IFERROR(SUM(#REF!,I88,N88),"AB")</f>
        <v>AB</v>
      </c>
      <c r="T88" s="149" t="str">
        <f>IFERROR(SUM(#REF!,J88,O88),"AB")</f>
        <v>AB</v>
      </c>
      <c r="U88" s="149">
        <f t="shared" si="7"/>
        <v>61</v>
      </c>
    </row>
    <row r="89" spans="1:21" s="148" customFormat="1" ht="15.75">
      <c r="A89" s="147">
        <v>76</v>
      </c>
      <c r="B89" s="171" t="s">
        <v>349</v>
      </c>
      <c r="C89" s="172" t="s">
        <v>350</v>
      </c>
      <c r="D89" s="150">
        <f>'CCE1'!D86+'CCE1'!E86</f>
        <v>13</v>
      </c>
      <c r="E89" s="150">
        <f>'CCE1'!E86+'CCE1'!F86</f>
        <v>14</v>
      </c>
      <c r="F89" s="150">
        <f>'CCE2'!D86</f>
        <v>3</v>
      </c>
      <c r="G89" s="150">
        <f>'CCE2'!E86</f>
        <v>5</v>
      </c>
      <c r="H89" s="150">
        <f>'CCE2'!F86</f>
        <v>3</v>
      </c>
      <c r="I89" s="150">
        <f>'CCE2'!G86</f>
        <v>4</v>
      </c>
      <c r="J89" s="150">
        <f>'CCE2'!H86</f>
        <v>5</v>
      </c>
      <c r="K89" s="150">
        <f>'CCE3'!D86+'CCE3'!E86</f>
        <v>16</v>
      </c>
      <c r="L89" s="150">
        <f>'CCE3'!F86+'CCE3'!G86</f>
        <v>13</v>
      </c>
      <c r="M89" s="150">
        <f>'CCE3'!H86+'CCE3'!I86</f>
        <v>7</v>
      </c>
      <c r="N89" s="150">
        <f>'CCE3'!J86+'CCE3'!K86</f>
        <v>0</v>
      </c>
      <c r="O89" s="150">
        <f>'CCE3'!L86+'CCE3'!M86</f>
        <v>0</v>
      </c>
      <c r="P89" s="149">
        <f t="shared" si="5"/>
        <v>32</v>
      </c>
      <c r="Q89" s="149">
        <f t="shared" si="6"/>
        <v>32</v>
      </c>
      <c r="R89" s="149" t="str">
        <f>IFERROR(SUM(#REF!,H89,M89),"AB")</f>
        <v>AB</v>
      </c>
      <c r="S89" s="149" t="str">
        <f>IFERROR(SUM(#REF!,I89,N89),"AB")</f>
        <v>AB</v>
      </c>
      <c r="T89" s="149" t="str">
        <f>IFERROR(SUM(#REF!,J89,O89),"AB")</f>
        <v>AB</v>
      </c>
      <c r="U89" s="149">
        <f t="shared" si="7"/>
        <v>64</v>
      </c>
    </row>
    <row r="90" spans="1:21" ht="15.75">
      <c r="A90" s="147">
        <v>77</v>
      </c>
      <c r="B90" s="171" t="s">
        <v>351</v>
      </c>
      <c r="C90" s="172" t="s">
        <v>242</v>
      </c>
      <c r="D90" s="150">
        <f>'CCE1'!D87+'CCE1'!E87</f>
        <v>12</v>
      </c>
      <c r="E90" s="150">
        <f>'CCE1'!E87+'CCE1'!F87</f>
        <v>15</v>
      </c>
      <c r="F90" s="150">
        <f>'CCE2'!D87</f>
        <v>3</v>
      </c>
      <c r="G90" s="150">
        <f>'CCE2'!E87</f>
        <v>4</v>
      </c>
      <c r="H90" s="150">
        <f>'CCE2'!F87</f>
        <v>4</v>
      </c>
      <c r="I90" s="150">
        <f>'CCE2'!G87</f>
        <v>4</v>
      </c>
      <c r="J90" s="150">
        <f>'CCE2'!H87</f>
        <v>4</v>
      </c>
      <c r="K90" s="150">
        <f>'CCE3'!D87+'CCE3'!E87</f>
        <v>12</v>
      </c>
      <c r="L90" s="150">
        <f>'CCE3'!F87+'CCE3'!G87</f>
        <v>13</v>
      </c>
      <c r="M90" s="150">
        <f>'CCE3'!H87+'CCE3'!I87</f>
        <v>8</v>
      </c>
      <c r="N90" s="150">
        <f>'CCE3'!J87+'CCE3'!K87</f>
        <v>0</v>
      </c>
      <c r="O90" s="150">
        <f>'CCE3'!L87+'CCE3'!M87</f>
        <v>0</v>
      </c>
      <c r="P90" s="149">
        <f t="shared" si="5"/>
        <v>27</v>
      </c>
      <c r="Q90" s="149">
        <f t="shared" si="6"/>
        <v>32</v>
      </c>
      <c r="R90" s="149" t="str">
        <f>IFERROR(SUM(#REF!,H90,M90),"AB")</f>
        <v>AB</v>
      </c>
      <c r="S90" s="149" t="str">
        <f>IFERROR(SUM(#REF!,I90,N90),"AB")</f>
        <v>AB</v>
      </c>
      <c r="T90" s="149" t="str">
        <f>IFERROR(SUM(#REF!,J90,O90),"AB")</f>
        <v>AB</v>
      </c>
      <c r="U90" s="149">
        <f t="shared" si="7"/>
        <v>59</v>
      </c>
    </row>
    <row r="91" spans="1:21" ht="15.75">
      <c r="A91" s="147">
        <v>78</v>
      </c>
      <c r="B91" s="171" t="s">
        <v>352</v>
      </c>
      <c r="C91" s="172" t="s">
        <v>192</v>
      </c>
      <c r="D91" s="150">
        <f>'CCE1'!D88+'CCE1'!E88</f>
        <v>11</v>
      </c>
      <c r="E91" s="150">
        <f>'CCE1'!E88+'CCE1'!F88</f>
        <v>13</v>
      </c>
      <c r="F91" s="150">
        <f>'CCE2'!D88</f>
        <v>4</v>
      </c>
      <c r="G91" s="150">
        <f>'CCE2'!E88</f>
        <v>4</v>
      </c>
      <c r="H91" s="150">
        <f>'CCE2'!F88</f>
        <v>5</v>
      </c>
      <c r="I91" s="150">
        <f>'CCE2'!G88</f>
        <v>4</v>
      </c>
      <c r="J91" s="150">
        <f>'CCE2'!H88</f>
        <v>5</v>
      </c>
      <c r="K91" s="150">
        <f>'CCE3'!D88+'CCE3'!E88</f>
        <v>14</v>
      </c>
      <c r="L91" s="150">
        <f>'CCE3'!F88+'CCE3'!G88</f>
        <v>13</v>
      </c>
      <c r="M91" s="150">
        <f>'CCE3'!H88+'CCE3'!I88</f>
        <v>8</v>
      </c>
      <c r="N91" s="150">
        <f>'CCE3'!J88+'CCE3'!K88</f>
        <v>0</v>
      </c>
      <c r="O91" s="150">
        <f>'CCE3'!L88+'CCE3'!M88</f>
        <v>0</v>
      </c>
      <c r="P91" s="149">
        <f t="shared" si="5"/>
        <v>29</v>
      </c>
      <c r="Q91" s="149">
        <f t="shared" si="6"/>
        <v>30</v>
      </c>
      <c r="R91" s="149" t="str">
        <f>IFERROR(SUM(#REF!,H91,M91),"AB")</f>
        <v>AB</v>
      </c>
      <c r="S91" s="149" t="str">
        <f>IFERROR(SUM(#REF!,I91,N91),"AB")</f>
        <v>AB</v>
      </c>
      <c r="T91" s="149" t="str">
        <f>IFERROR(SUM(#REF!,J91,O91),"AB")</f>
        <v>AB</v>
      </c>
      <c r="U91" s="149">
        <f t="shared" si="7"/>
        <v>59</v>
      </c>
    </row>
    <row r="92" spans="1:21" ht="15.75">
      <c r="A92" s="147">
        <v>79</v>
      </c>
      <c r="B92" s="171" t="s">
        <v>353</v>
      </c>
      <c r="C92" s="172" t="s">
        <v>354</v>
      </c>
      <c r="D92" s="150">
        <f>'CCE1'!D89+'CCE1'!E89</f>
        <v>16</v>
      </c>
      <c r="E92" s="150">
        <f>'CCE1'!E89+'CCE1'!F89</f>
        <v>14</v>
      </c>
      <c r="F92" s="150">
        <f>'CCE2'!D89</f>
        <v>5</v>
      </c>
      <c r="G92" s="150">
        <f>'CCE2'!E89</f>
        <v>3</v>
      </c>
      <c r="H92" s="150">
        <f>'CCE2'!F89</f>
        <v>3</v>
      </c>
      <c r="I92" s="150">
        <f>'CCE2'!G89</f>
        <v>3</v>
      </c>
      <c r="J92" s="150">
        <f>'CCE2'!H89</f>
        <v>4</v>
      </c>
      <c r="K92" s="150">
        <f>'CCE3'!D89+'CCE3'!E89</f>
        <v>15</v>
      </c>
      <c r="L92" s="150">
        <f>'CCE3'!F89+'CCE3'!G89</f>
        <v>13</v>
      </c>
      <c r="M92" s="150">
        <f>'CCE3'!H89+'CCE3'!I89</f>
        <v>7</v>
      </c>
      <c r="N92" s="150">
        <f>'CCE3'!J89+'CCE3'!K89</f>
        <v>0</v>
      </c>
      <c r="O92" s="150">
        <f>'CCE3'!L89+'CCE3'!M89</f>
        <v>0</v>
      </c>
      <c r="P92" s="149">
        <f t="shared" si="5"/>
        <v>36</v>
      </c>
      <c r="Q92" s="149">
        <f t="shared" si="6"/>
        <v>30</v>
      </c>
      <c r="R92" s="149" t="str">
        <f>IFERROR(SUM(#REF!,H92,M92),"AB")</f>
        <v>AB</v>
      </c>
      <c r="S92" s="149" t="str">
        <f>IFERROR(SUM(#REF!,I92,N92),"AB")</f>
        <v>AB</v>
      </c>
      <c r="T92" s="149" t="str">
        <f>IFERROR(SUM(#REF!,J92,O92),"AB")</f>
        <v>AB</v>
      </c>
      <c r="U92" s="149">
        <f t="shared" si="7"/>
        <v>66</v>
      </c>
    </row>
    <row r="93" spans="1:21" ht="15.75">
      <c r="A93" s="147">
        <v>80</v>
      </c>
      <c r="B93" s="171" t="s">
        <v>355</v>
      </c>
      <c r="C93" s="172" t="s">
        <v>157</v>
      </c>
      <c r="D93" s="150">
        <f>'CCE1'!D90+'CCE1'!E90</f>
        <v>15</v>
      </c>
      <c r="E93" s="150">
        <f>'CCE1'!E90+'CCE1'!F90</f>
        <v>13</v>
      </c>
      <c r="F93" s="150">
        <f>'CCE2'!D90</f>
        <v>4</v>
      </c>
      <c r="G93" s="150">
        <f>'CCE2'!E90</f>
        <v>4</v>
      </c>
      <c r="H93" s="150">
        <f>'CCE2'!F90</f>
        <v>5</v>
      </c>
      <c r="I93" s="150">
        <f>'CCE2'!G90</f>
        <v>3</v>
      </c>
      <c r="J93" s="150">
        <f>'CCE2'!H90</f>
        <v>5</v>
      </c>
      <c r="K93" s="150">
        <f>'CCE3'!D90+'CCE3'!E90</f>
        <v>15</v>
      </c>
      <c r="L93" s="150">
        <f>'CCE3'!F90+'CCE3'!G90</f>
        <v>15</v>
      </c>
      <c r="M93" s="150">
        <f>'CCE3'!H90+'CCE3'!I90</f>
        <v>7</v>
      </c>
      <c r="N93" s="150">
        <f>'CCE3'!J90+'CCE3'!K90</f>
        <v>0</v>
      </c>
      <c r="O93" s="150">
        <f>'CCE3'!L90+'CCE3'!M90</f>
        <v>0</v>
      </c>
      <c r="P93" s="149">
        <f t="shared" si="5"/>
        <v>34</v>
      </c>
      <c r="Q93" s="149">
        <f t="shared" si="6"/>
        <v>32</v>
      </c>
      <c r="R93" s="149" t="str">
        <f>IFERROR(SUM(#REF!,H93,M93),"AB")</f>
        <v>AB</v>
      </c>
      <c r="S93" s="149" t="str">
        <f>IFERROR(SUM(#REF!,I93,N93),"AB")</f>
        <v>AB</v>
      </c>
      <c r="T93" s="149" t="str">
        <f>IFERROR(SUM(#REF!,J93,O93),"AB")</f>
        <v>AB</v>
      </c>
      <c r="U93" s="149">
        <f t="shared" si="7"/>
        <v>66</v>
      </c>
    </row>
    <row r="94" spans="1:21" ht="15.75">
      <c r="A94" s="147">
        <v>81</v>
      </c>
      <c r="B94" s="171" t="s">
        <v>356</v>
      </c>
      <c r="C94" s="172" t="s">
        <v>221</v>
      </c>
      <c r="D94" s="150">
        <f>'CCE1'!D91+'CCE1'!E91</f>
        <v>13</v>
      </c>
      <c r="E94" s="150">
        <f>'CCE1'!E91+'CCE1'!F91</f>
        <v>12</v>
      </c>
      <c r="F94" s="150">
        <f>'CCE2'!D91</f>
        <v>5</v>
      </c>
      <c r="G94" s="150">
        <f>'CCE2'!E91</f>
        <v>4</v>
      </c>
      <c r="H94" s="150">
        <f>'CCE2'!F91</f>
        <v>3</v>
      </c>
      <c r="I94" s="150">
        <f>'CCE2'!G91</f>
        <v>5</v>
      </c>
      <c r="J94" s="150">
        <f>'CCE2'!H91</f>
        <v>5</v>
      </c>
      <c r="K94" s="150">
        <f>'CCE3'!D91+'CCE3'!E91</f>
        <v>15</v>
      </c>
      <c r="L94" s="150">
        <f>'CCE3'!F91+'CCE3'!G91</f>
        <v>13</v>
      </c>
      <c r="M94" s="150">
        <f>'CCE3'!H91+'CCE3'!I91</f>
        <v>8</v>
      </c>
      <c r="N94" s="150">
        <f>'CCE3'!J91+'CCE3'!K91</f>
        <v>0</v>
      </c>
      <c r="O94" s="150">
        <f>'CCE3'!L91+'CCE3'!M91</f>
        <v>0</v>
      </c>
      <c r="P94" s="149">
        <f t="shared" si="5"/>
        <v>33</v>
      </c>
      <c r="Q94" s="149">
        <f t="shared" si="6"/>
        <v>29</v>
      </c>
      <c r="R94" s="149" t="str">
        <f>IFERROR(SUM(#REF!,H94,M94),"AB")</f>
        <v>AB</v>
      </c>
      <c r="S94" s="149" t="str">
        <f>IFERROR(SUM(#REF!,I94,N94),"AB")</f>
        <v>AB</v>
      </c>
      <c r="T94" s="149" t="str">
        <f>IFERROR(SUM(#REF!,J94,O94),"AB")</f>
        <v>AB</v>
      </c>
      <c r="U94" s="149">
        <f t="shared" si="7"/>
        <v>62</v>
      </c>
    </row>
    <row r="95" spans="1:21" ht="15.75">
      <c r="A95" s="147">
        <v>82</v>
      </c>
      <c r="B95" s="171" t="s">
        <v>357</v>
      </c>
      <c r="C95" s="172" t="s">
        <v>358</v>
      </c>
      <c r="D95" s="150">
        <f>'CCE1'!D92+'CCE1'!E92</f>
        <v>12</v>
      </c>
      <c r="E95" s="150">
        <f>'CCE1'!E92+'CCE1'!F92</f>
        <v>11</v>
      </c>
      <c r="F95" s="150">
        <f>'CCE2'!D92</f>
        <v>4</v>
      </c>
      <c r="G95" s="150">
        <f>'CCE2'!E92</f>
        <v>4</v>
      </c>
      <c r="H95" s="150">
        <f>'CCE2'!F92</f>
        <v>2</v>
      </c>
      <c r="I95" s="150">
        <f>'CCE2'!G92</f>
        <v>5</v>
      </c>
      <c r="J95" s="150">
        <f>'CCE2'!H92</f>
        <v>3</v>
      </c>
      <c r="K95" s="150">
        <f>'CCE3'!D92+'CCE3'!E92</f>
        <v>11</v>
      </c>
      <c r="L95" s="150">
        <f>'CCE3'!F92+'CCE3'!G92</f>
        <v>13</v>
      </c>
      <c r="M95" s="150">
        <f>'CCE3'!H92+'CCE3'!I92</f>
        <v>8</v>
      </c>
      <c r="N95" s="150">
        <f>'CCE3'!J92+'CCE3'!K92</f>
        <v>0</v>
      </c>
      <c r="O95" s="150">
        <f>'CCE3'!L92+'CCE3'!M92</f>
        <v>0</v>
      </c>
      <c r="P95" s="149">
        <f t="shared" si="5"/>
        <v>27</v>
      </c>
      <c r="Q95" s="149">
        <f t="shared" si="6"/>
        <v>28</v>
      </c>
      <c r="R95" s="149" t="str">
        <f>IFERROR(SUM(#REF!,H95,M95),"AB")</f>
        <v>AB</v>
      </c>
      <c r="S95" s="149" t="str">
        <f>IFERROR(SUM(#REF!,I95,N95),"AB")</f>
        <v>AB</v>
      </c>
      <c r="T95" s="149" t="str">
        <f>IFERROR(SUM(#REF!,J95,O95),"AB")</f>
        <v>AB</v>
      </c>
      <c r="U95" s="149">
        <f t="shared" si="7"/>
        <v>55</v>
      </c>
    </row>
    <row r="96" spans="1:21" ht="15.75">
      <c r="A96" s="147">
        <v>83</v>
      </c>
      <c r="B96" s="171" t="s">
        <v>359</v>
      </c>
      <c r="C96" s="172" t="s">
        <v>244</v>
      </c>
      <c r="D96" s="150">
        <f>'CCE1'!D93+'CCE1'!E93</f>
        <v>13</v>
      </c>
      <c r="E96" s="150">
        <f>'CCE1'!E93+'CCE1'!F93</f>
        <v>11</v>
      </c>
      <c r="F96" s="150">
        <f>'CCE2'!D93</f>
        <v>5</v>
      </c>
      <c r="G96" s="150">
        <f>'CCE2'!E93</f>
        <v>3</v>
      </c>
      <c r="H96" s="150">
        <f>'CCE2'!F93</f>
        <v>5</v>
      </c>
      <c r="I96" s="150">
        <f>'CCE2'!G93</f>
        <v>5</v>
      </c>
      <c r="J96" s="150">
        <f>'CCE2'!H93</f>
        <v>3</v>
      </c>
      <c r="K96" s="150">
        <f>'CCE3'!D93+'CCE3'!E93</f>
        <v>11</v>
      </c>
      <c r="L96" s="150">
        <f>'CCE3'!F93+'CCE3'!G93</f>
        <v>13</v>
      </c>
      <c r="M96" s="150">
        <f>'CCE3'!H93+'CCE3'!I93</f>
        <v>7</v>
      </c>
      <c r="N96" s="150">
        <f>'CCE3'!J93+'CCE3'!K93</f>
        <v>0</v>
      </c>
      <c r="O96" s="150">
        <f>'CCE3'!L93+'CCE3'!M93</f>
        <v>0</v>
      </c>
      <c r="P96" s="149">
        <f t="shared" si="5"/>
        <v>29</v>
      </c>
      <c r="Q96" s="149">
        <f t="shared" si="6"/>
        <v>27</v>
      </c>
      <c r="R96" s="149" t="str">
        <f>IFERROR(SUM(#REF!,H96,M96),"AB")</f>
        <v>AB</v>
      </c>
      <c r="S96" s="149" t="str">
        <f>IFERROR(SUM(#REF!,I96,N96),"AB")</f>
        <v>AB</v>
      </c>
      <c r="T96" s="149" t="str">
        <f>IFERROR(SUM(#REF!,J96,O96),"AB")</f>
        <v>AB</v>
      </c>
      <c r="U96" s="149">
        <f t="shared" si="7"/>
        <v>56</v>
      </c>
    </row>
    <row r="97" spans="1:21" ht="15.75">
      <c r="A97" s="147">
        <v>84</v>
      </c>
      <c r="B97" s="171" t="s">
        <v>360</v>
      </c>
      <c r="C97" s="172" t="s">
        <v>233</v>
      </c>
      <c r="D97" s="150">
        <f>'CCE1'!D94+'CCE1'!E94</f>
        <v>11</v>
      </c>
      <c r="E97" s="150">
        <f>'CCE1'!E94+'CCE1'!F94</f>
        <v>13</v>
      </c>
      <c r="F97" s="150">
        <f>'CCE2'!D94</f>
        <v>5</v>
      </c>
      <c r="G97" s="150">
        <f>'CCE2'!E94</f>
        <v>3</v>
      </c>
      <c r="H97" s="150">
        <f>'CCE2'!F94</f>
        <v>4</v>
      </c>
      <c r="I97" s="150">
        <f>'CCE2'!G94</f>
        <v>4</v>
      </c>
      <c r="J97" s="150">
        <f>'CCE2'!H94</f>
        <v>3</v>
      </c>
      <c r="K97" s="150">
        <f>'CCE3'!D94+'CCE3'!E94</f>
        <v>13</v>
      </c>
      <c r="L97" s="150">
        <f>'CCE3'!F94+'CCE3'!G94</f>
        <v>15</v>
      </c>
      <c r="M97" s="150">
        <f>'CCE3'!H94+'CCE3'!I94</f>
        <v>7</v>
      </c>
      <c r="N97" s="150">
        <f>'CCE3'!J94+'CCE3'!K94</f>
        <v>0</v>
      </c>
      <c r="O97" s="150">
        <f>'CCE3'!L94+'CCE3'!M94</f>
        <v>0</v>
      </c>
      <c r="P97" s="149">
        <f t="shared" si="5"/>
        <v>29</v>
      </c>
      <c r="Q97" s="149">
        <f t="shared" si="6"/>
        <v>31</v>
      </c>
      <c r="R97" s="149" t="str">
        <f>IFERROR(SUM(#REF!,H97,M97),"AB")</f>
        <v>AB</v>
      </c>
      <c r="S97" s="149" t="str">
        <f>IFERROR(SUM(#REF!,I97,N97),"AB")</f>
        <v>AB</v>
      </c>
      <c r="T97" s="149" t="str">
        <f>IFERROR(SUM(#REF!,J97,O97),"AB")</f>
        <v>AB</v>
      </c>
      <c r="U97" s="149">
        <f t="shared" si="7"/>
        <v>60</v>
      </c>
    </row>
    <row r="98" spans="1:21" ht="15.75">
      <c r="A98" s="147">
        <v>85</v>
      </c>
      <c r="B98" s="171" t="s">
        <v>361</v>
      </c>
      <c r="C98" s="172" t="s">
        <v>212</v>
      </c>
      <c r="D98" s="150">
        <f>'CCE1'!D95+'CCE1'!E95</f>
        <v>12</v>
      </c>
      <c r="E98" s="150">
        <f>'CCE1'!E95+'CCE1'!F95</f>
        <v>13</v>
      </c>
      <c r="F98" s="150">
        <f>'CCE2'!D95</f>
        <v>3</v>
      </c>
      <c r="G98" s="150">
        <f>'CCE2'!E95</f>
        <v>5</v>
      </c>
      <c r="H98" s="150">
        <f>'CCE2'!F95</f>
        <v>4</v>
      </c>
      <c r="I98" s="150">
        <f>'CCE2'!G95</f>
        <v>5</v>
      </c>
      <c r="J98" s="150">
        <f>'CCE2'!H95</f>
        <v>3</v>
      </c>
      <c r="K98" s="150">
        <f>'CCE3'!D95+'CCE3'!E95</f>
        <v>11</v>
      </c>
      <c r="L98" s="150">
        <f>'CCE3'!F95+'CCE3'!G95</f>
        <v>15</v>
      </c>
      <c r="M98" s="150">
        <f>'CCE3'!H95+'CCE3'!I95</f>
        <v>8</v>
      </c>
      <c r="N98" s="150">
        <f>'CCE3'!J95+'CCE3'!K95</f>
        <v>0</v>
      </c>
      <c r="O98" s="150">
        <f>'CCE3'!L95+'CCE3'!M95</f>
        <v>0</v>
      </c>
      <c r="P98" s="149">
        <f t="shared" si="5"/>
        <v>26</v>
      </c>
      <c r="Q98" s="149">
        <f t="shared" si="6"/>
        <v>33</v>
      </c>
      <c r="R98" s="149" t="str">
        <f>IFERROR(SUM(#REF!,H98,M98),"AB")</f>
        <v>AB</v>
      </c>
      <c r="S98" s="149" t="str">
        <f>IFERROR(SUM(#REF!,I98,N98),"AB")</f>
        <v>AB</v>
      </c>
      <c r="T98" s="149" t="str">
        <f>IFERROR(SUM(#REF!,J98,O98),"AB")</f>
        <v>AB</v>
      </c>
      <c r="U98" s="149">
        <f t="shared" si="7"/>
        <v>59</v>
      </c>
    </row>
    <row r="99" spans="1:21" ht="15.75">
      <c r="A99" s="147">
        <v>86</v>
      </c>
      <c r="B99" s="171" t="s">
        <v>362</v>
      </c>
      <c r="C99" s="172" t="s">
        <v>363</v>
      </c>
      <c r="D99" s="150">
        <f>'CCE1'!D96+'CCE1'!E96</f>
        <v>13</v>
      </c>
      <c r="E99" s="150">
        <f>'CCE1'!E96+'CCE1'!F96</f>
        <v>15</v>
      </c>
      <c r="F99" s="150">
        <f>'CCE2'!D96</f>
        <v>3</v>
      </c>
      <c r="G99" s="150">
        <f>'CCE2'!E96</f>
        <v>4</v>
      </c>
      <c r="H99" s="150">
        <f>'CCE2'!F96</f>
        <v>4</v>
      </c>
      <c r="I99" s="150">
        <f>'CCE2'!G96</f>
        <v>5</v>
      </c>
      <c r="J99" s="150">
        <f>'CCE2'!H96</f>
        <v>4</v>
      </c>
      <c r="K99" s="150">
        <f>'CCE3'!D96+'CCE3'!E96</f>
        <v>15</v>
      </c>
      <c r="L99" s="150">
        <f>'CCE3'!F96+'CCE3'!G96</f>
        <v>14</v>
      </c>
      <c r="M99" s="150">
        <f>'CCE3'!H96+'CCE3'!I96</f>
        <v>6</v>
      </c>
      <c r="N99" s="150">
        <f>'CCE3'!J96+'CCE3'!K96</f>
        <v>0</v>
      </c>
      <c r="O99" s="150">
        <f>'CCE3'!L96+'CCE3'!M96</f>
        <v>0</v>
      </c>
      <c r="P99" s="149">
        <f t="shared" si="5"/>
        <v>31</v>
      </c>
      <c r="Q99" s="149">
        <f t="shared" si="6"/>
        <v>33</v>
      </c>
      <c r="R99" s="149" t="str">
        <f>IFERROR(SUM(#REF!,H99,M99),"AB")</f>
        <v>AB</v>
      </c>
      <c r="S99" s="149" t="str">
        <f>IFERROR(SUM(#REF!,I99,N99),"AB")</f>
        <v>AB</v>
      </c>
      <c r="T99" s="149" t="str">
        <f>IFERROR(SUM(#REF!,J99,O99),"AB")</f>
        <v>AB</v>
      </c>
      <c r="U99" s="149">
        <f t="shared" si="7"/>
        <v>64</v>
      </c>
    </row>
    <row r="100" spans="1:21" ht="15.75">
      <c r="A100" s="147">
        <v>87</v>
      </c>
      <c r="B100" s="171" t="s">
        <v>364</v>
      </c>
      <c r="C100" s="172" t="s">
        <v>197</v>
      </c>
      <c r="D100" s="150">
        <f>'CCE1'!D97+'CCE1'!E97</f>
        <v>12</v>
      </c>
      <c r="E100" s="150">
        <f>'CCE1'!E97+'CCE1'!F97</f>
        <v>14</v>
      </c>
      <c r="F100" s="150">
        <f>'CCE2'!D97</f>
        <v>3</v>
      </c>
      <c r="G100" s="150">
        <f>'CCE2'!E97</f>
        <v>4</v>
      </c>
      <c r="H100" s="150">
        <f>'CCE2'!F97</f>
        <v>5</v>
      </c>
      <c r="I100" s="150">
        <f>'CCE2'!G97</f>
        <v>4</v>
      </c>
      <c r="J100" s="150">
        <f>'CCE2'!H97</f>
        <v>5</v>
      </c>
      <c r="K100" s="150">
        <f>'CCE3'!D97+'CCE3'!E97</f>
        <v>13</v>
      </c>
      <c r="L100" s="150">
        <f>'CCE3'!F97+'CCE3'!G97</f>
        <v>8</v>
      </c>
      <c r="M100" s="150">
        <f>'CCE3'!H97+'CCE3'!I97</f>
        <v>8</v>
      </c>
      <c r="N100" s="150">
        <f>'CCE3'!J97+'CCE3'!K97</f>
        <v>0</v>
      </c>
      <c r="O100" s="150">
        <f>'CCE3'!L97+'CCE3'!M97</f>
        <v>0</v>
      </c>
      <c r="P100" s="149">
        <f t="shared" si="5"/>
        <v>28</v>
      </c>
      <c r="Q100" s="149">
        <f t="shared" si="6"/>
        <v>26</v>
      </c>
      <c r="R100" s="149" t="str">
        <f>IFERROR(SUM(#REF!,H100,M100),"AB")</f>
        <v>AB</v>
      </c>
      <c r="S100" s="149" t="str">
        <f>IFERROR(SUM(#REF!,I100,N100),"AB")</f>
        <v>AB</v>
      </c>
      <c r="T100" s="149" t="str">
        <f>IFERROR(SUM(#REF!,J100,O100),"AB")</f>
        <v>AB</v>
      </c>
      <c r="U100" s="149">
        <f t="shared" si="7"/>
        <v>54</v>
      </c>
    </row>
    <row r="101" spans="1:21" ht="15.75">
      <c r="A101" s="147">
        <v>88</v>
      </c>
      <c r="B101" s="171" t="s">
        <v>365</v>
      </c>
      <c r="C101" s="172" t="s">
        <v>366</v>
      </c>
      <c r="D101" s="150">
        <f>'CCE1'!D98+'CCE1'!E98</f>
        <v>13</v>
      </c>
      <c r="E101" s="150">
        <f>'CCE1'!E98+'CCE1'!F98</f>
        <v>10</v>
      </c>
      <c r="F101" s="150">
        <f>'CCE2'!D98</f>
        <v>3</v>
      </c>
      <c r="G101" s="150">
        <f>'CCE2'!E98</f>
        <v>4</v>
      </c>
      <c r="H101" s="150">
        <f>'CCE2'!F98</f>
        <v>4</v>
      </c>
      <c r="I101" s="150">
        <f>'CCE2'!G98</f>
        <v>4</v>
      </c>
      <c r="J101" s="150">
        <f>'CCE2'!H98</f>
        <v>3</v>
      </c>
      <c r="K101" s="150">
        <f>'CCE3'!D98+'CCE3'!E98</f>
        <v>14</v>
      </c>
      <c r="L101" s="150">
        <f>'CCE3'!F98+'CCE3'!G98</f>
        <v>14</v>
      </c>
      <c r="M101" s="150">
        <f>'CCE3'!H98+'CCE3'!I98</f>
        <v>7</v>
      </c>
      <c r="N101" s="150">
        <f>'CCE3'!J98+'CCE3'!K98</f>
        <v>0</v>
      </c>
      <c r="O101" s="150">
        <f>'CCE3'!L98+'CCE3'!M98</f>
        <v>0</v>
      </c>
      <c r="P101" s="149">
        <f t="shared" si="5"/>
        <v>30</v>
      </c>
      <c r="Q101" s="149">
        <f t="shared" si="6"/>
        <v>28</v>
      </c>
      <c r="R101" s="149" t="str">
        <f>IFERROR(SUM(#REF!,H101,M101),"AB")</f>
        <v>AB</v>
      </c>
      <c r="S101" s="149" t="str">
        <f>IFERROR(SUM(#REF!,I101,N101),"AB")</f>
        <v>AB</v>
      </c>
      <c r="T101" s="149" t="str">
        <f>IFERROR(SUM(#REF!,J101,O101),"AB")</f>
        <v>AB</v>
      </c>
      <c r="U101" s="149">
        <f t="shared" si="7"/>
        <v>58</v>
      </c>
    </row>
    <row r="102" spans="1:21" ht="15.75">
      <c r="A102" s="147">
        <v>89</v>
      </c>
      <c r="B102" s="171" t="s">
        <v>367</v>
      </c>
      <c r="C102" s="172" t="s">
        <v>158</v>
      </c>
      <c r="D102" s="150">
        <f>'CCE1'!D99+'CCE1'!E99</f>
        <v>12</v>
      </c>
      <c r="E102" s="150">
        <f>'CCE1'!E99+'CCE1'!F99</f>
        <v>13</v>
      </c>
      <c r="F102" s="150">
        <f>'CCE2'!D99</f>
        <v>4</v>
      </c>
      <c r="G102" s="150">
        <f>'CCE2'!E99</f>
        <v>5</v>
      </c>
      <c r="H102" s="150">
        <f>'CCE2'!F99</f>
        <v>3</v>
      </c>
      <c r="I102" s="150">
        <f>'CCE2'!G99</f>
        <v>5</v>
      </c>
      <c r="J102" s="150">
        <f>'CCE2'!H99</f>
        <v>3</v>
      </c>
      <c r="K102" s="150">
        <f>'CCE3'!D99+'CCE3'!E99</f>
        <v>11</v>
      </c>
      <c r="L102" s="150">
        <f>'CCE3'!F99+'CCE3'!G99</f>
        <v>16</v>
      </c>
      <c r="M102" s="150">
        <f>'CCE3'!H99+'CCE3'!I99</f>
        <v>8</v>
      </c>
      <c r="N102" s="150">
        <f>'CCE3'!J99+'CCE3'!K99</f>
        <v>0</v>
      </c>
      <c r="O102" s="150">
        <f>'CCE3'!L99+'CCE3'!M99</f>
        <v>0</v>
      </c>
      <c r="P102" s="149">
        <f t="shared" si="5"/>
        <v>27</v>
      </c>
      <c r="Q102" s="149">
        <f t="shared" si="6"/>
        <v>34</v>
      </c>
      <c r="R102" s="149" t="str">
        <f>IFERROR(SUM(#REF!,H102,M102),"AB")</f>
        <v>AB</v>
      </c>
      <c r="S102" s="149" t="str">
        <f>IFERROR(SUM(#REF!,I102,N102),"AB")</f>
        <v>AB</v>
      </c>
      <c r="T102" s="149" t="str">
        <f>IFERROR(SUM(#REF!,J102,O102),"AB")</f>
        <v>AB</v>
      </c>
      <c r="U102" s="149">
        <f t="shared" si="7"/>
        <v>61</v>
      </c>
    </row>
    <row r="103" spans="1:21" ht="15.75">
      <c r="A103" s="147">
        <v>90</v>
      </c>
      <c r="B103" s="171" t="s">
        <v>368</v>
      </c>
      <c r="C103" s="172" t="s">
        <v>180</v>
      </c>
      <c r="D103" s="150">
        <f>'CCE1'!D100+'CCE1'!E100</f>
        <v>13</v>
      </c>
      <c r="E103" s="150">
        <f>'CCE1'!E100+'CCE1'!F100</f>
        <v>14</v>
      </c>
      <c r="F103" s="150">
        <f>'CCE2'!D100</f>
        <v>5</v>
      </c>
      <c r="G103" s="150">
        <f>'CCE2'!E100</f>
        <v>2</v>
      </c>
      <c r="H103" s="150">
        <f>'CCE2'!F100</f>
        <v>3</v>
      </c>
      <c r="I103" s="150">
        <f>'CCE2'!G100</f>
        <v>2</v>
      </c>
      <c r="J103" s="150">
        <f>'CCE2'!H100</f>
        <v>4</v>
      </c>
      <c r="K103" s="150">
        <f>'CCE3'!D100+'CCE3'!E100</f>
        <v>14</v>
      </c>
      <c r="L103" s="150">
        <f>'CCE3'!F100+'CCE3'!G100</f>
        <v>15</v>
      </c>
      <c r="M103" s="150">
        <f>'CCE3'!H100+'CCE3'!I100</f>
        <v>8</v>
      </c>
      <c r="N103" s="150">
        <f>'CCE3'!J100+'CCE3'!K100</f>
        <v>0</v>
      </c>
      <c r="O103" s="150">
        <f>'CCE3'!L100+'CCE3'!M100</f>
        <v>0</v>
      </c>
      <c r="P103" s="149">
        <f t="shared" si="5"/>
        <v>32</v>
      </c>
      <c r="Q103" s="149">
        <f t="shared" si="6"/>
        <v>31</v>
      </c>
      <c r="R103" s="149" t="str">
        <f>IFERROR(SUM(#REF!,H103,M103),"AB")</f>
        <v>AB</v>
      </c>
      <c r="S103" s="149" t="str">
        <f>IFERROR(SUM(#REF!,I103,N103),"AB")</f>
        <v>AB</v>
      </c>
      <c r="T103" s="149" t="str">
        <f>IFERROR(SUM(#REF!,J103,O103),"AB")</f>
        <v>AB</v>
      </c>
      <c r="U103" s="149">
        <f t="shared" si="7"/>
        <v>63</v>
      </c>
    </row>
    <row r="104" spans="1:21" ht="15.75">
      <c r="A104" s="147">
        <v>91</v>
      </c>
      <c r="B104" s="171" t="s">
        <v>369</v>
      </c>
      <c r="C104" s="172" t="s">
        <v>243</v>
      </c>
      <c r="D104" s="150">
        <f>'CCE1'!D101+'CCE1'!E101</f>
        <v>12</v>
      </c>
      <c r="E104" s="150">
        <f>'CCE1'!E101+'CCE1'!F101</f>
        <v>13</v>
      </c>
      <c r="F104" s="150">
        <f>'CCE2'!D101</f>
        <v>3</v>
      </c>
      <c r="G104" s="150">
        <f>'CCE2'!E101</f>
        <v>5</v>
      </c>
      <c r="H104" s="150">
        <f>'CCE2'!F101</f>
        <v>3</v>
      </c>
      <c r="I104" s="150">
        <f>'CCE2'!G101</f>
        <v>3</v>
      </c>
      <c r="J104" s="150">
        <f>'CCE2'!H101</f>
        <v>5</v>
      </c>
      <c r="K104" s="150">
        <f>'CCE3'!D101+'CCE3'!E101</f>
        <v>13</v>
      </c>
      <c r="L104" s="150">
        <f>'CCE3'!F101+'CCE3'!G101</f>
        <v>12</v>
      </c>
      <c r="M104" s="150">
        <f>'CCE3'!H101+'CCE3'!I101</f>
        <v>7</v>
      </c>
      <c r="N104" s="150">
        <f>'CCE3'!J101+'CCE3'!K101</f>
        <v>0</v>
      </c>
      <c r="O104" s="150">
        <f>'CCE3'!L101+'CCE3'!M101</f>
        <v>0</v>
      </c>
      <c r="P104" s="149">
        <f t="shared" si="5"/>
        <v>28</v>
      </c>
      <c r="Q104" s="149">
        <f t="shared" si="6"/>
        <v>30</v>
      </c>
      <c r="R104" s="149" t="str">
        <f>IFERROR(SUM(#REF!,H104,M104),"AB")</f>
        <v>AB</v>
      </c>
      <c r="S104" s="149" t="str">
        <f>IFERROR(SUM(#REF!,I104,N104),"AB")</f>
        <v>AB</v>
      </c>
      <c r="T104" s="149" t="str">
        <f>IFERROR(SUM(#REF!,J104,O104),"AB")</f>
        <v>AB</v>
      </c>
      <c r="U104" s="149">
        <f t="shared" si="7"/>
        <v>58</v>
      </c>
    </row>
    <row r="105" spans="1:21" ht="15.75">
      <c r="A105" s="147">
        <v>92</v>
      </c>
      <c r="B105" s="171" t="s">
        <v>370</v>
      </c>
      <c r="C105" s="172" t="s">
        <v>151</v>
      </c>
      <c r="D105" s="150">
        <f>'CCE1'!D102+'CCE1'!E102</f>
        <v>12</v>
      </c>
      <c r="E105" s="150">
        <f>'CCE1'!E102+'CCE1'!F102</f>
        <v>15</v>
      </c>
      <c r="F105" s="150">
        <f>'CCE2'!D102</f>
        <v>3</v>
      </c>
      <c r="G105" s="150">
        <f>'CCE2'!E102</f>
        <v>4</v>
      </c>
      <c r="H105" s="150">
        <f>'CCE2'!F102</f>
        <v>2</v>
      </c>
      <c r="I105" s="150">
        <f>'CCE2'!G102</f>
        <v>3</v>
      </c>
      <c r="J105" s="150">
        <f>'CCE2'!H102</f>
        <v>3</v>
      </c>
      <c r="K105" s="150">
        <f>'CCE3'!D102+'CCE3'!E102</f>
        <v>13</v>
      </c>
      <c r="L105" s="150">
        <f>'CCE3'!F102+'CCE3'!G102</f>
        <v>14</v>
      </c>
      <c r="M105" s="150">
        <f>'CCE3'!H102+'CCE3'!I102</f>
        <v>7</v>
      </c>
      <c r="N105" s="150">
        <f>'CCE3'!J102+'CCE3'!K102</f>
        <v>0</v>
      </c>
      <c r="O105" s="150">
        <f>'CCE3'!L102+'CCE3'!M102</f>
        <v>0</v>
      </c>
      <c r="P105" s="149">
        <f t="shared" si="5"/>
        <v>28</v>
      </c>
      <c r="Q105" s="149">
        <f t="shared" si="6"/>
        <v>33</v>
      </c>
      <c r="R105" s="149" t="str">
        <f>IFERROR(SUM(#REF!,H105,M105),"AB")</f>
        <v>AB</v>
      </c>
      <c r="S105" s="149" t="str">
        <f>IFERROR(SUM(#REF!,I105,N105),"AB")</f>
        <v>AB</v>
      </c>
      <c r="T105" s="149" t="str">
        <f>IFERROR(SUM(#REF!,J105,O105),"AB")</f>
        <v>AB</v>
      </c>
      <c r="U105" s="149">
        <f t="shared" si="7"/>
        <v>61</v>
      </c>
    </row>
    <row r="106" spans="1:21" ht="15.75">
      <c r="A106" s="147">
        <v>93</v>
      </c>
      <c r="B106" s="171" t="s">
        <v>371</v>
      </c>
      <c r="C106" s="172" t="s">
        <v>208</v>
      </c>
      <c r="D106" s="150">
        <f>'CCE1'!D103+'CCE1'!E103</f>
        <v>12</v>
      </c>
      <c r="E106" s="150">
        <f>'CCE1'!E103+'CCE1'!F103</f>
        <v>14</v>
      </c>
      <c r="F106" s="150">
        <f>'CCE2'!D103</f>
        <v>4</v>
      </c>
      <c r="G106" s="150">
        <f>'CCE2'!E103</f>
        <v>4</v>
      </c>
      <c r="H106" s="150">
        <f>'CCE2'!F103</f>
        <v>3</v>
      </c>
      <c r="I106" s="150">
        <f>'CCE2'!G103</f>
        <v>4</v>
      </c>
      <c r="J106" s="150">
        <f>'CCE2'!H103</f>
        <v>4</v>
      </c>
      <c r="K106" s="150">
        <f>'CCE3'!D103+'CCE3'!E103</f>
        <v>13</v>
      </c>
      <c r="L106" s="150">
        <f>'CCE3'!F103+'CCE3'!G103</f>
        <v>15</v>
      </c>
      <c r="M106" s="150">
        <f>'CCE3'!H103+'CCE3'!I103</f>
        <v>6</v>
      </c>
      <c r="N106" s="150">
        <f>'CCE3'!J103+'CCE3'!K103</f>
        <v>0</v>
      </c>
      <c r="O106" s="150">
        <f>'CCE3'!L103+'CCE3'!M103</f>
        <v>0</v>
      </c>
      <c r="P106" s="149">
        <f t="shared" si="5"/>
        <v>29</v>
      </c>
      <c r="Q106" s="149">
        <f t="shared" si="6"/>
        <v>33</v>
      </c>
      <c r="R106" s="149" t="str">
        <f>IFERROR(SUM(#REF!,H106,M106),"AB")</f>
        <v>AB</v>
      </c>
      <c r="S106" s="149" t="str">
        <f>IFERROR(SUM(#REF!,I106,N106),"AB")</f>
        <v>AB</v>
      </c>
      <c r="T106" s="149" t="str">
        <f>IFERROR(SUM(#REF!,J106,O106),"AB")</f>
        <v>AB</v>
      </c>
      <c r="U106" s="149">
        <f t="shared" si="7"/>
        <v>62</v>
      </c>
    </row>
    <row r="107" spans="1:21" ht="15.75">
      <c r="A107" s="147">
        <v>94</v>
      </c>
      <c r="B107" s="171" t="s">
        <v>372</v>
      </c>
      <c r="C107" s="172" t="s">
        <v>373</v>
      </c>
      <c r="D107" s="150">
        <f>'CCE1'!D104+'CCE1'!E104</f>
        <v>15</v>
      </c>
      <c r="E107" s="150">
        <f>'CCE1'!E104+'CCE1'!F104</f>
        <v>13</v>
      </c>
      <c r="F107" s="150">
        <f>'CCE2'!D104</f>
        <v>5</v>
      </c>
      <c r="G107" s="150">
        <f>'CCE2'!E104</f>
        <v>4</v>
      </c>
      <c r="H107" s="150">
        <f>'CCE2'!F104</f>
        <v>5</v>
      </c>
      <c r="I107" s="150">
        <f>'CCE2'!G104</f>
        <v>5</v>
      </c>
      <c r="J107" s="150">
        <f>'CCE2'!H104</f>
        <v>4</v>
      </c>
      <c r="K107" s="150">
        <f>'CCE3'!D104+'CCE3'!E104</f>
        <v>12</v>
      </c>
      <c r="L107" s="150">
        <f>'CCE3'!F104+'CCE3'!G104</f>
        <v>15</v>
      </c>
      <c r="M107" s="150">
        <f>'CCE3'!H104+'CCE3'!I104</f>
        <v>7</v>
      </c>
      <c r="N107" s="150">
        <f>'CCE3'!J104+'CCE3'!K104</f>
        <v>0</v>
      </c>
      <c r="O107" s="150">
        <f>'CCE3'!L104+'CCE3'!M104</f>
        <v>0</v>
      </c>
      <c r="P107" s="149">
        <f t="shared" si="5"/>
        <v>32</v>
      </c>
      <c r="Q107" s="149">
        <f t="shared" si="6"/>
        <v>32</v>
      </c>
      <c r="R107" s="149" t="str">
        <f>IFERROR(SUM(#REF!,H107,M107),"AB")</f>
        <v>AB</v>
      </c>
      <c r="S107" s="149" t="str">
        <f>IFERROR(SUM(#REF!,I107,N107),"AB")</f>
        <v>AB</v>
      </c>
      <c r="T107" s="149" t="str">
        <f>IFERROR(SUM(#REF!,J107,O107),"AB")</f>
        <v>AB</v>
      </c>
      <c r="U107" s="149">
        <f t="shared" si="7"/>
        <v>64</v>
      </c>
    </row>
    <row r="108" spans="1:21" ht="15.75">
      <c r="A108" s="147">
        <v>95</v>
      </c>
      <c r="B108" s="171" t="s">
        <v>374</v>
      </c>
      <c r="C108" s="172" t="s">
        <v>248</v>
      </c>
      <c r="D108" s="150">
        <f>'CCE1'!D105+'CCE1'!E105</f>
        <v>15</v>
      </c>
      <c r="E108" s="150">
        <f>'CCE1'!E105+'CCE1'!F105</f>
        <v>16</v>
      </c>
      <c r="F108" s="150">
        <f>'CCE2'!D105</f>
        <v>3</v>
      </c>
      <c r="G108" s="150">
        <f>'CCE2'!E105</f>
        <v>4</v>
      </c>
      <c r="H108" s="150">
        <f>'CCE2'!F105</f>
        <v>3</v>
      </c>
      <c r="I108" s="150">
        <f>'CCE2'!G105</f>
        <v>5</v>
      </c>
      <c r="J108" s="150">
        <f>'CCE2'!H105</f>
        <v>5</v>
      </c>
      <c r="K108" s="150">
        <f>'CCE3'!D105+'CCE3'!E105</f>
        <v>15</v>
      </c>
      <c r="L108" s="150">
        <f>'CCE3'!F105+'CCE3'!G105</f>
        <v>15</v>
      </c>
      <c r="M108" s="150">
        <f>'CCE3'!H105+'CCE3'!I105</f>
        <v>8</v>
      </c>
      <c r="N108" s="150">
        <f>'CCE3'!J105+'CCE3'!K105</f>
        <v>0</v>
      </c>
      <c r="O108" s="150">
        <f>'CCE3'!L105+'CCE3'!M105</f>
        <v>0</v>
      </c>
      <c r="P108" s="149">
        <f t="shared" si="5"/>
        <v>33</v>
      </c>
      <c r="Q108" s="149">
        <f t="shared" si="6"/>
        <v>35</v>
      </c>
      <c r="R108" s="149" t="str">
        <f>IFERROR(SUM(#REF!,H108,M108),"AB")</f>
        <v>AB</v>
      </c>
      <c r="S108" s="149" t="str">
        <f>IFERROR(SUM(#REF!,I108,N108),"AB")</f>
        <v>AB</v>
      </c>
      <c r="T108" s="149" t="str">
        <f>IFERROR(SUM(#REF!,J108,O108),"AB")</f>
        <v>AB</v>
      </c>
      <c r="U108" s="149">
        <f t="shared" si="7"/>
        <v>68</v>
      </c>
    </row>
    <row r="109" spans="1:21" ht="15.75">
      <c r="A109" s="147">
        <v>96</v>
      </c>
      <c r="B109" s="171" t="s">
        <v>375</v>
      </c>
      <c r="C109" s="172" t="s">
        <v>376</v>
      </c>
      <c r="D109" s="150">
        <f>'CCE1'!D106+'CCE1'!E106</f>
        <v>13</v>
      </c>
      <c r="E109" s="150">
        <f>'CCE1'!E106+'CCE1'!F106</f>
        <v>13</v>
      </c>
      <c r="F109" s="150">
        <f>'CCE2'!D106</f>
        <v>4</v>
      </c>
      <c r="G109" s="150">
        <f>'CCE2'!E106</f>
        <v>4</v>
      </c>
      <c r="H109" s="150">
        <f>'CCE2'!F106</f>
        <v>4</v>
      </c>
      <c r="I109" s="150">
        <f>'CCE2'!G106</f>
        <v>5</v>
      </c>
      <c r="J109" s="150">
        <f>'CCE2'!H106</f>
        <v>5</v>
      </c>
      <c r="K109" s="150">
        <f>'CCE3'!D106+'CCE3'!E106</f>
        <v>13</v>
      </c>
      <c r="L109" s="150">
        <f>'CCE3'!F106+'CCE3'!G106</f>
        <v>15</v>
      </c>
      <c r="M109" s="150">
        <f>'CCE3'!H106+'CCE3'!I106</f>
        <v>8</v>
      </c>
      <c r="N109" s="150">
        <f>'CCE3'!J106+'CCE3'!K106</f>
        <v>0</v>
      </c>
      <c r="O109" s="150">
        <f>'CCE3'!L106+'CCE3'!M106</f>
        <v>0</v>
      </c>
      <c r="P109" s="149">
        <f t="shared" si="5"/>
        <v>30</v>
      </c>
      <c r="Q109" s="149">
        <f t="shared" si="6"/>
        <v>32</v>
      </c>
      <c r="R109" s="149" t="str">
        <f>IFERROR(SUM(#REF!,H109,M109),"AB")</f>
        <v>AB</v>
      </c>
      <c r="S109" s="149" t="str">
        <f>IFERROR(SUM(#REF!,I109,N109),"AB")</f>
        <v>AB</v>
      </c>
      <c r="T109" s="149" t="str">
        <f>IFERROR(SUM(#REF!,J109,O109),"AB")</f>
        <v>AB</v>
      </c>
      <c r="U109" s="149">
        <f t="shared" si="7"/>
        <v>62</v>
      </c>
    </row>
    <row r="110" spans="1:21" ht="15.75">
      <c r="A110" s="147">
        <v>97</v>
      </c>
      <c r="B110" s="171" t="s">
        <v>377</v>
      </c>
      <c r="C110" s="172" t="s">
        <v>184</v>
      </c>
      <c r="D110" s="150">
        <f>'CCE1'!D107+'CCE1'!E107</f>
        <v>12</v>
      </c>
      <c r="E110" s="150">
        <f>'CCE1'!E107+'CCE1'!F107</f>
        <v>11</v>
      </c>
      <c r="F110" s="150">
        <f>'CCE2'!D107</f>
        <v>4</v>
      </c>
      <c r="G110" s="150">
        <f>'CCE2'!E107</f>
        <v>5</v>
      </c>
      <c r="H110" s="150">
        <f>'CCE2'!F107</f>
        <v>5</v>
      </c>
      <c r="I110" s="150">
        <f>'CCE2'!G107</f>
        <v>5</v>
      </c>
      <c r="J110" s="150">
        <f>'CCE2'!H107</f>
        <v>4</v>
      </c>
      <c r="K110" s="150">
        <f>'CCE3'!D107+'CCE3'!E107</f>
        <v>13</v>
      </c>
      <c r="L110" s="150">
        <f>'CCE3'!F107+'CCE3'!G107</f>
        <v>16</v>
      </c>
      <c r="M110" s="150">
        <f>'CCE3'!H107+'CCE3'!I107</f>
        <v>7</v>
      </c>
      <c r="N110" s="150">
        <f>'CCE3'!J107+'CCE3'!K107</f>
        <v>0</v>
      </c>
      <c r="O110" s="150">
        <f>'CCE3'!L107+'CCE3'!M107</f>
        <v>0</v>
      </c>
      <c r="P110" s="149">
        <f t="shared" ref="P110:P121" si="8">IFERROR(SUM(D110,F110,K110),"AB")</f>
        <v>29</v>
      </c>
      <c r="Q110" s="149">
        <f t="shared" ref="Q110:Q121" si="9">IFERROR(SUM(E110,G110,L110),"AB")</f>
        <v>32</v>
      </c>
      <c r="R110" s="149" t="str">
        <f>IFERROR(SUM(#REF!,H110,M110),"AB")</f>
        <v>AB</v>
      </c>
      <c r="S110" s="149" t="str">
        <f>IFERROR(SUM(#REF!,I110,N110),"AB")</f>
        <v>AB</v>
      </c>
      <c r="T110" s="149" t="str">
        <f>IFERROR(SUM(#REF!,J110,O110),"AB")</f>
        <v>AB</v>
      </c>
      <c r="U110" s="149">
        <f t="shared" si="7"/>
        <v>61</v>
      </c>
    </row>
    <row r="111" spans="1:21" ht="15.75">
      <c r="A111" s="147">
        <v>98</v>
      </c>
      <c r="B111" s="171" t="s">
        <v>378</v>
      </c>
      <c r="C111" s="172" t="s">
        <v>250</v>
      </c>
      <c r="D111" s="150">
        <f>'CCE1'!D108+'CCE1'!E108</f>
        <v>12</v>
      </c>
      <c r="E111" s="150">
        <f>'CCE1'!E108+'CCE1'!F108</f>
        <v>13</v>
      </c>
      <c r="F111" s="150">
        <f>'CCE2'!D108</f>
        <v>5</v>
      </c>
      <c r="G111" s="150">
        <f>'CCE2'!E108</f>
        <v>3</v>
      </c>
      <c r="H111" s="150">
        <f>'CCE2'!F108</f>
        <v>5</v>
      </c>
      <c r="I111" s="150">
        <f>'CCE2'!G108</f>
        <v>5</v>
      </c>
      <c r="J111" s="150">
        <f>'CCE2'!H108</f>
        <v>3</v>
      </c>
      <c r="K111" s="150">
        <f>'CCE3'!D108+'CCE3'!E108</f>
        <v>14</v>
      </c>
      <c r="L111" s="150">
        <f>'CCE3'!F108+'CCE3'!G108</f>
        <v>14</v>
      </c>
      <c r="M111" s="150">
        <f>'CCE3'!H108+'CCE3'!I108</f>
        <v>8</v>
      </c>
      <c r="N111" s="150">
        <f>'CCE3'!J108+'CCE3'!K108</f>
        <v>0</v>
      </c>
      <c r="O111" s="150">
        <f>'CCE3'!L108+'CCE3'!M108</f>
        <v>0</v>
      </c>
      <c r="P111" s="149">
        <f t="shared" si="8"/>
        <v>31</v>
      </c>
      <c r="Q111" s="149">
        <f t="shared" si="9"/>
        <v>30</v>
      </c>
      <c r="R111" s="149" t="str">
        <f>IFERROR(SUM(#REF!,H111,M111),"AB")</f>
        <v>AB</v>
      </c>
      <c r="S111" s="149" t="str">
        <f>IFERROR(SUM(#REF!,I111,N111),"AB")</f>
        <v>AB</v>
      </c>
      <c r="T111" s="149" t="str">
        <f>IFERROR(SUM(#REF!,J111,O111),"AB")</f>
        <v>AB</v>
      </c>
      <c r="U111" s="149">
        <f t="shared" si="7"/>
        <v>61</v>
      </c>
    </row>
    <row r="112" spans="1:21" ht="15.75">
      <c r="A112" s="147">
        <v>99</v>
      </c>
      <c r="B112" s="171" t="s">
        <v>379</v>
      </c>
      <c r="C112" s="172" t="s">
        <v>182</v>
      </c>
      <c r="D112" s="150">
        <f>'CCE1'!D109+'CCE1'!E109</f>
        <v>14</v>
      </c>
      <c r="E112" s="150">
        <f>'CCE1'!E109+'CCE1'!F109</f>
        <v>12</v>
      </c>
      <c r="F112" s="150">
        <f>'CCE2'!D109</f>
        <v>5</v>
      </c>
      <c r="G112" s="150">
        <f>'CCE2'!E109</f>
        <v>4</v>
      </c>
      <c r="H112" s="150">
        <f>'CCE2'!F109</f>
        <v>2</v>
      </c>
      <c r="I112" s="150">
        <f>'CCE2'!G109</f>
        <v>2</v>
      </c>
      <c r="J112" s="150">
        <f>'CCE2'!H109</f>
        <v>3</v>
      </c>
      <c r="K112" s="150">
        <f>'CCE3'!D109+'CCE3'!E109</f>
        <v>13</v>
      </c>
      <c r="L112" s="150">
        <f>'CCE3'!F109+'CCE3'!G109</f>
        <v>15</v>
      </c>
      <c r="M112" s="150">
        <f>'CCE3'!H109+'CCE3'!I109</f>
        <v>7</v>
      </c>
      <c r="N112" s="150">
        <f>'CCE3'!J109+'CCE3'!K109</f>
        <v>0</v>
      </c>
      <c r="O112" s="150">
        <f>'CCE3'!L109+'CCE3'!M109</f>
        <v>0</v>
      </c>
      <c r="P112" s="149">
        <f t="shared" si="8"/>
        <v>32</v>
      </c>
      <c r="Q112" s="149">
        <f t="shared" si="9"/>
        <v>31</v>
      </c>
      <c r="R112" s="149" t="str">
        <f>IFERROR(SUM(#REF!,H112,M112),"AB")</f>
        <v>AB</v>
      </c>
      <c r="S112" s="149" t="str">
        <f>IFERROR(SUM(#REF!,I112,N112),"AB")</f>
        <v>AB</v>
      </c>
      <c r="T112" s="149" t="str">
        <f>IFERROR(SUM(#REF!,J112,O112),"AB")</f>
        <v>AB</v>
      </c>
      <c r="U112" s="149">
        <f t="shared" si="7"/>
        <v>63</v>
      </c>
    </row>
    <row r="113" spans="1:21" ht="15.75">
      <c r="A113" s="147">
        <v>100</v>
      </c>
      <c r="B113" s="171" t="s">
        <v>380</v>
      </c>
      <c r="C113" s="172" t="s">
        <v>381</v>
      </c>
      <c r="D113" s="150">
        <f>'CCE1'!D110+'CCE1'!E110</f>
        <v>12</v>
      </c>
      <c r="E113" s="150">
        <f>'CCE1'!E110+'CCE1'!F110</f>
        <v>11</v>
      </c>
      <c r="F113" s="150">
        <f>'CCE2'!D110</f>
        <v>4</v>
      </c>
      <c r="G113" s="150">
        <f>'CCE2'!E110</f>
        <v>5</v>
      </c>
      <c r="H113" s="150">
        <f>'CCE2'!F110</f>
        <v>4</v>
      </c>
      <c r="I113" s="150">
        <f>'CCE2'!G110</f>
        <v>5</v>
      </c>
      <c r="J113" s="150">
        <f>'CCE2'!H110</f>
        <v>4</v>
      </c>
      <c r="K113" s="150">
        <f>'CCE3'!D110+'CCE3'!E110</f>
        <v>13</v>
      </c>
      <c r="L113" s="150">
        <f>'CCE3'!F110+'CCE3'!G110</f>
        <v>16</v>
      </c>
      <c r="M113" s="150">
        <f>'CCE3'!H110+'CCE3'!I110</f>
        <v>7</v>
      </c>
      <c r="N113" s="150">
        <f>'CCE3'!J110+'CCE3'!K110</f>
        <v>0</v>
      </c>
      <c r="O113" s="150">
        <f>'CCE3'!L110+'CCE3'!M110</f>
        <v>0</v>
      </c>
      <c r="P113" s="149">
        <f t="shared" si="8"/>
        <v>29</v>
      </c>
      <c r="Q113" s="149">
        <f t="shared" si="9"/>
        <v>32</v>
      </c>
      <c r="R113" s="149" t="str">
        <f>IFERROR(SUM(#REF!,H113,M113),"AB")</f>
        <v>AB</v>
      </c>
      <c r="S113" s="149" t="str">
        <f>IFERROR(SUM(#REF!,I113,N113),"AB")</f>
        <v>AB</v>
      </c>
      <c r="T113" s="149" t="str">
        <f>IFERROR(SUM(#REF!,J113,O113),"AB")</f>
        <v>AB</v>
      </c>
      <c r="U113" s="149">
        <f t="shared" si="7"/>
        <v>61</v>
      </c>
    </row>
    <row r="114" spans="1:21" ht="15.75">
      <c r="A114" s="147">
        <v>101</v>
      </c>
      <c r="B114" s="171" t="s">
        <v>382</v>
      </c>
      <c r="C114" s="172" t="s">
        <v>198</v>
      </c>
      <c r="D114" s="150">
        <f>'CCE1'!D111+'CCE1'!E111</f>
        <v>12</v>
      </c>
      <c r="E114" s="150">
        <f>'CCE1'!E111+'CCE1'!F111</f>
        <v>11</v>
      </c>
      <c r="F114" s="150">
        <f>'CCE2'!D111</f>
        <v>3</v>
      </c>
      <c r="G114" s="150">
        <f>'CCE2'!E111</f>
        <v>3</v>
      </c>
      <c r="H114" s="150">
        <f>'CCE2'!F111</f>
        <v>5</v>
      </c>
      <c r="I114" s="150">
        <f>'CCE2'!G111</f>
        <v>4</v>
      </c>
      <c r="J114" s="150">
        <f>'CCE2'!H111</f>
        <v>4</v>
      </c>
      <c r="K114" s="150">
        <f>'CCE3'!D111+'CCE3'!E111</f>
        <v>13</v>
      </c>
      <c r="L114" s="150">
        <f>'CCE3'!F111+'CCE3'!G111</f>
        <v>14</v>
      </c>
      <c r="M114" s="150">
        <f>'CCE3'!H111+'CCE3'!I111</f>
        <v>7</v>
      </c>
      <c r="N114" s="150">
        <f>'CCE3'!J111+'CCE3'!K111</f>
        <v>0</v>
      </c>
      <c r="O114" s="150">
        <f>'CCE3'!L111+'CCE3'!M111</f>
        <v>0</v>
      </c>
      <c r="P114" s="149">
        <f t="shared" si="8"/>
        <v>28</v>
      </c>
      <c r="Q114" s="149">
        <f t="shared" si="9"/>
        <v>28</v>
      </c>
      <c r="R114" s="149" t="str">
        <f>IFERROR(SUM(#REF!,H114,M114),"AB")</f>
        <v>AB</v>
      </c>
      <c r="S114" s="149" t="str">
        <f>IFERROR(SUM(#REF!,I114,N114),"AB")</f>
        <v>AB</v>
      </c>
      <c r="T114" s="149" t="str">
        <f>IFERROR(SUM(#REF!,J114,O114),"AB")</f>
        <v>AB</v>
      </c>
      <c r="U114" s="149">
        <f t="shared" si="7"/>
        <v>56</v>
      </c>
    </row>
    <row r="115" spans="1:21" ht="15.75">
      <c r="A115" s="147">
        <v>102</v>
      </c>
      <c r="B115" s="171" t="s">
        <v>383</v>
      </c>
      <c r="C115" s="172" t="s">
        <v>384</v>
      </c>
      <c r="D115" s="150">
        <f>'CCE1'!D112+'CCE1'!E112</f>
        <v>12</v>
      </c>
      <c r="E115" s="150">
        <f>'CCE1'!E112+'CCE1'!F112</f>
        <v>13</v>
      </c>
      <c r="F115" s="150">
        <f>'CCE2'!D112</f>
        <v>3</v>
      </c>
      <c r="G115" s="150">
        <f>'CCE2'!E112</f>
        <v>5</v>
      </c>
      <c r="H115" s="150">
        <f>'CCE2'!F112</f>
        <v>4</v>
      </c>
      <c r="I115" s="150">
        <f>'CCE2'!G112</f>
        <v>5</v>
      </c>
      <c r="J115" s="150">
        <f>'CCE2'!H112</f>
        <v>3</v>
      </c>
      <c r="K115" s="150">
        <f>'CCE3'!D112+'CCE3'!E112</f>
        <v>14</v>
      </c>
      <c r="L115" s="150">
        <f>'CCE3'!F112+'CCE3'!G112</f>
        <v>15</v>
      </c>
      <c r="M115" s="150">
        <f>'CCE3'!H112+'CCE3'!I112</f>
        <v>6</v>
      </c>
      <c r="N115" s="150">
        <f>'CCE3'!J112+'CCE3'!K112</f>
        <v>0</v>
      </c>
      <c r="O115" s="150">
        <f>'CCE3'!L112+'CCE3'!M112</f>
        <v>0</v>
      </c>
      <c r="P115" s="149">
        <f t="shared" si="8"/>
        <v>29</v>
      </c>
      <c r="Q115" s="149">
        <f t="shared" si="9"/>
        <v>33</v>
      </c>
      <c r="R115" s="149" t="str">
        <f>IFERROR(SUM(#REF!,H115,M115),"AB")</f>
        <v>AB</v>
      </c>
      <c r="S115" s="149" t="str">
        <f>IFERROR(SUM(#REF!,I115,N115),"AB")</f>
        <v>AB</v>
      </c>
      <c r="T115" s="149" t="str">
        <f>IFERROR(SUM(#REF!,J115,O115),"AB")</f>
        <v>AB</v>
      </c>
      <c r="U115" s="149">
        <f t="shared" si="7"/>
        <v>62</v>
      </c>
    </row>
    <row r="116" spans="1:21" ht="15.75">
      <c r="A116" s="147">
        <v>103</v>
      </c>
      <c r="B116" s="171" t="s">
        <v>385</v>
      </c>
      <c r="C116" s="172" t="s">
        <v>165</v>
      </c>
      <c r="D116" s="150">
        <f>'CCE1'!D113+'CCE1'!E113</f>
        <v>12</v>
      </c>
      <c r="E116" s="150">
        <f>'CCE1'!E113+'CCE1'!F113</f>
        <v>12</v>
      </c>
      <c r="F116" s="150">
        <f>'CCE2'!D113</f>
        <v>4</v>
      </c>
      <c r="G116" s="150">
        <f>'CCE2'!E113</f>
        <v>3</v>
      </c>
      <c r="H116" s="150">
        <f>'CCE2'!F113</f>
        <v>3</v>
      </c>
      <c r="I116" s="150">
        <f>'CCE2'!G113</f>
        <v>4</v>
      </c>
      <c r="J116" s="150">
        <f>'CCE2'!H113</f>
        <v>3</v>
      </c>
      <c r="K116" s="150">
        <f>'CCE3'!D113+'CCE3'!E113</f>
        <v>13</v>
      </c>
      <c r="L116" s="150">
        <f>'CCE3'!F113+'CCE3'!G113</f>
        <v>14</v>
      </c>
      <c r="M116" s="150">
        <f>'CCE3'!H113+'CCE3'!I113</f>
        <v>6</v>
      </c>
      <c r="N116" s="150">
        <f>'CCE3'!J113+'CCE3'!K113</f>
        <v>0</v>
      </c>
      <c r="O116" s="150">
        <f>'CCE3'!L113+'CCE3'!M113</f>
        <v>0</v>
      </c>
      <c r="P116" s="149">
        <f t="shared" si="8"/>
        <v>29</v>
      </c>
      <c r="Q116" s="149">
        <f t="shared" si="9"/>
        <v>29</v>
      </c>
      <c r="R116" s="149" t="str">
        <f>IFERROR(SUM(#REF!,H116,M116),"AB")</f>
        <v>AB</v>
      </c>
      <c r="S116" s="149" t="str">
        <f>IFERROR(SUM(#REF!,I116,N116),"AB")</f>
        <v>AB</v>
      </c>
      <c r="T116" s="149" t="str">
        <f>IFERROR(SUM(#REF!,J116,O116),"AB")</f>
        <v>AB</v>
      </c>
      <c r="U116" s="149">
        <f t="shared" si="7"/>
        <v>58</v>
      </c>
    </row>
    <row r="117" spans="1:21" ht="15.75">
      <c r="A117" s="147">
        <v>104</v>
      </c>
      <c r="B117" s="171" t="s">
        <v>386</v>
      </c>
      <c r="C117" s="172" t="s">
        <v>215</v>
      </c>
      <c r="D117" s="150">
        <f>'CCE1'!D114+'CCE1'!E114</f>
        <v>12</v>
      </c>
      <c r="E117" s="150">
        <f>'CCE1'!E114+'CCE1'!F114</f>
        <v>13</v>
      </c>
      <c r="F117" s="150">
        <f>'CCE2'!D114</f>
        <v>4</v>
      </c>
      <c r="G117" s="150">
        <f>'CCE2'!E114</f>
        <v>3</v>
      </c>
      <c r="H117" s="150">
        <f>'CCE2'!F114</f>
        <v>4</v>
      </c>
      <c r="I117" s="150">
        <f>'CCE2'!G114</f>
        <v>5</v>
      </c>
      <c r="J117" s="150">
        <f>'CCE2'!H114</f>
        <v>3</v>
      </c>
      <c r="K117" s="150">
        <f>'CCE3'!D114+'CCE3'!E114</f>
        <v>15</v>
      </c>
      <c r="L117" s="150">
        <f>'CCE3'!F114+'CCE3'!G114</f>
        <v>15</v>
      </c>
      <c r="M117" s="150">
        <f>'CCE3'!H114+'CCE3'!I114</f>
        <v>7</v>
      </c>
      <c r="N117" s="150">
        <f>'CCE3'!J114+'CCE3'!K114</f>
        <v>0</v>
      </c>
      <c r="O117" s="150">
        <f>'CCE3'!L114+'CCE3'!M114</f>
        <v>0</v>
      </c>
      <c r="P117" s="149">
        <f t="shared" si="8"/>
        <v>31</v>
      </c>
      <c r="Q117" s="149">
        <f t="shared" si="9"/>
        <v>31</v>
      </c>
      <c r="R117" s="149" t="str">
        <f>IFERROR(SUM(#REF!,H117,M117),"AB")</f>
        <v>AB</v>
      </c>
      <c r="S117" s="149" t="str">
        <f>IFERROR(SUM(#REF!,I117,N117),"AB")</f>
        <v>AB</v>
      </c>
      <c r="T117" s="149" t="str">
        <f>IFERROR(SUM(#REF!,J117,O117),"AB")</f>
        <v>AB</v>
      </c>
      <c r="U117" s="149">
        <f t="shared" si="7"/>
        <v>62</v>
      </c>
    </row>
    <row r="118" spans="1:21" ht="15.75">
      <c r="A118" s="147">
        <v>105</v>
      </c>
      <c r="B118" s="171" t="s">
        <v>387</v>
      </c>
      <c r="C118" s="172" t="s">
        <v>227</v>
      </c>
      <c r="D118" s="150">
        <f>'CCE1'!D115+'CCE1'!E115</f>
        <v>15</v>
      </c>
      <c r="E118" s="150">
        <f>'CCE1'!E115+'CCE1'!F115</f>
        <v>16</v>
      </c>
      <c r="F118" s="150">
        <f>'CCE2'!D115</f>
        <v>3</v>
      </c>
      <c r="G118" s="150">
        <f>'CCE2'!E115</f>
        <v>5</v>
      </c>
      <c r="H118" s="150">
        <f>'CCE2'!F115</f>
        <v>4</v>
      </c>
      <c r="I118" s="150">
        <f>'CCE2'!G115</f>
        <v>4</v>
      </c>
      <c r="J118" s="150">
        <f>'CCE2'!H115</f>
        <v>5</v>
      </c>
      <c r="K118" s="150">
        <f>'CCE3'!D115+'CCE3'!E115</f>
        <v>10</v>
      </c>
      <c r="L118" s="150">
        <f>'CCE3'!F115+'CCE3'!G115</f>
        <v>14</v>
      </c>
      <c r="M118" s="150">
        <f>'CCE3'!H115+'CCE3'!I115</f>
        <v>8</v>
      </c>
      <c r="N118" s="150">
        <f>'CCE3'!J115+'CCE3'!K115</f>
        <v>0</v>
      </c>
      <c r="O118" s="150">
        <f>'CCE3'!L115+'CCE3'!M115</f>
        <v>0</v>
      </c>
      <c r="P118" s="149">
        <f t="shared" si="8"/>
        <v>28</v>
      </c>
      <c r="Q118" s="149">
        <f t="shared" si="9"/>
        <v>35</v>
      </c>
      <c r="R118" s="149" t="str">
        <f>IFERROR(SUM(#REF!,H118,M118),"AB")</f>
        <v>AB</v>
      </c>
      <c r="S118" s="149" t="str">
        <f>IFERROR(SUM(#REF!,I118,N118),"AB")</f>
        <v>AB</v>
      </c>
      <c r="T118" s="149" t="str">
        <f>IFERROR(SUM(#REF!,J118,O118),"AB")</f>
        <v>AB</v>
      </c>
      <c r="U118" s="149">
        <f t="shared" si="7"/>
        <v>63</v>
      </c>
    </row>
    <row r="119" spans="1:21" ht="15.75">
      <c r="A119" s="147">
        <v>106</v>
      </c>
      <c r="B119" s="171" t="s">
        <v>388</v>
      </c>
      <c r="C119" s="172" t="s">
        <v>205</v>
      </c>
      <c r="D119" s="150">
        <f>'CCE1'!D116+'CCE1'!E116</f>
        <v>12</v>
      </c>
      <c r="E119" s="150">
        <f>'CCE1'!E116+'CCE1'!F116</f>
        <v>11</v>
      </c>
      <c r="F119" s="150">
        <f>'CCE2'!D116</f>
        <v>3</v>
      </c>
      <c r="G119" s="150">
        <f>'CCE2'!E116</f>
        <v>3</v>
      </c>
      <c r="H119" s="150">
        <f>'CCE2'!F116</f>
        <v>4</v>
      </c>
      <c r="I119" s="150">
        <f>'CCE2'!G116</f>
        <v>5</v>
      </c>
      <c r="J119" s="150">
        <f>'CCE2'!H116</f>
        <v>4</v>
      </c>
      <c r="K119" s="150">
        <f>'CCE3'!D116+'CCE3'!E116</f>
        <v>15</v>
      </c>
      <c r="L119" s="150">
        <f>'CCE3'!F116+'CCE3'!G116</f>
        <v>15</v>
      </c>
      <c r="M119" s="150">
        <f>'CCE3'!H116+'CCE3'!I116</f>
        <v>7</v>
      </c>
      <c r="N119" s="150">
        <f>'CCE3'!J116+'CCE3'!K116</f>
        <v>0</v>
      </c>
      <c r="O119" s="150">
        <f>'CCE3'!L116+'CCE3'!M116</f>
        <v>0</v>
      </c>
      <c r="P119" s="149">
        <f t="shared" si="8"/>
        <v>30</v>
      </c>
      <c r="Q119" s="149">
        <f t="shared" si="9"/>
        <v>29</v>
      </c>
      <c r="R119" s="149" t="str">
        <f>IFERROR(SUM(#REF!,H119,M119),"AB")</f>
        <v>AB</v>
      </c>
      <c r="S119" s="149" t="str">
        <f>IFERROR(SUM(#REF!,I119,N119),"AB")</f>
        <v>AB</v>
      </c>
      <c r="T119" s="149" t="str">
        <f>IFERROR(SUM(#REF!,J119,O119),"AB")</f>
        <v>AB</v>
      </c>
      <c r="U119" s="149">
        <f t="shared" si="7"/>
        <v>59</v>
      </c>
    </row>
    <row r="120" spans="1:21" ht="15.75">
      <c r="A120" s="147">
        <v>107</v>
      </c>
      <c r="B120" s="171" t="s">
        <v>389</v>
      </c>
      <c r="C120" s="172" t="s">
        <v>390</v>
      </c>
      <c r="D120" s="150">
        <f>'CCE1'!D117+'CCE1'!E117</f>
        <v>15</v>
      </c>
      <c r="E120" s="150">
        <f>'CCE1'!E117+'CCE1'!F117</f>
        <v>15</v>
      </c>
      <c r="F120" s="150">
        <f>'CCE2'!D117</f>
        <v>3</v>
      </c>
      <c r="G120" s="150">
        <f>'CCE2'!E117</f>
        <v>4</v>
      </c>
      <c r="H120" s="150">
        <f>'CCE2'!F117</f>
        <v>4</v>
      </c>
      <c r="I120" s="150">
        <f>'CCE2'!G117</f>
        <v>5</v>
      </c>
      <c r="J120" s="150">
        <f>'CCE2'!H117</f>
        <v>3</v>
      </c>
      <c r="K120" s="150">
        <f>'CCE3'!D117+'CCE3'!E117</f>
        <v>13</v>
      </c>
      <c r="L120" s="150">
        <f>'CCE3'!F117+'CCE3'!G117</f>
        <v>13</v>
      </c>
      <c r="M120" s="150">
        <f>'CCE3'!H117+'CCE3'!I117</f>
        <v>8</v>
      </c>
      <c r="N120" s="150">
        <f>'CCE3'!J117+'CCE3'!K117</f>
        <v>0</v>
      </c>
      <c r="O120" s="150">
        <f>'CCE3'!L117+'CCE3'!M117</f>
        <v>0</v>
      </c>
      <c r="P120" s="149">
        <f t="shared" si="8"/>
        <v>31</v>
      </c>
      <c r="Q120" s="149">
        <f t="shared" si="9"/>
        <v>32</v>
      </c>
      <c r="R120" s="149" t="str">
        <f>IFERROR(SUM(#REF!,H120,M120),"AB")</f>
        <v>AB</v>
      </c>
      <c r="S120" s="149" t="str">
        <f>IFERROR(SUM(#REF!,I120,N120),"AB")</f>
        <v>AB</v>
      </c>
      <c r="T120" s="149" t="str">
        <f>IFERROR(SUM(#REF!,J120,O120),"AB")</f>
        <v>AB</v>
      </c>
      <c r="U120" s="149">
        <f t="shared" si="7"/>
        <v>63</v>
      </c>
    </row>
    <row r="121" spans="1:21" ht="15.75">
      <c r="A121" s="147">
        <v>108</v>
      </c>
      <c r="B121" s="171" t="s">
        <v>391</v>
      </c>
      <c r="C121" s="172" t="s">
        <v>207</v>
      </c>
      <c r="D121" s="150">
        <f>'CCE1'!D118+'CCE1'!E118</f>
        <v>11</v>
      </c>
      <c r="E121" s="150">
        <f>'CCE1'!E118+'CCE1'!F118</f>
        <v>14</v>
      </c>
      <c r="F121" s="150">
        <f>'CCE2'!D118</f>
        <v>5</v>
      </c>
      <c r="G121" s="150">
        <f>'CCE2'!E118</f>
        <v>5</v>
      </c>
      <c r="H121" s="150">
        <f>'CCE2'!F118</f>
        <v>4</v>
      </c>
      <c r="I121" s="150">
        <f>'CCE2'!G118</f>
        <v>3</v>
      </c>
      <c r="J121" s="150">
        <f>'CCE2'!H118</f>
        <v>5</v>
      </c>
      <c r="K121" s="150">
        <f>'CCE3'!D118+'CCE3'!E118</f>
        <v>15</v>
      </c>
      <c r="L121" s="150">
        <f>'CCE3'!F118+'CCE3'!G118</f>
        <v>10</v>
      </c>
      <c r="M121" s="150">
        <f>'CCE3'!H118+'CCE3'!I118</f>
        <v>6</v>
      </c>
      <c r="N121" s="150">
        <f>'CCE3'!J118+'CCE3'!K118</f>
        <v>0</v>
      </c>
      <c r="O121" s="150">
        <f>'CCE3'!L118+'CCE3'!M118</f>
        <v>0</v>
      </c>
      <c r="P121" s="149">
        <f t="shared" si="8"/>
        <v>31</v>
      </c>
      <c r="Q121" s="149">
        <f t="shared" si="9"/>
        <v>29</v>
      </c>
      <c r="R121" s="149" t="str">
        <f>IFERROR(SUM(#REF!,H121,M121),"AB")</f>
        <v>AB</v>
      </c>
      <c r="S121" s="149" t="str">
        <f>IFERROR(SUM(#REF!,I121,N121),"AB")</f>
        <v>AB</v>
      </c>
      <c r="T121" s="149" t="str">
        <f>IFERROR(SUM(#REF!,J121,O121),"AB")</f>
        <v>AB</v>
      </c>
      <c r="U121" s="149">
        <f t="shared" si="7"/>
        <v>60</v>
      </c>
    </row>
    <row r="122" spans="1:21" ht="15.75">
      <c r="A122" s="147">
        <v>109</v>
      </c>
      <c r="B122" s="171" t="s">
        <v>392</v>
      </c>
      <c r="C122" s="172" t="s">
        <v>232</v>
      </c>
      <c r="D122" s="150"/>
      <c r="E122" s="150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49"/>
      <c r="Q122" s="149"/>
      <c r="R122" s="149"/>
      <c r="S122" s="149"/>
      <c r="T122" s="149"/>
      <c r="U122" s="149"/>
    </row>
    <row r="123" spans="1:21" ht="15.75">
      <c r="A123" s="147">
        <v>110</v>
      </c>
      <c r="B123" s="171" t="s">
        <v>393</v>
      </c>
      <c r="C123" s="172" t="s">
        <v>394</v>
      </c>
      <c r="D123" s="150"/>
      <c r="E123" s="150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49"/>
      <c r="Q123" s="149"/>
      <c r="R123" s="149"/>
      <c r="S123" s="149"/>
      <c r="T123" s="149"/>
      <c r="U123" s="149"/>
    </row>
    <row r="124" spans="1:21" ht="15.75">
      <c r="A124" s="147">
        <v>111</v>
      </c>
      <c r="B124" s="171" t="s">
        <v>395</v>
      </c>
      <c r="C124" s="172" t="s">
        <v>194</v>
      </c>
      <c r="D124" s="150"/>
      <c r="E124" s="150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49"/>
      <c r="Q124" s="149"/>
      <c r="R124" s="149"/>
      <c r="S124" s="149"/>
      <c r="T124" s="149"/>
      <c r="U124" s="149"/>
    </row>
    <row r="125" spans="1:21" ht="15.75">
      <c r="A125" s="147"/>
      <c r="B125" s="145"/>
      <c r="C125" s="146"/>
      <c r="D125" s="150"/>
      <c r="E125" s="150"/>
      <c r="F125" s="150"/>
      <c r="G125" s="150"/>
      <c r="H125" s="150"/>
      <c r="I125" s="150"/>
      <c r="J125" s="150"/>
      <c r="K125" s="150"/>
      <c r="L125" s="150"/>
      <c r="M125" s="150"/>
      <c r="N125" s="150"/>
      <c r="O125" s="150"/>
      <c r="P125" s="149"/>
      <c r="Q125" s="149"/>
      <c r="R125" s="149"/>
      <c r="S125" s="149"/>
      <c r="T125" s="149"/>
      <c r="U125" s="149"/>
    </row>
    <row r="126" spans="1:21" ht="15.75">
      <c r="A126" s="147"/>
      <c r="B126" s="145"/>
      <c r="C126" s="146"/>
      <c r="D126" s="150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49"/>
      <c r="Q126" s="149"/>
      <c r="R126" s="149"/>
      <c r="S126" s="149"/>
      <c r="T126" s="149"/>
      <c r="U126" s="149"/>
    </row>
    <row r="127" spans="1:21" ht="15.75">
      <c r="A127" s="147"/>
      <c r="B127" s="145"/>
      <c r="C127" s="146"/>
      <c r="D127" s="150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49"/>
      <c r="Q127" s="149"/>
      <c r="R127" s="149"/>
      <c r="S127" s="149"/>
      <c r="T127" s="149"/>
      <c r="U127" s="149"/>
    </row>
    <row r="128" spans="1:21" ht="15.6" customHeight="1">
      <c r="A128" s="117"/>
      <c r="B128" s="117"/>
      <c r="C128" s="118" t="str">
        <f>CONCATENATE("No of students more than ",P6* 100, "% = (x)")</f>
        <v>No of students more than 60% = (x)</v>
      </c>
      <c r="D128" s="116">
        <f>COUNTIF(D14:D121,CONCATENATE("&gt;=",$D$13*$P$6))</f>
        <v>84</v>
      </c>
      <c r="E128" s="116">
        <f>COUNTIF(E14:E121,CONCATENATE("&gt;=",$E$13*$P$6))</f>
        <v>108</v>
      </c>
      <c r="F128" s="116">
        <f>COUNTIF(F14:F121,CONCATENATE("&gt;=",$F$13*$P$6))</f>
        <v>102</v>
      </c>
      <c r="G128" s="116">
        <f>COUNTIF(G14:G121,CONCATENATE("&gt;=",$G$13*$P$6))</f>
        <v>102</v>
      </c>
      <c r="H128" s="116">
        <f>COUNTIF(H14:H121,CONCATENATE("&gt;=",$D$13*$P$6))</f>
        <v>0</v>
      </c>
      <c r="I128" s="116">
        <f>COUNTIF(I14:I121,CONCATENATE("&gt;=",$D$13*$P$6))</f>
        <v>0</v>
      </c>
      <c r="J128" s="116">
        <f>COUNTIF(J14:J121,CONCATENATE("&gt;=",$D$13*$P$6))</f>
        <v>0</v>
      </c>
      <c r="K128" s="116">
        <f>COUNTIF(K14:K121,CONCATENATE("&gt;=",$K$13*$P$6))</f>
        <v>0</v>
      </c>
      <c r="L128" s="116">
        <f>COUNTIF(L14:L121,CONCATENATE("&gt;=",$L$13*$P$6))</f>
        <v>0</v>
      </c>
      <c r="M128" s="116">
        <f>COUNTIF(M14:M121,CONCATENATE("&gt;=",$M$13*$P$6))</f>
        <v>0</v>
      </c>
      <c r="N128" s="116">
        <f>COUNTIF(N14:N121,CONCATENATE("&gt;=",$N$13*$P$6))</f>
        <v>108</v>
      </c>
      <c r="O128" s="116">
        <f>COUNTIF(O14:O121,CONCATENATE("&gt;=",$O$13*$P$6))</f>
        <v>108</v>
      </c>
      <c r="P128" s="116">
        <f>COUNTIF(P14:P121,CONCATENATE("&gt;=",$P$13*$P$6))</f>
        <v>0</v>
      </c>
      <c r="Q128" s="116">
        <f>COUNTIF(Q14:Q121,CONCATENATE("&gt;=",$Q$13*$P$6))</f>
        <v>0</v>
      </c>
      <c r="R128" s="116">
        <f>COUNTIF(R14:R121,CONCATENATE("&gt;=",$R$13*$P$6))</f>
        <v>0</v>
      </c>
      <c r="S128" s="116">
        <f>COUNTIF(S14:S121,CONCATENATE("&gt;=",$S$13*$P$6))</f>
        <v>0</v>
      </c>
      <c r="T128" s="116">
        <f>COUNTIF(T14:T121,CONCATENATE("&gt;=",$T$13*$P$6))</f>
        <v>0</v>
      </c>
      <c r="U128" s="116">
        <f>COUNTIF(U14:U121,CONCATENATE("&gt;=",$U$13*$P$6))</f>
        <v>0</v>
      </c>
    </row>
    <row r="129" spans="1:21">
      <c r="A129" s="119"/>
      <c r="B129" s="119"/>
      <c r="C129" s="119" t="s">
        <v>26</v>
      </c>
      <c r="D129" s="116">
        <f t="shared" ref="D129:U129" si="10">COUNT(D14:D121)</f>
        <v>108</v>
      </c>
      <c r="E129" s="116">
        <f t="shared" si="10"/>
        <v>108</v>
      </c>
      <c r="F129" s="116">
        <f t="shared" si="10"/>
        <v>108</v>
      </c>
      <c r="G129" s="116">
        <f t="shared" si="10"/>
        <v>108</v>
      </c>
      <c r="H129" s="116">
        <f t="shared" si="10"/>
        <v>108</v>
      </c>
      <c r="I129" s="116">
        <f t="shared" si="10"/>
        <v>108</v>
      </c>
      <c r="J129" s="116">
        <f t="shared" si="10"/>
        <v>108</v>
      </c>
      <c r="K129" s="116">
        <f t="shared" si="10"/>
        <v>108</v>
      </c>
      <c r="L129" s="116">
        <f t="shared" si="10"/>
        <v>108</v>
      </c>
      <c r="M129" s="116">
        <f t="shared" si="10"/>
        <v>108</v>
      </c>
      <c r="N129" s="116">
        <f t="shared" si="10"/>
        <v>108</v>
      </c>
      <c r="O129" s="116">
        <f t="shared" si="10"/>
        <v>108</v>
      </c>
      <c r="P129" s="116">
        <f t="shared" si="10"/>
        <v>108</v>
      </c>
      <c r="Q129" s="116">
        <f t="shared" si="10"/>
        <v>108</v>
      </c>
      <c r="R129" s="116">
        <f t="shared" si="10"/>
        <v>0</v>
      </c>
      <c r="S129" s="116">
        <f t="shared" si="10"/>
        <v>0</v>
      </c>
      <c r="T129" s="116">
        <f t="shared" si="10"/>
        <v>0</v>
      </c>
      <c r="U129" s="116">
        <f t="shared" si="10"/>
        <v>108</v>
      </c>
    </row>
    <row r="130" spans="1:21">
      <c r="A130" s="119"/>
      <c r="B130" s="119"/>
      <c r="C130" s="119" t="s">
        <v>29</v>
      </c>
      <c r="D130" s="121">
        <f t="shared" ref="D130:U130" si="11">IFERROR(D128/D129,"NA")*100</f>
        <v>77.777777777777786</v>
      </c>
      <c r="E130" s="121">
        <f t="shared" si="11"/>
        <v>100</v>
      </c>
      <c r="F130" s="121">
        <f t="shared" si="11"/>
        <v>94.444444444444443</v>
      </c>
      <c r="G130" s="121">
        <f t="shared" si="11"/>
        <v>94.444444444444443</v>
      </c>
      <c r="H130" s="121" t="s">
        <v>142</v>
      </c>
      <c r="I130" s="121" t="s">
        <v>142</v>
      </c>
      <c r="J130" s="121" t="s">
        <v>142</v>
      </c>
      <c r="K130" s="121">
        <f t="shared" si="11"/>
        <v>0</v>
      </c>
      <c r="L130" s="121">
        <f t="shared" si="11"/>
        <v>0</v>
      </c>
      <c r="M130" s="121">
        <f t="shared" si="11"/>
        <v>0</v>
      </c>
      <c r="N130" s="121">
        <f t="shared" si="11"/>
        <v>100</v>
      </c>
      <c r="O130" s="121">
        <f t="shared" si="11"/>
        <v>100</v>
      </c>
      <c r="P130" s="121">
        <f t="shared" si="11"/>
        <v>0</v>
      </c>
      <c r="Q130" s="121">
        <f t="shared" si="11"/>
        <v>0</v>
      </c>
      <c r="R130" s="121" t="e">
        <f t="shared" si="11"/>
        <v>#VALUE!</v>
      </c>
      <c r="S130" s="121" t="e">
        <f t="shared" si="11"/>
        <v>#VALUE!</v>
      </c>
      <c r="T130" s="121" t="e">
        <f t="shared" si="11"/>
        <v>#VALUE!</v>
      </c>
      <c r="U130" s="121">
        <f t="shared" si="11"/>
        <v>0</v>
      </c>
    </row>
    <row r="131" spans="1:21" ht="15.6" customHeight="1">
      <c r="A131" s="120"/>
      <c r="B131" s="119"/>
      <c r="C131" s="118" t="s">
        <v>27</v>
      </c>
      <c r="D131" s="116">
        <f t="shared" ref="D131:U131" si="12">IF(D130&lt;&gt;"NA",IF(D130&gt;=$K6,$I6,IF(D130&gt;=$K7,$I7,IF(D130&gt;=$K8,$I8,"0"))),"NA")</f>
        <v>3</v>
      </c>
      <c r="E131" s="116">
        <f t="shared" si="12"/>
        <v>3</v>
      </c>
      <c r="F131" s="116">
        <f t="shared" si="12"/>
        <v>3</v>
      </c>
      <c r="G131" s="116">
        <f t="shared" si="12"/>
        <v>3</v>
      </c>
      <c r="H131" s="116" t="str">
        <f t="shared" si="12"/>
        <v>NA</v>
      </c>
      <c r="I131" s="116" t="str">
        <f t="shared" si="12"/>
        <v>NA</v>
      </c>
      <c r="J131" s="116" t="str">
        <f t="shared" si="12"/>
        <v>NA</v>
      </c>
      <c r="K131" s="116" t="str">
        <f t="shared" si="12"/>
        <v>0</v>
      </c>
      <c r="L131" s="116" t="str">
        <f t="shared" si="12"/>
        <v>0</v>
      </c>
      <c r="M131" s="116" t="str">
        <f t="shared" si="12"/>
        <v>0</v>
      </c>
      <c r="N131" s="116">
        <f t="shared" si="12"/>
        <v>3</v>
      </c>
      <c r="O131" s="116">
        <f t="shared" si="12"/>
        <v>3</v>
      </c>
      <c r="P131" s="116" t="str">
        <f t="shared" si="12"/>
        <v>0</v>
      </c>
      <c r="Q131" s="116" t="str">
        <f t="shared" si="12"/>
        <v>0</v>
      </c>
      <c r="R131" s="116" t="e">
        <f t="shared" si="12"/>
        <v>#VALUE!</v>
      </c>
      <c r="S131" s="116" t="e">
        <f t="shared" si="12"/>
        <v>#VALUE!</v>
      </c>
      <c r="T131" s="116" t="e">
        <f t="shared" si="12"/>
        <v>#VALUE!</v>
      </c>
      <c r="U131" s="116" t="str">
        <f t="shared" si="12"/>
        <v>0</v>
      </c>
    </row>
    <row r="133" spans="1:21" ht="25.5">
      <c r="C133" s="60" t="s">
        <v>54</v>
      </c>
      <c r="D133" s="123" t="e">
        <f>AVERAGE(P131:T131)</f>
        <v>#VALUE!</v>
      </c>
      <c r="E133" s="123" t="e">
        <f>AVERAGE(D130:U130)</f>
        <v>#VALUE!</v>
      </c>
    </row>
    <row r="135" spans="1:21">
      <c r="A135"/>
      <c r="B135"/>
      <c r="C135"/>
      <c r="D135"/>
      <c r="E135"/>
      <c r="F135"/>
      <c r="G135"/>
      <c r="H135"/>
      <c r="I135"/>
      <c r="J135"/>
    </row>
    <row r="136" spans="1:21">
      <c r="A136"/>
      <c r="B136"/>
      <c r="C136"/>
      <c r="D136"/>
      <c r="E136"/>
      <c r="F136"/>
      <c r="G136"/>
      <c r="H136"/>
      <c r="I136"/>
      <c r="J136"/>
    </row>
    <row r="137" spans="1:21">
      <c r="A137"/>
      <c r="B137"/>
      <c r="C137"/>
      <c r="D137"/>
      <c r="E137"/>
      <c r="F137"/>
      <c r="G137"/>
      <c r="H137"/>
      <c r="I137"/>
      <c r="J137"/>
    </row>
    <row r="138" spans="1:21">
      <c r="A138"/>
      <c r="B138" s="7" t="str">
        <f>Faculty</f>
        <v>Narsareddy Chude, Sonali Late</v>
      </c>
      <c r="C138"/>
      <c r="D138"/>
      <c r="E138"/>
      <c r="F138"/>
      <c r="G138"/>
      <c r="H138"/>
      <c r="I138"/>
      <c r="J138"/>
    </row>
    <row r="139" spans="1:21">
      <c r="A139"/>
      <c r="B139"/>
      <c r="C139"/>
      <c r="D139"/>
      <c r="E139"/>
      <c r="F139"/>
      <c r="G139"/>
      <c r="H139"/>
      <c r="I139"/>
      <c r="J139"/>
    </row>
    <row r="140" spans="1:21" ht="15.75">
      <c r="A140" s="70"/>
      <c r="B140" s="70"/>
      <c r="C140"/>
      <c r="D140" s="221"/>
      <c r="E140" s="221"/>
      <c r="F140" s="89"/>
      <c r="G140" s="70"/>
      <c r="H140"/>
      <c r="I140" s="70"/>
      <c r="J140" s="39"/>
    </row>
    <row r="141" spans="1:21" ht="15.75">
      <c r="A141" s="70"/>
      <c r="B141" s="70"/>
      <c r="C141"/>
      <c r="D141" s="221"/>
      <c r="E141" s="221"/>
      <c r="F141" s="89"/>
      <c r="G141" s="70"/>
      <c r="H141"/>
      <c r="I141" s="70"/>
      <c r="J141" s="39"/>
    </row>
    <row r="142" spans="1:21" ht="15.75">
      <c r="A142"/>
      <c r="B142"/>
      <c r="C142"/>
      <c r="D142"/>
      <c r="E142"/>
      <c r="F142" s="2"/>
      <c r="G142"/>
      <c r="H142"/>
      <c r="I142"/>
      <c r="J142" s="3"/>
    </row>
    <row r="143" spans="1:21" ht="15.75">
      <c r="A143" s="1"/>
      <c r="B143" s="1"/>
      <c r="C143" s="1"/>
      <c r="D143" s="2"/>
      <c r="E143" s="2"/>
      <c r="F143" s="2"/>
      <c r="G143" s="2"/>
      <c r="H143" s="2"/>
      <c r="I143" s="2"/>
      <c r="J143" s="3"/>
    </row>
    <row r="144" spans="1:21" s="27" customFormat="1" ht="15.75">
      <c r="A144" s="221" t="str">
        <f>SubjectDetails!A24</f>
        <v>Dr. Ravi Chourasiya</v>
      </c>
      <c r="B144" s="221"/>
      <c r="C144" s="221"/>
      <c r="D144" s="224" t="str">
        <f>SubjectDetails!E24</f>
        <v>Dr. Ashwini Chavan</v>
      </c>
      <c r="E144" s="224"/>
      <c r="F144" s="222"/>
      <c r="G144" s="222"/>
      <c r="H144"/>
      <c r="I144" s="70"/>
      <c r="J144" s="39"/>
      <c r="K144" s="260" t="str">
        <f>SubjectDetails!H24</f>
        <v>Dr. Priyanka Singh</v>
      </c>
      <c r="L144" s="260"/>
      <c r="M144" s="260"/>
    </row>
    <row r="145" spans="1:13" s="27" customFormat="1" ht="15.75">
      <c r="A145" s="221" t="str">
        <f>SubjectDetails!A25</f>
        <v>(College Examination Officer)</v>
      </c>
      <c r="B145" s="221"/>
      <c r="C145" s="221"/>
      <c r="D145" s="224" t="str">
        <f>SubjectDetails!E25</f>
        <v>HOD (MCA)</v>
      </c>
      <c r="E145" s="224"/>
      <c r="F145" s="222"/>
      <c r="G145" s="222"/>
      <c r="H145"/>
      <c r="I145" s="70"/>
      <c r="J145" s="39"/>
      <c r="K145" s="260" t="str">
        <f>SubjectDetails!H25</f>
        <v>Director</v>
      </c>
      <c r="L145" s="260"/>
      <c r="M145" s="260"/>
    </row>
  </sheetData>
  <mergeCells count="29">
    <mergeCell ref="A1:U1"/>
    <mergeCell ref="A2:U2"/>
    <mergeCell ref="A3:U3"/>
    <mergeCell ref="A4:U4"/>
    <mergeCell ref="L6:O8"/>
    <mergeCell ref="F6:H8"/>
    <mergeCell ref="I6:J6"/>
    <mergeCell ref="I7:J7"/>
    <mergeCell ref="I8:J8"/>
    <mergeCell ref="D140:E140"/>
    <mergeCell ref="D141:E141"/>
    <mergeCell ref="D11:E11"/>
    <mergeCell ref="P6:P8"/>
    <mergeCell ref="F11:J11"/>
    <mergeCell ref="A10:U10"/>
    <mergeCell ref="U11:U12"/>
    <mergeCell ref="P11:T11"/>
    <mergeCell ref="A11:A13"/>
    <mergeCell ref="B11:B13"/>
    <mergeCell ref="C11:C13"/>
    <mergeCell ref="K11:O11"/>
    <mergeCell ref="K145:M145"/>
    <mergeCell ref="K144:M144"/>
    <mergeCell ref="A144:C144"/>
    <mergeCell ref="A145:C145"/>
    <mergeCell ref="D144:E144"/>
    <mergeCell ref="D145:E145"/>
    <mergeCell ref="F144:G144"/>
    <mergeCell ref="F145:G145"/>
  </mergeCells>
  <pageMargins left="0.7" right="0.7" top="0.75" bottom="0.75" header="0.3" footer="0.3"/>
  <pageSetup scale="52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9"/>
  <sheetViews>
    <sheetView topLeftCell="A4" zoomScaleNormal="100" workbookViewId="0">
      <selection activeCell="D126" sqref="D126"/>
    </sheetView>
  </sheetViews>
  <sheetFormatPr defaultColWidth="8.85546875" defaultRowHeight="12.75"/>
  <cols>
    <col min="1" max="1" width="8.85546875" style="7"/>
    <col min="2" max="2" width="17.5703125" style="7" customWidth="1"/>
    <col min="3" max="3" width="41.42578125" style="7" bestFit="1" customWidth="1"/>
    <col min="4" max="4" width="16.42578125" style="7" customWidth="1"/>
    <col min="5" max="9" width="8" style="7" customWidth="1"/>
    <col min="10" max="10" width="11.28515625" style="7" customWidth="1"/>
    <col min="11" max="11" width="6.28515625" style="7" customWidth="1"/>
    <col min="12" max="15" width="7.7109375" style="7" customWidth="1"/>
    <col min="16" max="16" width="9" style="7" bestFit="1" customWidth="1"/>
    <col min="17" max="16384" width="8.85546875" style="7"/>
  </cols>
  <sheetData>
    <row r="1" spans="1:24" ht="18.75">
      <c r="A1" s="232" t="s">
        <v>94</v>
      </c>
      <c r="B1" s="233"/>
      <c r="C1" s="233"/>
      <c r="D1" s="233"/>
      <c r="E1" s="233"/>
      <c r="F1" s="233"/>
      <c r="G1" s="233"/>
      <c r="H1" s="233"/>
      <c r="I1" s="233"/>
      <c r="J1" s="23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</row>
    <row r="2" spans="1:24" ht="23.45" customHeight="1">
      <c r="A2" s="234" t="s">
        <v>95</v>
      </c>
      <c r="B2" s="235"/>
      <c r="C2" s="235"/>
      <c r="D2" s="235"/>
      <c r="E2" s="235"/>
      <c r="F2" s="235"/>
      <c r="G2" s="235"/>
      <c r="H2" s="235"/>
      <c r="I2" s="235"/>
      <c r="J2" s="235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</row>
    <row r="3" spans="1:24" ht="13.9" customHeight="1">
      <c r="A3" s="236" t="s">
        <v>96</v>
      </c>
      <c r="B3" s="237"/>
      <c r="C3" s="237"/>
      <c r="D3" s="237"/>
      <c r="E3" s="237"/>
      <c r="F3" s="237"/>
      <c r="G3" s="237"/>
      <c r="H3" s="237"/>
      <c r="I3" s="237"/>
      <c r="J3" s="237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</row>
    <row r="4" spans="1:24" ht="13.9" customHeight="1">
      <c r="A4" s="236" t="s">
        <v>9</v>
      </c>
      <c r="B4" s="237"/>
      <c r="C4" s="237"/>
      <c r="D4" s="237"/>
      <c r="E4" s="237"/>
      <c r="F4" s="237"/>
      <c r="G4" s="237"/>
      <c r="H4" s="237"/>
      <c r="I4" s="237"/>
      <c r="J4" s="237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</row>
    <row r="5" spans="1:24" ht="15.75" thickBo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24" ht="15.75">
      <c r="A6" s="340" t="str">
        <f>CONCATENATE("Faculty Name: ", Faculty)</f>
        <v>Faculty Name: Narsareddy Chude, Sonali Late</v>
      </c>
      <c r="B6" s="340"/>
      <c r="C6" s="341"/>
      <c r="D6" s="342" t="s">
        <v>141</v>
      </c>
      <c r="E6" s="343"/>
      <c r="F6" s="52">
        <v>3</v>
      </c>
      <c r="G6" s="53">
        <v>0.7</v>
      </c>
      <c r="H6" s="350" t="s">
        <v>32</v>
      </c>
      <c r="I6" s="351"/>
      <c r="J6" s="356">
        <v>0.6</v>
      </c>
      <c r="K6" s="21"/>
      <c r="L6" s="21"/>
      <c r="P6" s="6"/>
      <c r="Q6" s="6"/>
      <c r="R6" s="6"/>
      <c r="S6" s="6"/>
    </row>
    <row r="7" spans="1:24" ht="15.75">
      <c r="A7" s="338" t="str">
        <f>CONCATENATE("Subject Name &amp; Code: ", Sub_Code)</f>
        <v>Subject Name &amp; Code: Java Programming</v>
      </c>
      <c r="B7" s="338"/>
      <c r="C7" s="339"/>
      <c r="D7" s="344"/>
      <c r="E7" s="345"/>
      <c r="F7" s="54">
        <v>2</v>
      </c>
      <c r="G7" s="55">
        <v>0.6</v>
      </c>
      <c r="H7" s="352"/>
      <c r="I7" s="353"/>
      <c r="J7" s="357"/>
      <c r="K7" s="12"/>
      <c r="L7" s="12"/>
      <c r="P7" s="12"/>
      <c r="Q7" s="6"/>
      <c r="R7" s="6"/>
      <c r="S7" s="6"/>
    </row>
    <row r="8" spans="1:24" ht="16.5" thickBot="1">
      <c r="A8" s="340" t="str">
        <f>CONCATENATE("Class: ",Class_AY)</f>
        <v>Class: MCA I SEM I AY 2023-24</v>
      </c>
      <c r="B8" s="340"/>
      <c r="C8" s="341"/>
      <c r="D8" s="346"/>
      <c r="E8" s="347"/>
      <c r="F8" s="56">
        <v>1</v>
      </c>
      <c r="G8" s="57">
        <v>0.5</v>
      </c>
      <c r="H8" s="354"/>
      <c r="I8" s="355"/>
      <c r="J8" s="358"/>
      <c r="K8" s="6"/>
      <c r="L8" s="6"/>
      <c r="P8" s="6"/>
      <c r="Q8" s="6"/>
      <c r="R8" s="6"/>
      <c r="S8" s="6"/>
    </row>
    <row r="9" spans="1:24" ht="13.5" thickBot="1"/>
    <row r="10" spans="1:24" ht="21" thickBot="1">
      <c r="A10" s="334" t="s">
        <v>30</v>
      </c>
      <c r="B10" s="335"/>
      <c r="C10" s="335"/>
      <c r="D10" s="336"/>
      <c r="E10" s="336"/>
      <c r="F10" s="336"/>
      <c r="G10" s="336"/>
      <c r="H10" s="336"/>
      <c r="I10" s="336"/>
      <c r="J10" s="337"/>
      <c r="K10" s="14"/>
      <c r="L10" s="14"/>
      <c r="M10" s="14"/>
      <c r="N10" s="14"/>
      <c r="O10" s="14"/>
      <c r="P10" s="14"/>
    </row>
    <row r="11" spans="1:24">
      <c r="A11" s="310" t="s">
        <v>0</v>
      </c>
      <c r="B11" s="313" t="s">
        <v>6</v>
      </c>
      <c r="C11" s="348" t="s">
        <v>1</v>
      </c>
      <c r="D11" s="331" t="s">
        <v>31</v>
      </c>
      <c r="E11" s="198"/>
      <c r="F11" s="198"/>
      <c r="G11" s="198"/>
      <c r="H11" s="198"/>
      <c r="I11" s="198"/>
      <c r="J11" s="199"/>
      <c r="K11" s="15"/>
      <c r="L11" s="15"/>
      <c r="M11" s="15"/>
      <c r="N11" s="15"/>
      <c r="O11" s="15"/>
      <c r="P11" s="333"/>
    </row>
    <row r="12" spans="1:24">
      <c r="A12" s="311"/>
      <c r="B12" s="302"/>
      <c r="C12" s="349"/>
      <c r="D12" s="332"/>
      <c r="E12" s="200"/>
      <c r="F12" s="200"/>
      <c r="G12" s="200"/>
      <c r="H12" s="200"/>
      <c r="I12" s="200"/>
      <c r="J12" s="201"/>
      <c r="K12" s="16"/>
      <c r="L12" s="17"/>
      <c r="M12" s="17"/>
      <c r="N12" s="17"/>
      <c r="O12" s="17"/>
      <c r="P12" s="333"/>
    </row>
    <row r="13" spans="1:24" ht="19.5" thickBot="1">
      <c r="A13" s="311"/>
      <c r="B13" s="302"/>
      <c r="C13" s="349"/>
      <c r="D13" s="169">
        <v>50</v>
      </c>
      <c r="E13" s="202"/>
      <c r="F13" s="202"/>
      <c r="G13" s="202"/>
      <c r="H13" s="202"/>
      <c r="I13" s="202"/>
      <c r="J13" s="203"/>
      <c r="K13" s="16"/>
      <c r="L13" s="17"/>
      <c r="M13" s="17"/>
      <c r="N13" s="17"/>
      <c r="O13" s="17"/>
      <c r="P13" s="17"/>
    </row>
    <row r="14" spans="1:24" ht="15.75">
      <c r="A14" s="59">
        <v>1</v>
      </c>
      <c r="B14" s="190">
        <v>2032303491</v>
      </c>
      <c r="C14" s="191" t="s">
        <v>189</v>
      </c>
      <c r="D14" s="192">
        <v>33</v>
      </c>
      <c r="E14" s="164"/>
      <c r="F14" s="164"/>
      <c r="G14" s="164"/>
      <c r="H14" s="164"/>
      <c r="I14" s="164"/>
      <c r="J14" s="164"/>
      <c r="K14" s="18"/>
      <c r="L14" s="19"/>
      <c r="M14" s="19"/>
      <c r="N14" s="19"/>
      <c r="O14" s="19"/>
      <c r="P14" s="19"/>
    </row>
    <row r="15" spans="1:24" ht="15.75">
      <c r="A15" s="59">
        <v>2</v>
      </c>
      <c r="B15" s="190">
        <v>2032303500</v>
      </c>
      <c r="C15" s="191" t="s">
        <v>198</v>
      </c>
      <c r="D15" s="192">
        <v>32</v>
      </c>
      <c r="E15" s="164"/>
      <c r="F15" s="164"/>
      <c r="G15" s="164"/>
      <c r="H15" s="164"/>
      <c r="I15" s="164"/>
      <c r="J15" s="164"/>
      <c r="K15" s="18"/>
      <c r="L15" s="19"/>
      <c r="M15" s="19"/>
      <c r="N15" s="19"/>
      <c r="O15" s="19"/>
      <c r="P15" s="19"/>
    </row>
    <row r="16" spans="1:24" ht="15.75">
      <c r="A16" s="59">
        <v>3</v>
      </c>
      <c r="B16" s="190">
        <v>2032303484</v>
      </c>
      <c r="C16" s="191" t="s">
        <v>182</v>
      </c>
      <c r="D16" s="192">
        <v>30</v>
      </c>
      <c r="E16" s="164"/>
      <c r="F16" s="164"/>
      <c r="G16" s="164"/>
      <c r="H16" s="164"/>
      <c r="I16" s="164"/>
      <c r="J16" s="164"/>
      <c r="K16" s="18"/>
      <c r="L16" s="19"/>
      <c r="M16" s="19"/>
      <c r="N16" s="19"/>
      <c r="O16" s="19"/>
      <c r="P16" s="19"/>
    </row>
    <row r="17" spans="1:16" ht="15.75">
      <c r="A17" s="137">
        <v>4</v>
      </c>
      <c r="B17" s="190">
        <v>2032303481</v>
      </c>
      <c r="C17" s="191" t="s">
        <v>179</v>
      </c>
      <c r="D17" s="192">
        <v>27</v>
      </c>
      <c r="E17" s="164"/>
      <c r="F17" s="164"/>
      <c r="G17" s="164"/>
      <c r="H17" s="164"/>
      <c r="I17" s="164"/>
      <c r="J17" s="164"/>
      <c r="K17" s="18"/>
      <c r="L17" s="19"/>
      <c r="M17" s="19"/>
      <c r="N17" s="19"/>
      <c r="O17" s="19"/>
      <c r="P17" s="19"/>
    </row>
    <row r="18" spans="1:16" ht="15.75">
      <c r="A18" s="137">
        <v>5</v>
      </c>
      <c r="B18" s="190">
        <v>2032303483</v>
      </c>
      <c r="C18" s="191" t="s">
        <v>181</v>
      </c>
      <c r="D18" s="192">
        <v>31</v>
      </c>
      <c r="E18" s="164"/>
      <c r="F18" s="164"/>
      <c r="G18" s="164"/>
      <c r="H18" s="164"/>
      <c r="I18" s="164"/>
      <c r="J18" s="164"/>
      <c r="K18" s="18"/>
      <c r="L18" s="19"/>
      <c r="M18" s="19"/>
      <c r="N18" s="19"/>
      <c r="O18" s="19"/>
      <c r="P18" s="19"/>
    </row>
    <row r="19" spans="1:16" ht="15.75">
      <c r="A19" s="137">
        <v>6</v>
      </c>
      <c r="B19" s="190">
        <v>2032303463</v>
      </c>
      <c r="C19" s="191" t="s">
        <v>161</v>
      </c>
      <c r="D19" s="192">
        <v>31</v>
      </c>
      <c r="E19" s="164"/>
      <c r="F19" s="164"/>
      <c r="G19" s="164"/>
      <c r="H19" s="164"/>
      <c r="I19" s="164"/>
      <c r="J19" s="164"/>
      <c r="K19" s="18"/>
      <c r="L19" s="19"/>
      <c r="M19" s="19"/>
      <c r="N19" s="19"/>
      <c r="O19" s="19"/>
      <c r="P19" s="19"/>
    </row>
    <row r="20" spans="1:16" ht="15.75">
      <c r="A20" s="137">
        <v>7</v>
      </c>
      <c r="B20" s="190">
        <v>2032303487</v>
      </c>
      <c r="C20" s="191" t="s">
        <v>185</v>
      </c>
      <c r="D20" s="192">
        <v>32</v>
      </c>
      <c r="E20" s="164"/>
      <c r="F20" s="164"/>
      <c r="G20" s="164"/>
      <c r="H20" s="164"/>
      <c r="I20" s="164"/>
      <c r="J20" s="164"/>
      <c r="K20" s="18"/>
      <c r="L20" s="19"/>
      <c r="M20" s="19"/>
      <c r="N20" s="19"/>
      <c r="O20" s="19"/>
      <c r="P20" s="19"/>
    </row>
    <row r="21" spans="1:16" ht="15.75">
      <c r="A21" s="137">
        <v>8</v>
      </c>
      <c r="B21" s="190">
        <v>2032303455</v>
      </c>
      <c r="C21" s="191" t="s">
        <v>153</v>
      </c>
      <c r="D21" s="192">
        <v>33</v>
      </c>
      <c r="E21" s="164"/>
      <c r="F21" s="164"/>
      <c r="G21" s="164"/>
      <c r="H21" s="164"/>
      <c r="I21" s="164"/>
      <c r="J21" s="164"/>
      <c r="K21" s="18"/>
      <c r="L21" s="19"/>
      <c r="M21" s="19"/>
      <c r="N21" s="19"/>
      <c r="O21" s="19"/>
      <c r="P21" s="19"/>
    </row>
    <row r="22" spans="1:16" ht="15.75">
      <c r="A22" s="137">
        <v>9</v>
      </c>
      <c r="B22" s="190">
        <v>2032303516</v>
      </c>
      <c r="C22" s="191" t="s">
        <v>213</v>
      </c>
      <c r="D22" s="192">
        <v>27</v>
      </c>
      <c r="E22" s="164"/>
      <c r="F22" s="164"/>
      <c r="G22" s="164"/>
      <c r="H22" s="164"/>
      <c r="I22" s="164"/>
      <c r="J22" s="164"/>
      <c r="K22" s="18"/>
      <c r="L22" s="19"/>
      <c r="M22" s="19"/>
      <c r="N22" s="19"/>
      <c r="O22" s="19"/>
      <c r="P22" s="19"/>
    </row>
    <row r="23" spans="1:16" ht="15.75">
      <c r="A23" s="137">
        <v>10</v>
      </c>
      <c r="B23" s="190">
        <v>2032303515</v>
      </c>
      <c r="C23" s="191" t="s">
        <v>212</v>
      </c>
      <c r="D23" s="192">
        <v>34</v>
      </c>
      <c r="E23" s="164"/>
      <c r="F23" s="164"/>
      <c r="G23" s="164"/>
      <c r="H23" s="164"/>
      <c r="I23" s="164"/>
      <c r="J23" s="164"/>
      <c r="K23" s="18"/>
      <c r="L23" s="19"/>
      <c r="M23" s="19"/>
      <c r="N23" s="19"/>
      <c r="O23" s="19"/>
      <c r="P23" s="19"/>
    </row>
    <row r="24" spans="1:16" ht="15.75">
      <c r="A24" s="137">
        <v>11</v>
      </c>
      <c r="B24" s="190">
        <v>2032303502</v>
      </c>
      <c r="C24" s="191" t="s">
        <v>200</v>
      </c>
      <c r="D24" s="192">
        <v>30</v>
      </c>
      <c r="E24" s="164"/>
      <c r="F24" s="164"/>
      <c r="G24" s="164"/>
      <c r="H24" s="164"/>
      <c r="I24" s="164"/>
      <c r="J24" s="164"/>
      <c r="K24" s="18"/>
      <c r="L24" s="19"/>
      <c r="M24" s="19"/>
      <c r="N24" s="19"/>
      <c r="O24" s="19"/>
      <c r="P24" s="19"/>
    </row>
    <row r="25" spans="1:16" ht="15.75">
      <c r="A25" s="137">
        <v>12</v>
      </c>
      <c r="B25" s="190">
        <v>2032303513</v>
      </c>
      <c r="C25" s="191" t="s">
        <v>210</v>
      </c>
      <c r="D25" s="192">
        <v>27</v>
      </c>
      <c r="E25" s="164"/>
      <c r="F25" s="164"/>
      <c r="G25" s="164"/>
      <c r="H25" s="164"/>
      <c r="I25" s="164"/>
      <c r="J25" s="164"/>
      <c r="K25" s="18"/>
      <c r="L25" s="19"/>
      <c r="M25" s="19"/>
      <c r="N25" s="19"/>
      <c r="O25" s="19"/>
      <c r="P25" s="19"/>
    </row>
    <row r="26" spans="1:16" ht="15.75">
      <c r="A26" s="137">
        <v>13</v>
      </c>
      <c r="B26" s="190">
        <v>2032303538</v>
      </c>
      <c r="C26" s="191" t="s">
        <v>235</v>
      </c>
      <c r="D26" s="192">
        <v>37</v>
      </c>
      <c r="E26" s="164"/>
      <c r="F26" s="164"/>
      <c r="G26" s="164"/>
      <c r="H26" s="164"/>
      <c r="I26" s="164"/>
      <c r="J26" s="164"/>
      <c r="K26" s="18"/>
      <c r="L26" s="19"/>
      <c r="M26" s="19"/>
      <c r="N26" s="19"/>
      <c r="O26" s="19"/>
      <c r="P26" s="19"/>
    </row>
    <row r="27" spans="1:16" ht="15.75">
      <c r="A27" s="137">
        <v>14</v>
      </c>
      <c r="B27" s="190">
        <v>2032303478</v>
      </c>
      <c r="C27" s="191" t="s">
        <v>176</v>
      </c>
      <c r="D27" s="192">
        <v>34</v>
      </c>
      <c r="E27" s="164"/>
      <c r="F27" s="164"/>
      <c r="G27" s="164"/>
      <c r="H27" s="164"/>
      <c r="I27" s="164"/>
      <c r="J27" s="164"/>
      <c r="K27" s="18"/>
      <c r="L27" s="19"/>
      <c r="M27" s="19"/>
      <c r="N27" s="19"/>
      <c r="O27" s="19"/>
      <c r="P27" s="19"/>
    </row>
    <row r="28" spans="1:16" ht="15.75">
      <c r="A28" s="137">
        <v>15</v>
      </c>
      <c r="B28" s="190">
        <v>2032303464</v>
      </c>
      <c r="C28" s="191" t="s">
        <v>162</v>
      </c>
      <c r="D28" s="192">
        <v>33</v>
      </c>
      <c r="E28" s="164"/>
      <c r="F28" s="164"/>
      <c r="G28" s="164"/>
      <c r="H28" s="164"/>
      <c r="I28" s="164"/>
      <c r="J28" s="164"/>
      <c r="K28" s="18"/>
      <c r="L28" s="19"/>
      <c r="M28" s="19"/>
      <c r="N28" s="19"/>
      <c r="O28" s="19"/>
      <c r="P28" s="19"/>
    </row>
    <row r="29" spans="1:16" ht="15.75">
      <c r="A29" s="137">
        <v>16</v>
      </c>
      <c r="B29" s="190">
        <v>2032303528</v>
      </c>
      <c r="C29" s="191" t="s">
        <v>225</v>
      </c>
      <c r="D29" s="192">
        <v>31</v>
      </c>
      <c r="E29" s="164"/>
      <c r="F29" s="164"/>
      <c r="G29" s="164"/>
      <c r="H29" s="164"/>
      <c r="I29" s="164"/>
      <c r="J29" s="164"/>
      <c r="K29" s="18"/>
      <c r="L29" s="19"/>
      <c r="M29" s="19"/>
      <c r="N29" s="19"/>
      <c r="O29" s="19"/>
      <c r="P29" s="19"/>
    </row>
    <row r="30" spans="1:16" ht="15.75">
      <c r="A30" s="137">
        <v>17</v>
      </c>
      <c r="B30" s="190">
        <v>2032303476</v>
      </c>
      <c r="C30" s="191" t="s">
        <v>174</v>
      </c>
      <c r="D30" s="192">
        <v>22</v>
      </c>
      <c r="E30" s="164"/>
      <c r="F30" s="164"/>
      <c r="G30" s="164"/>
      <c r="H30" s="164"/>
      <c r="I30" s="164"/>
      <c r="J30" s="164"/>
      <c r="K30" s="18"/>
      <c r="L30" s="19"/>
      <c r="M30" s="19"/>
      <c r="N30" s="19"/>
      <c r="O30" s="19"/>
      <c r="P30" s="19"/>
    </row>
    <row r="31" spans="1:16" ht="15.75">
      <c r="A31" s="137">
        <v>18</v>
      </c>
      <c r="B31" s="190">
        <v>2032303509</v>
      </c>
      <c r="C31" s="191" t="s">
        <v>206</v>
      </c>
      <c r="D31" s="192">
        <v>30</v>
      </c>
      <c r="E31" s="164"/>
      <c r="F31" s="164"/>
      <c r="G31" s="164"/>
      <c r="H31" s="164"/>
      <c r="I31" s="164"/>
      <c r="J31" s="164"/>
      <c r="K31" s="18"/>
      <c r="L31" s="19"/>
      <c r="M31" s="19"/>
      <c r="N31" s="19"/>
      <c r="O31" s="19"/>
      <c r="P31" s="19"/>
    </row>
    <row r="32" spans="1:16" ht="15.75">
      <c r="A32" s="137">
        <v>19</v>
      </c>
      <c r="B32" s="190">
        <v>2032303535</v>
      </c>
      <c r="C32" s="191" t="s">
        <v>232</v>
      </c>
      <c r="D32" s="192">
        <v>34</v>
      </c>
      <c r="E32" s="164"/>
      <c r="F32" s="164"/>
      <c r="G32" s="164"/>
      <c r="H32" s="164"/>
      <c r="I32" s="164"/>
      <c r="J32" s="164"/>
      <c r="K32" s="18"/>
      <c r="L32" s="19"/>
      <c r="M32" s="19"/>
      <c r="N32" s="19"/>
      <c r="O32" s="19"/>
      <c r="P32" s="19"/>
    </row>
    <row r="33" spans="1:16" ht="15.75">
      <c r="A33" s="137">
        <v>20</v>
      </c>
      <c r="B33" s="193">
        <v>2032303548</v>
      </c>
      <c r="C33" s="194" t="s">
        <v>245</v>
      </c>
      <c r="D33" s="192">
        <v>31</v>
      </c>
      <c r="E33" s="164"/>
      <c r="F33" s="164"/>
      <c r="G33" s="164"/>
      <c r="H33" s="164"/>
      <c r="I33" s="164"/>
      <c r="J33" s="164"/>
      <c r="K33" s="18"/>
      <c r="L33" s="19"/>
      <c r="M33" s="19"/>
      <c r="N33" s="19"/>
      <c r="O33" s="19"/>
      <c r="P33" s="19"/>
    </row>
    <row r="34" spans="1:16" ht="15.75">
      <c r="A34" s="137">
        <v>21</v>
      </c>
      <c r="B34" s="190">
        <v>2032303503</v>
      </c>
      <c r="C34" s="195" t="s">
        <v>201</v>
      </c>
      <c r="D34" s="192">
        <v>34</v>
      </c>
      <c r="E34" s="164"/>
      <c r="F34" s="164"/>
      <c r="G34" s="164"/>
      <c r="H34" s="164"/>
      <c r="I34" s="164"/>
      <c r="J34" s="164"/>
      <c r="K34" s="18"/>
      <c r="L34" s="19"/>
      <c r="M34" s="19"/>
      <c r="N34" s="19"/>
      <c r="O34" s="19"/>
      <c r="P34" s="19"/>
    </row>
    <row r="35" spans="1:16" ht="15.75">
      <c r="A35" s="137">
        <v>22</v>
      </c>
      <c r="B35" s="190">
        <v>2032303495</v>
      </c>
      <c r="C35" s="191" t="s">
        <v>193</v>
      </c>
      <c r="D35" s="192">
        <v>34</v>
      </c>
      <c r="E35" s="164"/>
      <c r="F35" s="164"/>
      <c r="G35" s="164"/>
      <c r="H35" s="164"/>
      <c r="I35" s="164"/>
      <c r="J35" s="164"/>
      <c r="K35" s="18"/>
      <c r="L35" s="19"/>
      <c r="M35" s="19"/>
      <c r="N35" s="19"/>
      <c r="O35" s="19"/>
      <c r="P35" s="19"/>
    </row>
    <row r="36" spans="1:16" ht="15.75">
      <c r="A36" s="137">
        <v>23</v>
      </c>
      <c r="B36" s="190">
        <v>2032303482</v>
      </c>
      <c r="C36" s="191" t="s">
        <v>180</v>
      </c>
      <c r="D36" s="192">
        <v>31</v>
      </c>
      <c r="E36" s="164"/>
      <c r="F36" s="164"/>
      <c r="G36" s="164"/>
      <c r="H36" s="164"/>
      <c r="I36" s="164"/>
      <c r="J36" s="164"/>
      <c r="K36" s="18"/>
      <c r="L36" s="19"/>
      <c r="M36" s="19"/>
      <c r="N36" s="19"/>
      <c r="O36" s="19"/>
      <c r="P36" s="19"/>
    </row>
    <row r="37" spans="1:16" ht="15.75">
      <c r="A37" s="137">
        <v>24</v>
      </c>
      <c r="B37" s="190">
        <v>2032303508</v>
      </c>
      <c r="C37" s="191" t="s">
        <v>205</v>
      </c>
      <c r="D37" s="192">
        <v>31</v>
      </c>
      <c r="E37" s="164"/>
      <c r="F37" s="164"/>
      <c r="G37" s="164"/>
      <c r="H37" s="164"/>
      <c r="I37" s="164"/>
      <c r="J37" s="164"/>
      <c r="K37" s="18"/>
      <c r="L37" s="19"/>
      <c r="M37" s="19"/>
      <c r="N37" s="19"/>
      <c r="O37" s="19"/>
      <c r="P37" s="19"/>
    </row>
    <row r="38" spans="1:16" ht="15.75">
      <c r="A38" s="137">
        <v>25</v>
      </c>
      <c r="B38" s="190">
        <v>2032303472</v>
      </c>
      <c r="C38" s="191" t="s">
        <v>170</v>
      </c>
      <c r="D38" s="192">
        <v>31</v>
      </c>
      <c r="E38" s="164"/>
      <c r="F38" s="164"/>
      <c r="G38" s="164"/>
      <c r="H38" s="164"/>
      <c r="I38" s="164"/>
      <c r="J38" s="164"/>
      <c r="K38" s="18"/>
      <c r="L38" s="19"/>
      <c r="M38" s="19"/>
      <c r="N38" s="19"/>
      <c r="O38" s="19"/>
      <c r="P38" s="19"/>
    </row>
    <row r="39" spans="1:16" ht="15.75">
      <c r="A39" s="137">
        <v>26</v>
      </c>
      <c r="B39" s="190">
        <v>2032303549</v>
      </c>
      <c r="C39" s="191" t="s">
        <v>246</v>
      </c>
      <c r="D39" s="192">
        <v>37</v>
      </c>
      <c r="E39" s="164"/>
      <c r="F39" s="164"/>
      <c r="G39" s="164"/>
      <c r="H39" s="164"/>
      <c r="I39" s="164"/>
      <c r="J39" s="164"/>
      <c r="K39" s="18"/>
      <c r="L39" s="19"/>
      <c r="M39" s="19"/>
      <c r="N39" s="19"/>
      <c r="O39" s="19"/>
      <c r="P39" s="19"/>
    </row>
    <row r="40" spans="1:16" ht="15.75">
      <c r="A40" s="137">
        <v>27</v>
      </c>
      <c r="B40" s="190">
        <v>2032303479</v>
      </c>
      <c r="C40" s="191" t="s">
        <v>177</v>
      </c>
      <c r="D40" s="192">
        <v>31</v>
      </c>
      <c r="E40" s="164"/>
      <c r="F40" s="164"/>
      <c r="G40" s="164"/>
      <c r="H40" s="164"/>
      <c r="I40" s="164"/>
      <c r="J40" s="164"/>
      <c r="K40" s="18"/>
      <c r="L40" s="19"/>
      <c r="M40" s="19"/>
      <c r="N40" s="19"/>
      <c r="O40" s="19"/>
      <c r="P40" s="19"/>
    </row>
    <row r="41" spans="1:16" ht="15.75">
      <c r="A41" s="137">
        <v>28</v>
      </c>
      <c r="B41" s="190">
        <v>2032303519</v>
      </c>
      <c r="C41" s="191" t="s">
        <v>216</v>
      </c>
      <c r="D41" s="192">
        <v>22</v>
      </c>
      <c r="E41" s="164"/>
      <c r="F41" s="164"/>
      <c r="G41" s="164"/>
      <c r="H41" s="164"/>
      <c r="I41" s="164"/>
      <c r="J41" s="164"/>
      <c r="K41" s="18"/>
      <c r="L41" s="19"/>
      <c r="M41" s="19"/>
      <c r="N41" s="19"/>
      <c r="O41" s="19"/>
      <c r="P41" s="19"/>
    </row>
    <row r="42" spans="1:16" ht="15.75">
      <c r="A42" s="137">
        <v>29</v>
      </c>
      <c r="B42" s="190">
        <v>2032303497</v>
      </c>
      <c r="C42" s="191" t="s">
        <v>195</v>
      </c>
      <c r="D42" s="192">
        <v>31</v>
      </c>
      <c r="E42" s="164"/>
      <c r="F42" s="164"/>
      <c r="G42" s="164"/>
      <c r="H42" s="164"/>
      <c r="I42" s="164"/>
      <c r="J42" s="164"/>
      <c r="K42" s="18"/>
      <c r="L42" s="19"/>
      <c r="M42" s="19"/>
      <c r="N42" s="19"/>
      <c r="O42" s="19"/>
      <c r="P42" s="19"/>
    </row>
    <row r="43" spans="1:16" ht="15.75">
      <c r="A43" s="137">
        <v>30</v>
      </c>
      <c r="B43" s="190">
        <v>2032303539</v>
      </c>
      <c r="C43" s="191" t="s">
        <v>236</v>
      </c>
      <c r="D43" s="192">
        <v>22</v>
      </c>
      <c r="E43" s="164"/>
      <c r="F43" s="164"/>
      <c r="G43" s="164"/>
      <c r="H43" s="164"/>
      <c r="I43" s="164"/>
      <c r="J43" s="164"/>
      <c r="K43" s="18"/>
      <c r="L43" s="19"/>
      <c r="M43" s="19"/>
      <c r="N43" s="19"/>
      <c r="O43" s="19"/>
      <c r="P43" s="19"/>
    </row>
    <row r="44" spans="1:16" ht="15.75">
      <c r="A44" s="137">
        <v>31</v>
      </c>
      <c r="B44" s="190">
        <v>2032303486</v>
      </c>
      <c r="C44" s="191" t="s">
        <v>184</v>
      </c>
      <c r="D44" s="192">
        <v>31</v>
      </c>
      <c r="E44" s="164"/>
      <c r="F44" s="164"/>
      <c r="G44" s="164"/>
      <c r="H44" s="164"/>
      <c r="I44" s="164"/>
      <c r="J44" s="164"/>
      <c r="K44" s="18"/>
      <c r="L44" s="19"/>
      <c r="M44" s="19"/>
      <c r="N44" s="19"/>
      <c r="O44" s="19"/>
      <c r="P44" s="19"/>
    </row>
    <row r="45" spans="1:16" ht="15.75">
      <c r="A45" s="137">
        <v>32</v>
      </c>
      <c r="B45" s="190">
        <v>2032303469</v>
      </c>
      <c r="C45" s="191" t="s">
        <v>167</v>
      </c>
      <c r="D45" s="192">
        <v>34</v>
      </c>
      <c r="E45" s="164"/>
      <c r="F45" s="164"/>
      <c r="G45" s="164"/>
      <c r="H45" s="164"/>
      <c r="I45" s="164"/>
      <c r="J45" s="164"/>
      <c r="K45" s="18"/>
      <c r="L45" s="19"/>
      <c r="M45" s="19"/>
      <c r="N45" s="19"/>
      <c r="O45" s="19"/>
      <c r="P45" s="19"/>
    </row>
    <row r="46" spans="1:16" ht="15.75">
      <c r="A46" s="137">
        <v>33</v>
      </c>
      <c r="B46" s="190">
        <v>2032303462</v>
      </c>
      <c r="C46" s="191" t="s">
        <v>160</v>
      </c>
      <c r="D46" s="192">
        <v>31</v>
      </c>
      <c r="E46" s="164"/>
      <c r="F46" s="164"/>
      <c r="G46" s="164"/>
      <c r="H46" s="164"/>
      <c r="I46" s="164"/>
      <c r="J46" s="164"/>
      <c r="K46" s="18"/>
      <c r="L46" s="19"/>
      <c r="M46" s="19"/>
      <c r="N46" s="19"/>
      <c r="O46" s="19"/>
      <c r="P46" s="19"/>
    </row>
    <row r="47" spans="1:16" ht="15.75">
      <c r="A47" s="137">
        <v>34</v>
      </c>
      <c r="B47" s="190">
        <v>2032303529</v>
      </c>
      <c r="C47" s="195" t="s">
        <v>226</v>
      </c>
      <c r="D47" s="192">
        <v>31</v>
      </c>
      <c r="E47" s="164"/>
      <c r="F47" s="164"/>
      <c r="G47" s="164"/>
      <c r="H47" s="164"/>
      <c r="I47" s="164"/>
      <c r="J47" s="164"/>
      <c r="K47" s="18"/>
      <c r="L47" s="19"/>
      <c r="M47" s="19"/>
      <c r="N47" s="19"/>
      <c r="O47" s="19"/>
      <c r="P47" s="19"/>
    </row>
    <row r="48" spans="1:16" ht="15.75">
      <c r="A48" s="137">
        <v>35</v>
      </c>
      <c r="B48" s="190">
        <v>2032303556</v>
      </c>
      <c r="C48" s="191" t="s">
        <v>253</v>
      </c>
      <c r="D48" s="192">
        <v>31</v>
      </c>
      <c r="E48" s="164"/>
      <c r="F48" s="164"/>
      <c r="G48" s="164"/>
      <c r="H48" s="164"/>
      <c r="I48" s="164"/>
      <c r="J48" s="164"/>
      <c r="K48" s="18"/>
      <c r="L48" s="19"/>
      <c r="M48" s="19"/>
      <c r="N48" s="19"/>
      <c r="O48" s="19"/>
      <c r="P48" s="19"/>
    </row>
    <row r="49" spans="1:16" ht="15.75">
      <c r="A49" s="137">
        <v>36</v>
      </c>
      <c r="B49" s="190">
        <v>2032303480</v>
      </c>
      <c r="C49" s="191" t="s">
        <v>178</v>
      </c>
      <c r="D49" s="192">
        <v>34</v>
      </c>
      <c r="E49" s="164"/>
      <c r="F49" s="164"/>
      <c r="G49" s="164"/>
      <c r="H49" s="164"/>
      <c r="I49" s="164"/>
      <c r="J49" s="164"/>
      <c r="K49" s="18"/>
      <c r="L49" s="19"/>
      <c r="M49" s="19"/>
      <c r="N49" s="19"/>
      <c r="O49" s="19"/>
      <c r="P49" s="19"/>
    </row>
    <row r="50" spans="1:16" ht="15.75">
      <c r="A50" s="137">
        <v>37</v>
      </c>
      <c r="B50" s="190">
        <v>2032303490</v>
      </c>
      <c r="C50" s="191" t="s">
        <v>188</v>
      </c>
      <c r="D50" s="192">
        <v>34</v>
      </c>
      <c r="E50" s="164"/>
      <c r="F50" s="164"/>
      <c r="G50" s="164"/>
      <c r="H50" s="164"/>
      <c r="I50" s="164"/>
      <c r="J50" s="164"/>
      <c r="K50" s="18"/>
      <c r="L50" s="19"/>
      <c r="M50" s="19"/>
      <c r="N50" s="19"/>
      <c r="O50" s="19"/>
      <c r="P50" s="19"/>
    </row>
    <row r="51" spans="1:16" ht="15.75">
      <c r="A51" s="137">
        <v>38</v>
      </c>
      <c r="B51" s="190">
        <v>2032303492</v>
      </c>
      <c r="C51" s="191" t="s">
        <v>190</v>
      </c>
      <c r="D51" s="192">
        <v>34</v>
      </c>
      <c r="E51" s="164"/>
      <c r="F51" s="164"/>
      <c r="G51" s="164"/>
      <c r="H51" s="164"/>
      <c r="I51" s="164"/>
      <c r="J51" s="164"/>
      <c r="K51" s="18"/>
      <c r="L51" s="19"/>
      <c r="M51" s="19"/>
      <c r="N51" s="19"/>
      <c r="O51" s="19"/>
      <c r="P51" s="19"/>
    </row>
    <row r="52" spans="1:16" ht="15.75">
      <c r="A52" s="137">
        <v>39</v>
      </c>
      <c r="B52" s="193">
        <v>2032303540</v>
      </c>
      <c r="C52" s="194" t="s">
        <v>237</v>
      </c>
      <c r="D52" s="192">
        <v>34</v>
      </c>
      <c r="E52" s="164"/>
      <c r="F52" s="164"/>
      <c r="G52" s="164"/>
      <c r="H52" s="164"/>
      <c r="I52" s="164"/>
      <c r="J52" s="164"/>
      <c r="K52" s="18"/>
      <c r="L52" s="19"/>
      <c r="M52" s="19"/>
      <c r="N52" s="19"/>
      <c r="O52" s="19"/>
      <c r="P52" s="19"/>
    </row>
    <row r="53" spans="1:16" ht="15.75">
      <c r="A53" s="137">
        <v>40</v>
      </c>
      <c r="B53" s="190">
        <v>2032303465</v>
      </c>
      <c r="C53" s="191" t="s">
        <v>163</v>
      </c>
      <c r="D53" s="192">
        <v>31</v>
      </c>
      <c r="E53" s="164"/>
      <c r="F53" s="164"/>
      <c r="G53" s="164"/>
      <c r="H53" s="164"/>
      <c r="I53" s="164"/>
      <c r="J53" s="164"/>
      <c r="K53" s="18"/>
      <c r="L53" s="19"/>
      <c r="M53" s="19"/>
      <c r="N53" s="19"/>
      <c r="O53" s="19"/>
      <c r="P53" s="19"/>
    </row>
    <row r="54" spans="1:16" ht="15.75">
      <c r="A54" s="137">
        <v>41</v>
      </c>
      <c r="B54" s="190">
        <v>2032303530</v>
      </c>
      <c r="C54" s="191" t="s">
        <v>227</v>
      </c>
      <c r="D54" s="192">
        <v>31</v>
      </c>
      <c r="E54" s="164"/>
      <c r="F54" s="164"/>
      <c r="G54" s="164"/>
      <c r="H54" s="164"/>
      <c r="I54" s="164"/>
      <c r="J54" s="164"/>
      <c r="K54" s="18"/>
      <c r="L54" s="19"/>
      <c r="M54" s="19"/>
      <c r="N54" s="19"/>
      <c r="O54" s="19"/>
      <c r="P54" s="19"/>
    </row>
    <row r="55" spans="1:16" ht="15.75">
      <c r="A55" s="137">
        <v>42</v>
      </c>
      <c r="B55" s="190">
        <v>2032303542</v>
      </c>
      <c r="C55" s="191" t="s">
        <v>239</v>
      </c>
      <c r="D55" s="192">
        <v>34</v>
      </c>
      <c r="E55" s="164"/>
      <c r="F55" s="164"/>
      <c r="G55" s="164"/>
      <c r="H55" s="164"/>
      <c r="I55" s="164"/>
      <c r="J55" s="164"/>
      <c r="K55" s="18"/>
      <c r="L55" s="19"/>
      <c r="M55" s="19"/>
      <c r="N55" s="19"/>
      <c r="O55" s="19"/>
      <c r="P55" s="19"/>
    </row>
    <row r="56" spans="1:16" ht="15.75">
      <c r="A56" s="137">
        <v>43</v>
      </c>
      <c r="B56" s="190">
        <v>2032303470</v>
      </c>
      <c r="C56" s="191" t="s">
        <v>168</v>
      </c>
      <c r="D56" s="192">
        <v>22</v>
      </c>
      <c r="E56" s="164"/>
      <c r="F56" s="164"/>
      <c r="G56" s="164"/>
      <c r="H56" s="164"/>
      <c r="I56" s="164"/>
      <c r="J56" s="164"/>
      <c r="K56" s="18"/>
      <c r="L56" s="19"/>
      <c r="M56" s="19"/>
      <c r="N56" s="19"/>
      <c r="O56" s="19"/>
      <c r="P56" s="19"/>
    </row>
    <row r="57" spans="1:16" ht="15.75">
      <c r="A57" s="137">
        <v>44</v>
      </c>
      <c r="B57" s="190">
        <v>2032303494</v>
      </c>
      <c r="C57" s="191" t="s">
        <v>192</v>
      </c>
      <c r="D57" s="192">
        <v>31</v>
      </c>
      <c r="E57" s="164"/>
      <c r="F57" s="164"/>
      <c r="G57" s="164"/>
      <c r="H57" s="164"/>
      <c r="I57" s="164"/>
      <c r="J57" s="164"/>
      <c r="K57" s="18"/>
      <c r="L57" s="19"/>
      <c r="M57" s="19"/>
      <c r="N57" s="19"/>
      <c r="O57" s="19"/>
      <c r="P57" s="19"/>
    </row>
    <row r="58" spans="1:16" ht="31.5">
      <c r="A58" s="137">
        <v>45</v>
      </c>
      <c r="B58" s="190">
        <v>2032303459</v>
      </c>
      <c r="C58" s="191" t="s">
        <v>157</v>
      </c>
      <c r="D58" s="192">
        <v>37</v>
      </c>
      <c r="E58" s="164"/>
      <c r="F58" s="164"/>
      <c r="G58" s="164"/>
      <c r="H58" s="164"/>
      <c r="I58" s="164"/>
      <c r="J58" s="164"/>
      <c r="K58" s="18"/>
      <c r="L58" s="19"/>
      <c r="M58" s="19"/>
      <c r="N58" s="19"/>
      <c r="O58" s="19"/>
      <c r="P58" s="19"/>
    </row>
    <row r="59" spans="1:16" ht="31.5">
      <c r="A59" s="137">
        <v>46</v>
      </c>
      <c r="B59" s="190">
        <v>2032303534</v>
      </c>
      <c r="C59" s="191" t="s">
        <v>231</v>
      </c>
      <c r="D59" s="192">
        <v>33</v>
      </c>
      <c r="E59" s="164"/>
      <c r="F59" s="164"/>
      <c r="G59" s="164"/>
      <c r="H59" s="164"/>
      <c r="I59" s="164"/>
      <c r="J59" s="164"/>
      <c r="K59" s="18"/>
      <c r="L59" s="19"/>
      <c r="M59" s="19"/>
      <c r="N59" s="19"/>
      <c r="O59" s="19"/>
      <c r="P59" s="19"/>
    </row>
    <row r="60" spans="1:16" ht="15.75">
      <c r="A60" s="137">
        <v>47</v>
      </c>
      <c r="B60" s="190">
        <v>2032303488</v>
      </c>
      <c r="C60" s="191" t="s">
        <v>186</v>
      </c>
      <c r="D60" s="192">
        <v>31</v>
      </c>
      <c r="E60" s="164"/>
      <c r="F60" s="164"/>
      <c r="G60" s="164"/>
      <c r="H60" s="164"/>
      <c r="I60" s="164"/>
      <c r="J60" s="164"/>
      <c r="K60" s="18"/>
      <c r="L60" s="19"/>
      <c r="M60" s="19"/>
      <c r="N60" s="19"/>
      <c r="O60" s="19"/>
      <c r="P60" s="19"/>
    </row>
    <row r="61" spans="1:16" ht="15.75">
      <c r="A61" s="137">
        <v>48</v>
      </c>
      <c r="B61" s="190">
        <v>2032303523</v>
      </c>
      <c r="C61" s="191" t="s">
        <v>220</v>
      </c>
      <c r="D61" s="192">
        <v>31</v>
      </c>
      <c r="E61" s="164"/>
      <c r="F61" s="164"/>
      <c r="G61" s="164"/>
      <c r="H61" s="164"/>
      <c r="I61" s="164"/>
      <c r="J61" s="164"/>
      <c r="K61" s="18"/>
      <c r="L61" s="19"/>
      <c r="M61" s="19"/>
      <c r="N61" s="19"/>
      <c r="O61" s="19"/>
      <c r="P61" s="19"/>
    </row>
    <row r="62" spans="1:16" ht="15.75">
      <c r="A62" s="137">
        <v>49</v>
      </c>
      <c r="B62" s="193">
        <v>2032303466</v>
      </c>
      <c r="C62" s="194" t="s">
        <v>164</v>
      </c>
      <c r="D62" s="192">
        <v>32</v>
      </c>
      <c r="E62" s="164"/>
      <c r="F62" s="164"/>
      <c r="G62" s="164"/>
      <c r="H62" s="164"/>
      <c r="I62" s="164"/>
      <c r="J62" s="164"/>
      <c r="K62" s="18"/>
      <c r="L62" s="19"/>
      <c r="M62" s="19"/>
      <c r="N62" s="19"/>
      <c r="O62" s="19"/>
      <c r="P62" s="19"/>
    </row>
    <row r="63" spans="1:16" ht="15.75">
      <c r="A63" s="137">
        <v>50</v>
      </c>
      <c r="B63" s="193">
        <v>2032303522</v>
      </c>
      <c r="C63" s="194" t="s">
        <v>219</v>
      </c>
      <c r="D63" s="192">
        <v>31</v>
      </c>
      <c r="E63" s="164"/>
      <c r="F63" s="164"/>
      <c r="G63" s="164"/>
      <c r="H63" s="164"/>
      <c r="I63" s="164"/>
      <c r="J63" s="164"/>
      <c r="K63" s="18"/>
      <c r="L63" s="19"/>
      <c r="M63" s="19"/>
      <c r="N63" s="19"/>
      <c r="O63" s="19"/>
      <c r="P63" s="19"/>
    </row>
    <row r="64" spans="1:16" ht="15.75">
      <c r="A64" s="137">
        <v>51</v>
      </c>
      <c r="B64" s="193">
        <v>2032303518</v>
      </c>
      <c r="C64" s="194" t="s">
        <v>215</v>
      </c>
      <c r="D64" s="192">
        <v>34</v>
      </c>
      <c r="E64" s="164"/>
      <c r="F64" s="164"/>
      <c r="G64" s="164"/>
      <c r="H64" s="164"/>
      <c r="I64" s="164"/>
      <c r="J64" s="164"/>
      <c r="K64" s="18"/>
      <c r="L64" s="19"/>
      <c r="M64" s="19"/>
      <c r="N64" s="19"/>
      <c r="O64" s="19"/>
      <c r="P64" s="19"/>
    </row>
    <row r="65" spans="1:16" ht="15.75">
      <c r="A65" s="137">
        <v>52</v>
      </c>
      <c r="B65" s="193">
        <v>2032303485</v>
      </c>
      <c r="C65" s="194" t="s">
        <v>183</v>
      </c>
      <c r="D65" s="192">
        <v>22</v>
      </c>
      <c r="E65" s="164"/>
      <c r="F65" s="164"/>
      <c r="G65" s="164"/>
      <c r="H65" s="164"/>
      <c r="I65" s="164"/>
      <c r="J65" s="164"/>
      <c r="K65" s="18"/>
      <c r="L65" s="19"/>
      <c r="M65" s="19"/>
      <c r="N65" s="19"/>
      <c r="O65" s="19"/>
      <c r="P65" s="19"/>
    </row>
    <row r="66" spans="1:16" ht="15.75">
      <c r="A66" s="137">
        <v>53</v>
      </c>
      <c r="B66" s="193">
        <v>2032303551</v>
      </c>
      <c r="C66" s="194" t="s">
        <v>248</v>
      </c>
      <c r="D66" s="192">
        <v>31</v>
      </c>
      <c r="E66" s="164"/>
      <c r="F66" s="164"/>
      <c r="G66" s="164"/>
      <c r="H66" s="164"/>
      <c r="I66" s="164"/>
      <c r="J66" s="164"/>
      <c r="K66" s="18"/>
      <c r="L66" s="19"/>
      <c r="M66" s="19"/>
      <c r="N66" s="19"/>
      <c r="O66" s="19"/>
      <c r="P66" s="19"/>
    </row>
    <row r="67" spans="1:16" ht="15.75">
      <c r="A67" s="137">
        <v>54</v>
      </c>
      <c r="B67" s="193">
        <v>2032303453</v>
      </c>
      <c r="C67" s="194" t="s">
        <v>151</v>
      </c>
      <c r="D67" s="192">
        <v>34</v>
      </c>
      <c r="E67" s="164"/>
      <c r="F67" s="164"/>
      <c r="G67" s="164"/>
      <c r="H67" s="164"/>
      <c r="I67" s="164"/>
      <c r="J67" s="164"/>
      <c r="K67" s="18"/>
      <c r="L67" s="19"/>
      <c r="M67" s="19"/>
      <c r="N67" s="19"/>
      <c r="O67" s="19"/>
      <c r="P67" s="19"/>
    </row>
    <row r="68" spans="1:16" ht="15.75">
      <c r="A68" s="137">
        <v>55</v>
      </c>
      <c r="B68" s="193">
        <v>2032303541</v>
      </c>
      <c r="C68" s="194" t="s">
        <v>238</v>
      </c>
      <c r="D68" s="192">
        <v>31</v>
      </c>
      <c r="E68" s="164"/>
      <c r="F68" s="164"/>
      <c r="G68" s="164"/>
      <c r="H68" s="164"/>
      <c r="I68" s="164"/>
      <c r="J68" s="164"/>
      <c r="K68" s="18"/>
      <c r="L68" s="19"/>
      <c r="M68" s="19"/>
      <c r="N68" s="19"/>
      <c r="O68" s="19"/>
      <c r="P68" s="19"/>
    </row>
    <row r="69" spans="1:16" ht="15.75">
      <c r="A69" s="137">
        <v>56</v>
      </c>
      <c r="B69" s="193">
        <v>2032303473</v>
      </c>
      <c r="C69" s="194" t="s">
        <v>171</v>
      </c>
      <c r="D69" s="192">
        <v>30</v>
      </c>
      <c r="E69" s="164"/>
      <c r="F69" s="164"/>
      <c r="G69" s="164"/>
      <c r="H69" s="164"/>
      <c r="I69" s="164"/>
      <c r="J69" s="164"/>
      <c r="K69" s="18"/>
      <c r="L69" s="19"/>
      <c r="M69" s="19"/>
      <c r="N69" s="19"/>
      <c r="O69" s="19"/>
      <c r="P69" s="19"/>
    </row>
    <row r="70" spans="1:16" ht="15.75">
      <c r="A70" s="137">
        <v>57</v>
      </c>
      <c r="B70" s="193">
        <v>2032303550</v>
      </c>
      <c r="C70" s="194" t="s">
        <v>247</v>
      </c>
      <c r="D70" s="192">
        <v>30</v>
      </c>
      <c r="E70" s="164"/>
      <c r="F70" s="164"/>
      <c r="G70" s="164"/>
      <c r="H70" s="164"/>
      <c r="I70" s="164"/>
      <c r="J70" s="164"/>
      <c r="K70" s="18"/>
      <c r="L70" s="19"/>
      <c r="M70" s="19"/>
      <c r="N70" s="19"/>
      <c r="O70" s="19"/>
      <c r="P70" s="19"/>
    </row>
    <row r="71" spans="1:16" ht="15.6" customHeight="1">
      <c r="A71" s="137">
        <v>58</v>
      </c>
      <c r="B71" s="193">
        <v>2032303496</v>
      </c>
      <c r="C71" s="194" t="s">
        <v>194</v>
      </c>
      <c r="D71" s="192">
        <v>31</v>
      </c>
      <c r="E71" s="164"/>
      <c r="F71" s="164"/>
      <c r="G71" s="164"/>
      <c r="H71" s="164"/>
      <c r="I71" s="164"/>
      <c r="J71" s="164"/>
      <c r="K71" s="18"/>
      <c r="L71" s="19"/>
      <c r="M71" s="19"/>
      <c r="N71" s="19"/>
      <c r="O71" s="19"/>
      <c r="P71" s="19"/>
    </row>
    <row r="72" spans="1:16" ht="15.6" customHeight="1">
      <c r="A72" s="137">
        <v>59</v>
      </c>
      <c r="B72" s="193">
        <v>2032303457</v>
      </c>
      <c r="C72" s="194" t="s">
        <v>155</v>
      </c>
      <c r="D72" s="192">
        <v>21</v>
      </c>
      <c r="E72" s="164"/>
      <c r="F72" s="164"/>
      <c r="G72" s="164"/>
      <c r="H72" s="164"/>
      <c r="I72" s="164"/>
      <c r="J72" s="164"/>
      <c r="K72" s="18"/>
      <c r="L72" s="19"/>
      <c r="M72" s="19"/>
      <c r="N72" s="19"/>
      <c r="O72" s="19"/>
      <c r="P72" s="19"/>
    </row>
    <row r="73" spans="1:16" ht="15.6" customHeight="1">
      <c r="A73" s="137">
        <v>60</v>
      </c>
      <c r="B73" s="193">
        <v>2032303499</v>
      </c>
      <c r="C73" s="194" t="s">
        <v>197</v>
      </c>
      <c r="D73" s="192">
        <v>22</v>
      </c>
      <c r="E73" s="164"/>
      <c r="F73" s="164"/>
      <c r="G73" s="164"/>
      <c r="H73" s="164"/>
      <c r="I73" s="164"/>
      <c r="J73" s="164"/>
      <c r="K73" s="18"/>
      <c r="L73" s="19"/>
      <c r="M73" s="19"/>
      <c r="N73" s="19"/>
      <c r="O73" s="19"/>
      <c r="P73" s="19"/>
    </row>
    <row r="74" spans="1:16" ht="15.6" customHeight="1">
      <c r="A74" s="137">
        <v>61</v>
      </c>
      <c r="B74" s="193">
        <v>2032303474</v>
      </c>
      <c r="C74" s="194" t="s">
        <v>172</v>
      </c>
      <c r="D74" s="192">
        <v>37</v>
      </c>
      <c r="E74" s="164"/>
      <c r="F74" s="164"/>
      <c r="G74" s="164"/>
      <c r="H74" s="164"/>
      <c r="I74" s="164"/>
      <c r="J74" s="164"/>
      <c r="K74" s="18"/>
      <c r="L74" s="19"/>
      <c r="M74" s="19"/>
      <c r="N74" s="19"/>
      <c r="O74" s="19"/>
      <c r="P74" s="19"/>
    </row>
    <row r="75" spans="1:16" ht="15.6" customHeight="1">
      <c r="A75" s="137">
        <v>62</v>
      </c>
      <c r="B75" s="193">
        <v>2032303547</v>
      </c>
      <c r="C75" s="194" t="s">
        <v>244</v>
      </c>
      <c r="D75" s="192">
        <v>37</v>
      </c>
      <c r="E75" s="164"/>
      <c r="F75" s="164"/>
      <c r="G75" s="164"/>
      <c r="H75" s="164"/>
      <c r="I75" s="164"/>
      <c r="J75" s="164"/>
      <c r="K75" s="18"/>
      <c r="L75" s="19"/>
      <c r="M75" s="19"/>
      <c r="N75" s="19"/>
      <c r="O75" s="19"/>
      <c r="P75" s="19"/>
    </row>
    <row r="76" spans="1:16" ht="15.6" customHeight="1">
      <c r="A76" s="137">
        <v>63</v>
      </c>
      <c r="B76" s="193">
        <v>2032303512</v>
      </c>
      <c r="C76" s="194" t="s">
        <v>209</v>
      </c>
      <c r="D76" s="192">
        <v>34</v>
      </c>
      <c r="E76" s="164"/>
      <c r="F76" s="164"/>
      <c r="G76" s="164"/>
      <c r="H76" s="164"/>
      <c r="I76" s="164"/>
      <c r="J76" s="164"/>
      <c r="K76" s="18"/>
      <c r="L76" s="19"/>
      <c r="M76" s="19"/>
      <c r="N76" s="19"/>
      <c r="O76" s="19"/>
      <c r="P76" s="19"/>
    </row>
    <row r="77" spans="1:16" ht="15.6" customHeight="1">
      <c r="A77" s="137">
        <v>64</v>
      </c>
      <c r="B77" s="193">
        <v>2032303458</v>
      </c>
      <c r="C77" s="194" t="s">
        <v>156</v>
      </c>
      <c r="D77" s="192">
        <v>22</v>
      </c>
      <c r="E77" s="164"/>
      <c r="F77" s="164"/>
      <c r="G77" s="164"/>
      <c r="H77" s="164"/>
      <c r="I77" s="164"/>
      <c r="J77" s="164"/>
      <c r="K77" s="18"/>
      <c r="L77" s="19"/>
      <c r="M77" s="19"/>
      <c r="N77" s="19"/>
      <c r="O77" s="19"/>
      <c r="P77" s="19"/>
    </row>
    <row r="78" spans="1:16" ht="15.6" customHeight="1">
      <c r="A78" s="137">
        <v>65</v>
      </c>
      <c r="B78" s="193">
        <v>2032303456</v>
      </c>
      <c r="C78" s="194" t="s">
        <v>154</v>
      </c>
      <c r="D78" s="192">
        <v>22</v>
      </c>
      <c r="E78" s="164"/>
      <c r="F78" s="164"/>
      <c r="G78" s="164"/>
      <c r="H78" s="164"/>
      <c r="I78" s="164"/>
      <c r="J78" s="164"/>
      <c r="K78" s="18"/>
      <c r="L78" s="19"/>
      <c r="M78" s="19"/>
      <c r="N78" s="19"/>
      <c r="O78" s="19"/>
      <c r="P78" s="19"/>
    </row>
    <row r="79" spans="1:16" ht="15.6" customHeight="1">
      <c r="A79" s="137">
        <v>66</v>
      </c>
      <c r="B79" s="193">
        <v>2032303451</v>
      </c>
      <c r="C79" s="194" t="s">
        <v>149</v>
      </c>
      <c r="D79" s="192">
        <v>22</v>
      </c>
      <c r="E79" s="164"/>
      <c r="F79" s="164"/>
      <c r="G79" s="164"/>
      <c r="H79" s="164"/>
      <c r="I79" s="164"/>
      <c r="J79" s="164"/>
      <c r="K79" s="18"/>
      <c r="L79" s="19"/>
      <c r="M79" s="19"/>
      <c r="N79" s="19"/>
      <c r="O79" s="19"/>
      <c r="P79" s="19"/>
    </row>
    <row r="80" spans="1:16" ht="15.6" customHeight="1">
      <c r="A80" s="137">
        <v>67</v>
      </c>
      <c r="B80" s="193">
        <v>2032303511</v>
      </c>
      <c r="C80" s="194" t="s">
        <v>208</v>
      </c>
      <c r="D80" s="192">
        <v>37</v>
      </c>
      <c r="E80" s="164"/>
      <c r="F80" s="164"/>
      <c r="G80" s="164"/>
      <c r="H80" s="164"/>
      <c r="I80" s="164"/>
      <c r="J80" s="164"/>
      <c r="K80" s="18"/>
      <c r="L80" s="19"/>
      <c r="M80" s="19"/>
      <c r="N80" s="19"/>
      <c r="O80" s="19"/>
      <c r="P80" s="19"/>
    </row>
    <row r="81" spans="1:16" ht="15.6" customHeight="1">
      <c r="A81" s="137">
        <v>68</v>
      </c>
      <c r="B81" s="193">
        <v>2032303477</v>
      </c>
      <c r="C81" s="194" t="s">
        <v>175</v>
      </c>
      <c r="D81" s="192">
        <v>21</v>
      </c>
      <c r="E81" s="164"/>
      <c r="F81" s="164"/>
      <c r="G81" s="164"/>
      <c r="H81" s="164"/>
      <c r="I81" s="164"/>
      <c r="J81" s="164"/>
      <c r="K81" s="18"/>
      <c r="L81" s="19"/>
      <c r="M81" s="19"/>
      <c r="N81" s="19"/>
      <c r="O81" s="19"/>
      <c r="P81" s="19"/>
    </row>
    <row r="82" spans="1:16" ht="15.6" customHeight="1">
      <c r="A82" s="137">
        <v>69</v>
      </c>
      <c r="B82" s="193">
        <v>2032303536</v>
      </c>
      <c r="C82" s="194" t="s">
        <v>233</v>
      </c>
      <c r="D82" s="192">
        <v>36</v>
      </c>
      <c r="E82" s="164"/>
      <c r="F82" s="164"/>
      <c r="G82" s="164"/>
      <c r="H82" s="164"/>
      <c r="I82" s="164"/>
      <c r="J82" s="164"/>
      <c r="K82" s="18"/>
      <c r="L82" s="19"/>
      <c r="M82" s="19"/>
      <c r="N82" s="19"/>
      <c r="O82" s="19"/>
      <c r="P82" s="19"/>
    </row>
    <row r="83" spans="1:16" ht="15.6" customHeight="1">
      <c r="A83" s="137">
        <v>70</v>
      </c>
      <c r="B83" s="193">
        <v>2032303527</v>
      </c>
      <c r="C83" s="194" t="s">
        <v>224</v>
      </c>
      <c r="D83" s="192">
        <v>37</v>
      </c>
      <c r="E83" s="164"/>
      <c r="F83" s="164"/>
      <c r="G83" s="164"/>
      <c r="H83" s="164"/>
      <c r="I83" s="164"/>
      <c r="J83" s="164"/>
      <c r="K83" s="18"/>
      <c r="L83" s="19"/>
      <c r="M83" s="19"/>
      <c r="N83" s="19"/>
      <c r="O83" s="19"/>
      <c r="P83" s="19"/>
    </row>
    <row r="84" spans="1:16" ht="15.6" customHeight="1">
      <c r="A84" s="137">
        <v>71</v>
      </c>
      <c r="B84" s="193">
        <v>2032303525</v>
      </c>
      <c r="C84" s="194" t="s">
        <v>222</v>
      </c>
      <c r="D84" s="192">
        <v>31</v>
      </c>
      <c r="E84" s="164"/>
      <c r="F84" s="164"/>
      <c r="G84" s="164"/>
      <c r="H84" s="164"/>
      <c r="I84" s="164"/>
      <c r="J84" s="164"/>
      <c r="K84" s="18"/>
      <c r="L84" s="19"/>
      <c r="M84" s="19"/>
      <c r="N84" s="19"/>
      <c r="O84" s="19"/>
      <c r="P84" s="19"/>
    </row>
    <row r="85" spans="1:16" ht="15.6" customHeight="1">
      <c r="A85" s="137">
        <v>72</v>
      </c>
      <c r="B85" s="193">
        <v>2032303468</v>
      </c>
      <c r="C85" s="194" t="s">
        <v>166</v>
      </c>
      <c r="D85" s="192">
        <v>22</v>
      </c>
      <c r="E85" s="164"/>
      <c r="F85" s="164"/>
      <c r="G85" s="164"/>
      <c r="H85" s="164"/>
      <c r="I85" s="164"/>
      <c r="J85" s="164"/>
      <c r="K85" s="18"/>
      <c r="L85" s="19"/>
      <c r="M85" s="19"/>
      <c r="N85" s="19"/>
      <c r="O85" s="19"/>
      <c r="P85" s="19"/>
    </row>
    <row r="86" spans="1:16" ht="15.6" customHeight="1">
      <c r="A86" s="137">
        <v>73</v>
      </c>
      <c r="B86" s="193">
        <v>2032303504</v>
      </c>
      <c r="C86" s="194" t="s">
        <v>202</v>
      </c>
      <c r="D86" s="192">
        <v>31</v>
      </c>
      <c r="E86" s="164"/>
      <c r="F86" s="164"/>
      <c r="G86" s="164"/>
      <c r="H86" s="164"/>
      <c r="I86" s="164"/>
      <c r="J86" s="164"/>
      <c r="K86" s="18"/>
      <c r="L86" s="19"/>
      <c r="M86" s="19"/>
      <c r="N86" s="19"/>
      <c r="O86" s="19"/>
      <c r="P86" s="19"/>
    </row>
    <row r="87" spans="1:16" ht="15.6" customHeight="1">
      <c r="A87" s="137">
        <v>74</v>
      </c>
      <c r="B87" s="193">
        <v>2032303475</v>
      </c>
      <c r="C87" s="194" t="s">
        <v>173</v>
      </c>
      <c r="D87" s="192">
        <v>33</v>
      </c>
      <c r="E87" s="164"/>
      <c r="F87" s="164"/>
      <c r="G87" s="164"/>
      <c r="H87" s="164"/>
      <c r="I87" s="164"/>
      <c r="J87" s="164"/>
      <c r="K87" s="18"/>
      <c r="L87" s="19"/>
      <c r="M87" s="19"/>
      <c r="N87" s="19"/>
      <c r="O87" s="19"/>
      <c r="P87" s="19"/>
    </row>
    <row r="88" spans="1:16" ht="15.6" customHeight="1">
      <c r="A88" s="137">
        <v>75</v>
      </c>
      <c r="B88" s="193">
        <v>2032303517</v>
      </c>
      <c r="C88" s="194" t="s">
        <v>214</v>
      </c>
      <c r="D88" s="192">
        <v>31</v>
      </c>
      <c r="E88" s="164"/>
      <c r="F88" s="164"/>
      <c r="G88" s="164"/>
      <c r="H88" s="164"/>
      <c r="I88" s="164"/>
      <c r="J88" s="164"/>
      <c r="K88" s="18"/>
      <c r="L88" s="19"/>
      <c r="M88" s="19"/>
      <c r="N88" s="19"/>
      <c r="O88" s="19"/>
      <c r="P88" s="19"/>
    </row>
    <row r="89" spans="1:16" ht="15.6" customHeight="1">
      <c r="A89" s="137">
        <v>76</v>
      </c>
      <c r="B89" s="193">
        <v>2032303552</v>
      </c>
      <c r="C89" s="194" t="s">
        <v>249</v>
      </c>
      <c r="D89" s="192">
        <v>31</v>
      </c>
      <c r="E89" s="164"/>
      <c r="F89" s="164"/>
      <c r="G89" s="164"/>
      <c r="H89" s="164"/>
      <c r="I89" s="164"/>
      <c r="J89" s="164"/>
      <c r="K89" s="18"/>
      <c r="L89" s="19"/>
      <c r="M89" s="19"/>
      <c r="N89" s="19"/>
      <c r="O89" s="19"/>
      <c r="P89" s="19"/>
    </row>
    <row r="90" spans="1:16" ht="15.6" customHeight="1">
      <c r="A90" s="137">
        <v>77</v>
      </c>
      <c r="B90" s="193">
        <v>2032303498</v>
      </c>
      <c r="C90" s="194" t="s">
        <v>196</v>
      </c>
      <c r="D90" s="192">
        <v>21</v>
      </c>
      <c r="E90" s="164"/>
      <c r="F90" s="164"/>
      <c r="G90" s="164"/>
      <c r="H90" s="164"/>
      <c r="I90" s="164"/>
      <c r="J90" s="164"/>
      <c r="K90" s="18"/>
      <c r="L90" s="19"/>
      <c r="M90" s="19"/>
      <c r="N90" s="19"/>
      <c r="O90" s="19"/>
      <c r="P90" s="19"/>
    </row>
    <row r="91" spans="1:16" ht="15.6" customHeight="1">
      <c r="A91" s="137">
        <v>78</v>
      </c>
      <c r="B91" s="193">
        <v>2032303510</v>
      </c>
      <c r="C91" s="194" t="s">
        <v>207</v>
      </c>
      <c r="D91" s="192">
        <v>31</v>
      </c>
      <c r="E91" s="164"/>
      <c r="F91" s="164"/>
      <c r="G91" s="164"/>
      <c r="H91" s="164"/>
      <c r="I91" s="164"/>
      <c r="J91" s="164"/>
      <c r="K91" s="18"/>
      <c r="L91" s="19"/>
      <c r="M91" s="19"/>
      <c r="N91" s="19"/>
      <c r="O91" s="19"/>
      <c r="P91" s="19"/>
    </row>
    <row r="92" spans="1:16" ht="15.6" customHeight="1">
      <c r="A92" s="137">
        <v>79</v>
      </c>
      <c r="B92" s="193">
        <v>2032303532</v>
      </c>
      <c r="C92" s="194" t="s">
        <v>229</v>
      </c>
      <c r="D92" s="192">
        <v>37</v>
      </c>
      <c r="E92" s="164"/>
      <c r="F92" s="164"/>
      <c r="G92" s="164"/>
      <c r="H92" s="164"/>
      <c r="I92" s="164"/>
      <c r="J92" s="164"/>
      <c r="K92" s="18"/>
      <c r="L92" s="19"/>
      <c r="M92" s="19"/>
      <c r="N92" s="19"/>
      <c r="O92" s="19"/>
      <c r="P92" s="19"/>
    </row>
    <row r="93" spans="1:16" ht="15.6" customHeight="1">
      <c r="A93" s="137">
        <v>80</v>
      </c>
      <c r="B93" s="193">
        <v>2032303489</v>
      </c>
      <c r="C93" s="194" t="s">
        <v>187</v>
      </c>
      <c r="D93" s="192">
        <v>22</v>
      </c>
      <c r="E93" s="164"/>
      <c r="F93" s="164"/>
      <c r="G93" s="164"/>
      <c r="H93" s="164"/>
      <c r="I93" s="164"/>
      <c r="J93" s="164"/>
      <c r="K93" s="18"/>
      <c r="L93" s="19"/>
      <c r="M93" s="19"/>
      <c r="N93" s="19"/>
      <c r="O93" s="19"/>
      <c r="P93" s="19"/>
    </row>
    <row r="94" spans="1:16" ht="15.6" customHeight="1">
      <c r="A94" s="137">
        <v>81</v>
      </c>
      <c r="B94" s="193">
        <v>2032303520</v>
      </c>
      <c r="C94" s="194" t="s">
        <v>217</v>
      </c>
      <c r="D94" s="192">
        <v>31</v>
      </c>
      <c r="E94" s="164"/>
      <c r="F94" s="164"/>
      <c r="G94" s="164"/>
      <c r="H94" s="164"/>
      <c r="I94" s="164"/>
      <c r="J94" s="164"/>
      <c r="K94" s="18"/>
      <c r="L94" s="19"/>
      <c r="M94" s="19"/>
      <c r="N94" s="19"/>
      <c r="O94" s="19"/>
      <c r="P94" s="19"/>
    </row>
    <row r="95" spans="1:16" ht="15.6" customHeight="1">
      <c r="A95" s="137">
        <v>82</v>
      </c>
      <c r="B95" s="193">
        <v>2032303452</v>
      </c>
      <c r="C95" s="194" t="s">
        <v>150</v>
      </c>
      <c r="D95" s="192">
        <v>37</v>
      </c>
      <c r="E95" s="164"/>
      <c r="F95" s="164"/>
      <c r="G95" s="164"/>
      <c r="H95" s="164"/>
      <c r="I95" s="164"/>
      <c r="J95" s="164"/>
      <c r="K95" s="18"/>
      <c r="L95" s="19"/>
      <c r="M95" s="19"/>
      <c r="N95" s="19"/>
      <c r="O95" s="19"/>
      <c r="P95" s="19"/>
    </row>
    <row r="96" spans="1:16" ht="15.6" customHeight="1">
      <c r="A96" s="137">
        <v>83</v>
      </c>
      <c r="B96" s="193">
        <v>2032303493</v>
      </c>
      <c r="C96" s="194" t="s">
        <v>191</v>
      </c>
      <c r="D96" s="192">
        <v>22</v>
      </c>
      <c r="E96" s="164"/>
      <c r="F96" s="164"/>
      <c r="G96" s="164"/>
      <c r="H96" s="164"/>
      <c r="I96" s="164"/>
      <c r="J96" s="164"/>
      <c r="K96" s="18"/>
      <c r="L96" s="19"/>
      <c r="M96" s="19"/>
      <c r="N96" s="19"/>
      <c r="O96" s="19"/>
      <c r="P96" s="19"/>
    </row>
    <row r="97" spans="1:16" ht="15.6" customHeight="1">
      <c r="A97" s="137">
        <v>84</v>
      </c>
      <c r="B97" s="193">
        <v>2032303554</v>
      </c>
      <c r="C97" s="194" t="s">
        <v>251</v>
      </c>
      <c r="D97" s="192">
        <v>31</v>
      </c>
      <c r="E97" s="164"/>
      <c r="F97" s="164"/>
      <c r="G97" s="164"/>
      <c r="H97" s="164"/>
      <c r="I97" s="164"/>
      <c r="J97" s="164"/>
      <c r="K97" s="18"/>
      <c r="L97" s="19"/>
      <c r="M97" s="19"/>
      <c r="N97" s="19"/>
      <c r="O97" s="19"/>
      <c r="P97" s="19"/>
    </row>
    <row r="98" spans="1:16" ht="15.6" customHeight="1">
      <c r="A98" s="137">
        <v>85</v>
      </c>
      <c r="B98" s="193">
        <v>2032303507</v>
      </c>
      <c r="C98" s="194" t="s">
        <v>204</v>
      </c>
      <c r="D98" s="192">
        <v>22</v>
      </c>
      <c r="E98" s="164"/>
      <c r="F98" s="164"/>
      <c r="G98" s="164"/>
      <c r="H98" s="164"/>
      <c r="I98" s="164"/>
      <c r="J98" s="164"/>
      <c r="K98" s="18"/>
      <c r="L98" s="19"/>
      <c r="M98" s="19"/>
      <c r="N98" s="19"/>
      <c r="O98" s="19"/>
      <c r="P98" s="19"/>
    </row>
    <row r="99" spans="1:16" ht="15.6" customHeight="1">
      <c r="A99" s="137">
        <v>86</v>
      </c>
      <c r="B99" s="193">
        <v>2032303467</v>
      </c>
      <c r="C99" s="194" t="s">
        <v>165</v>
      </c>
      <c r="D99" s="192">
        <v>31</v>
      </c>
      <c r="E99" s="164"/>
      <c r="F99" s="164"/>
      <c r="G99" s="164"/>
      <c r="H99" s="164"/>
      <c r="I99" s="164"/>
      <c r="J99" s="164"/>
      <c r="K99" s="18"/>
      <c r="L99" s="19"/>
      <c r="M99" s="19"/>
      <c r="N99" s="19"/>
      <c r="O99" s="19"/>
      <c r="P99" s="19"/>
    </row>
    <row r="100" spans="1:16" ht="15.6" customHeight="1">
      <c r="A100" s="137">
        <v>87</v>
      </c>
      <c r="B100" s="193">
        <v>2032303544</v>
      </c>
      <c r="C100" s="194" t="s">
        <v>241</v>
      </c>
      <c r="D100" s="192">
        <v>37</v>
      </c>
      <c r="E100" s="164"/>
      <c r="F100" s="164"/>
      <c r="G100" s="164"/>
      <c r="H100" s="164"/>
      <c r="I100" s="164"/>
      <c r="J100" s="164"/>
      <c r="K100" s="18"/>
      <c r="L100" s="19"/>
      <c r="M100" s="19"/>
      <c r="N100" s="19"/>
      <c r="O100" s="19"/>
      <c r="P100" s="19"/>
    </row>
    <row r="101" spans="1:16" ht="15.6" customHeight="1">
      <c r="A101" s="137">
        <v>88</v>
      </c>
      <c r="B101" s="193">
        <v>2032303514</v>
      </c>
      <c r="C101" s="194" t="s">
        <v>211</v>
      </c>
      <c r="D101" s="192">
        <v>27</v>
      </c>
      <c r="E101" s="164"/>
      <c r="F101" s="164"/>
      <c r="G101" s="164"/>
      <c r="H101" s="164"/>
      <c r="I101" s="164"/>
      <c r="J101" s="164"/>
      <c r="K101" s="18"/>
      <c r="L101" s="19"/>
      <c r="M101" s="19"/>
      <c r="N101" s="19"/>
      <c r="O101" s="19"/>
      <c r="P101" s="19"/>
    </row>
    <row r="102" spans="1:16" ht="15.6" customHeight="1">
      <c r="A102" s="137">
        <v>89</v>
      </c>
      <c r="B102" s="193">
        <v>2032303501</v>
      </c>
      <c r="C102" s="194" t="s">
        <v>199</v>
      </c>
      <c r="D102" s="192">
        <v>32</v>
      </c>
      <c r="E102" s="164"/>
      <c r="F102" s="164"/>
      <c r="G102" s="164"/>
      <c r="H102" s="164"/>
      <c r="I102" s="164"/>
      <c r="J102" s="164"/>
      <c r="K102" s="18"/>
      <c r="L102" s="19"/>
      <c r="M102" s="19"/>
      <c r="N102" s="19"/>
      <c r="O102" s="19"/>
      <c r="P102" s="19"/>
    </row>
    <row r="103" spans="1:16" ht="15.6" customHeight="1">
      <c r="A103" s="137">
        <v>90</v>
      </c>
      <c r="B103" s="193">
        <v>2032303461</v>
      </c>
      <c r="C103" s="194" t="s">
        <v>159</v>
      </c>
      <c r="D103" s="192">
        <v>31</v>
      </c>
      <c r="E103" s="164"/>
      <c r="F103" s="164"/>
      <c r="G103" s="164"/>
      <c r="H103" s="164"/>
      <c r="I103" s="164"/>
      <c r="J103" s="164"/>
      <c r="K103" s="18"/>
      <c r="L103" s="19"/>
      <c r="M103" s="19"/>
      <c r="N103" s="19"/>
      <c r="O103" s="19"/>
      <c r="P103" s="19"/>
    </row>
    <row r="104" spans="1:16" ht="15.6" customHeight="1">
      <c r="A104" s="137">
        <v>91</v>
      </c>
      <c r="B104" s="193">
        <v>2032303305</v>
      </c>
      <c r="C104" s="194" t="s">
        <v>148</v>
      </c>
      <c r="D104" s="192">
        <v>31</v>
      </c>
      <c r="E104" s="164"/>
      <c r="F104" s="164"/>
      <c r="G104" s="164"/>
      <c r="H104" s="164"/>
      <c r="I104" s="164"/>
      <c r="J104" s="164"/>
      <c r="K104" s="18"/>
      <c r="L104" s="19"/>
      <c r="M104" s="19"/>
      <c r="N104" s="19"/>
      <c r="O104" s="19"/>
      <c r="P104" s="19"/>
    </row>
    <row r="105" spans="1:16" ht="15.6" customHeight="1">
      <c r="A105" s="137">
        <v>92</v>
      </c>
      <c r="B105" s="193">
        <v>2032303531</v>
      </c>
      <c r="C105" s="194" t="s">
        <v>228</v>
      </c>
      <c r="D105" s="192">
        <v>37</v>
      </c>
      <c r="E105" s="164"/>
      <c r="F105" s="164"/>
      <c r="G105" s="164"/>
      <c r="H105" s="164"/>
      <c r="I105" s="164"/>
      <c r="J105" s="164"/>
      <c r="K105" s="18"/>
      <c r="L105" s="19"/>
      <c r="M105" s="19"/>
      <c r="N105" s="19"/>
      <c r="O105" s="19"/>
      <c r="P105" s="19"/>
    </row>
    <row r="106" spans="1:16" ht="15.6" customHeight="1">
      <c r="A106" s="137">
        <v>93</v>
      </c>
      <c r="B106" s="193">
        <v>2032303460</v>
      </c>
      <c r="C106" s="194" t="s">
        <v>158</v>
      </c>
      <c r="D106" s="192">
        <v>31</v>
      </c>
      <c r="E106" s="164"/>
      <c r="F106" s="164"/>
      <c r="G106" s="164"/>
      <c r="H106" s="164"/>
      <c r="I106" s="164"/>
      <c r="J106" s="164"/>
      <c r="K106" s="18"/>
      <c r="L106" s="19"/>
      <c r="M106" s="19"/>
      <c r="N106" s="19"/>
      <c r="O106" s="19"/>
      <c r="P106" s="19"/>
    </row>
    <row r="107" spans="1:16" ht="15.6" customHeight="1">
      <c r="A107" s="137">
        <v>94</v>
      </c>
      <c r="B107" s="193">
        <v>2032303533</v>
      </c>
      <c r="C107" s="194" t="s">
        <v>230</v>
      </c>
      <c r="D107" s="192">
        <v>31</v>
      </c>
      <c r="E107" s="164"/>
      <c r="F107" s="164"/>
      <c r="G107" s="164"/>
      <c r="H107" s="164"/>
      <c r="I107" s="164"/>
      <c r="J107" s="164"/>
      <c r="K107" s="18"/>
      <c r="L107" s="19"/>
      <c r="M107" s="19"/>
      <c r="N107" s="19"/>
      <c r="O107" s="19"/>
      <c r="P107" s="19"/>
    </row>
    <row r="108" spans="1:16" ht="15.6" customHeight="1">
      <c r="A108" s="137">
        <v>95</v>
      </c>
      <c r="B108" s="193">
        <v>2032303471</v>
      </c>
      <c r="C108" s="194" t="s">
        <v>169</v>
      </c>
      <c r="D108" s="192">
        <v>37</v>
      </c>
      <c r="E108" s="164"/>
      <c r="F108" s="164"/>
      <c r="G108" s="164"/>
      <c r="H108" s="164"/>
      <c r="I108" s="164"/>
      <c r="J108" s="164"/>
      <c r="K108" s="18"/>
      <c r="L108" s="19"/>
      <c r="M108" s="19"/>
      <c r="N108" s="19"/>
      <c r="O108" s="19"/>
      <c r="P108" s="19"/>
    </row>
    <row r="109" spans="1:16" ht="15.6" customHeight="1">
      <c r="A109" s="137">
        <v>96</v>
      </c>
      <c r="B109" s="193">
        <v>2032303546</v>
      </c>
      <c r="C109" s="194" t="s">
        <v>243</v>
      </c>
      <c r="D109" s="192">
        <v>31</v>
      </c>
      <c r="E109" s="164"/>
      <c r="F109" s="164"/>
      <c r="G109" s="164"/>
      <c r="H109" s="164"/>
      <c r="I109" s="164"/>
      <c r="J109" s="164"/>
      <c r="K109" s="18"/>
      <c r="L109" s="19"/>
      <c r="M109" s="19"/>
      <c r="N109" s="19"/>
      <c r="O109" s="19"/>
      <c r="P109" s="19"/>
    </row>
    <row r="110" spans="1:16" ht="15.6" customHeight="1">
      <c r="A110" s="137">
        <v>97</v>
      </c>
      <c r="B110" s="193">
        <v>2032303454</v>
      </c>
      <c r="C110" s="194" t="s">
        <v>152</v>
      </c>
      <c r="D110" s="192">
        <v>34</v>
      </c>
      <c r="E110" s="164"/>
      <c r="F110" s="164"/>
      <c r="G110" s="164"/>
      <c r="H110" s="164"/>
      <c r="I110" s="164"/>
      <c r="J110" s="164"/>
      <c r="K110" s="18"/>
      <c r="L110" s="19"/>
      <c r="M110" s="19"/>
      <c r="N110" s="19"/>
      <c r="O110" s="19"/>
      <c r="P110" s="19"/>
    </row>
    <row r="111" spans="1:16" ht="15.6" customHeight="1">
      <c r="A111" s="137">
        <v>98</v>
      </c>
      <c r="B111" s="193">
        <v>2032303521</v>
      </c>
      <c r="C111" s="194" t="s">
        <v>218</v>
      </c>
      <c r="D111" s="192">
        <v>31</v>
      </c>
      <c r="E111" s="164"/>
      <c r="F111" s="164"/>
      <c r="G111" s="164"/>
      <c r="H111" s="164"/>
      <c r="I111" s="164"/>
      <c r="J111" s="164"/>
      <c r="K111" s="18"/>
      <c r="L111" s="19"/>
      <c r="M111" s="19"/>
      <c r="N111" s="19"/>
      <c r="O111" s="19"/>
      <c r="P111" s="19"/>
    </row>
    <row r="112" spans="1:16" ht="15.6" customHeight="1">
      <c r="A112" s="137">
        <v>99</v>
      </c>
      <c r="B112" s="193">
        <v>2032303545</v>
      </c>
      <c r="C112" s="194" t="s">
        <v>242</v>
      </c>
      <c r="D112" s="192">
        <v>22</v>
      </c>
      <c r="E112" s="164"/>
      <c r="F112" s="164"/>
      <c r="G112" s="164"/>
      <c r="H112" s="164"/>
      <c r="I112" s="164"/>
      <c r="J112" s="164"/>
      <c r="K112" s="18"/>
      <c r="L112" s="19"/>
      <c r="M112" s="19"/>
      <c r="N112" s="19"/>
      <c r="O112" s="19"/>
      <c r="P112" s="19"/>
    </row>
    <row r="113" spans="1:16" ht="15.6" customHeight="1">
      <c r="A113" s="137">
        <v>100</v>
      </c>
      <c r="B113" s="193">
        <v>2032303543</v>
      </c>
      <c r="C113" s="194" t="s">
        <v>240</v>
      </c>
      <c r="D113" s="192">
        <v>31</v>
      </c>
      <c r="E113" s="164"/>
      <c r="F113" s="164"/>
      <c r="G113" s="164"/>
      <c r="H113" s="164"/>
      <c r="I113" s="164"/>
      <c r="J113" s="164"/>
      <c r="K113" s="18"/>
      <c r="L113" s="19"/>
      <c r="M113" s="19"/>
      <c r="N113" s="19"/>
      <c r="O113" s="19"/>
      <c r="P113" s="19"/>
    </row>
    <row r="114" spans="1:16" ht="15.6" customHeight="1">
      <c r="A114" s="137">
        <v>101</v>
      </c>
      <c r="B114" s="193">
        <v>2032303526</v>
      </c>
      <c r="C114" s="194" t="s">
        <v>223</v>
      </c>
      <c r="D114" s="192">
        <v>31</v>
      </c>
      <c r="E114" s="164"/>
      <c r="F114" s="164"/>
      <c r="G114" s="164"/>
      <c r="H114" s="164"/>
      <c r="I114" s="164"/>
      <c r="J114" s="164"/>
      <c r="K114" s="18"/>
      <c r="L114" s="19"/>
      <c r="M114" s="19"/>
      <c r="N114" s="19"/>
      <c r="O114" s="19"/>
      <c r="P114" s="19"/>
    </row>
    <row r="115" spans="1:16" ht="15.6" customHeight="1">
      <c r="A115" s="137">
        <v>102</v>
      </c>
      <c r="B115" s="193">
        <v>2032303557</v>
      </c>
      <c r="C115" s="194" t="s">
        <v>254</v>
      </c>
      <c r="D115" s="192">
        <v>31</v>
      </c>
      <c r="E115" s="164"/>
      <c r="F115" s="164"/>
      <c r="G115" s="164"/>
      <c r="H115" s="164"/>
      <c r="I115" s="164"/>
      <c r="J115" s="164"/>
      <c r="K115" s="18"/>
      <c r="L115" s="19"/>
      <c r="M115" s="19"/>
      <c r="N115" s="19"/>
      <c r="O115" s="19"/>
      <c r="P115" s="19"/>
    </row>
    <row r="116" spans="1:16" ht="15.6" customHeight="1">
      <c r="A116" s="137">
        <v>103</v>
      </c>
      <c r="B116" s="193">
        <v>2032303506</v>
      </c>
      <c r="C116" s="194" t="s">
        <v>203</v>
      </c>
      <c r="D116" s="192">
        <v>37</v>
      </c>
      <c r="E116" s="164"/>
      <c r="F116" s="164"/>
      <c r="G116" s="164"/>
      <c r="H116" s="164"/>
      <c r="I116" s="164"/>
      <c r="J116" s="164"/>
      <c r="K116" s="18"/>
      <c r="L116" s="19"/>
      <c r="M116" s="19"/>
      <c r="N116" s="19"/>
      <c r="O116" s="19"/>
      <c r="P116" s="19"/>
    </row>
    <row r="117" spans="1:16" ht="15.6" customHeight="1">
      <c r="A117" s="137">
        <v>104</v>
      </c>
      <c r="B117" s="193">
        <v>2032303537</v>
      </c>
      <c r="C117" s="194" t="s">
        <v>234</v>
      </c>
      <c r="D117" s="192">
        <v>31</v>
      </c>
      <c r="E117" s="164"/>
      <c r="F117" s="164"/>
      <c r="G117" s="164"/>
      <c r="H117" s="164"/>
      <c r="I117" s="164"/>
      <c r="J117" s="164"/>
      <c r="K117" s="18"/>
      <c r="L117" s="19"/>
      <c r="M117" s="19"/>
      <c r="N117" s="19"/>
      <c r="O117" s="19"/>
      <c r="P117" s="19"/>
    </row>
    <row r="118" spans="1:16" ht="15.6" customHeight="1">
      <c r="A118" s="137">
        <v>105</v>
      </c>
      <c r="B118" s="193">
        <v>2032303558</v>
      </c>
      <c r="C118" s="194" t="s">
        <v>255</v>
      </c>
      <c r="D118" s="192">
        <v>31</v>
      </c>
      <c r="E118" s="164"/>
      <c r="F118" s="164"/>
      <c r="G118" s="164"/>
      <c r="H118" s="164"/>
      <c r="I118" s="164"/>
      <c r="J118" s="164"/>
      <c r="K118" s="18"/>
      <c r="L118" s="19"/>
      <c r="M118" s="19"/>
      <c r="N118" s="19"/>
      <c r="O118" s="19"/>
      <c r="P118" s="19"/>
    </row>
    <row r="119" spans="1:16" ht="15.75">
      <c r="A119" s="137">
        <v>106</v>
      </c>
      <c r="B119" s="193">
        <v>2032303553</v>
      </c>
      <c r="C119" s="194" t="s">
        <v>250</v>
      </c>
      <c r="D119" s="192">
        <v>31</v>
      </c>
      <c r="E119" s="164"/>
      <c r="F119" s="164"/>
      <c r="G119" s="164"/>
      <c r="H119" s="164"/>
      <c r="I119" s="164"/>
      <c r="J119" s="164"/>
      <c r="K119" s="18"/>
      <c r="L119" s="19"/>
      <c r="M119" s="19"/>
      <c r="N119" s="19"/>
      <c r="O119" s="19"/>
      <c r="P119" s="19"/>
    </row>
    <row r="120" spans="1:16" ht="15.75">
      <c r="A120" s="137">
        <v>107</v>
      </c>
      <c r="B120" s="193">
        <v>2032303555</v>
      </c>
      <c r="C120" s="194" t="s">
        <v>252</v>
      </c>
      <c r="D120" s="192">
        <v>37</v>
      </c>
      <c r="E120" s="164"/>
      <c r="F120" s="164"/>
      <c r="G120" s="164"/>
      <c r="H120" s="164"/>
      <c r="I120" s="164"/>
      <c r="J120" s="164"/>
      <c r="K120" s="18"/>
      <c r="L120" s="19"/>
      <c r="M120" s="19"/>
      <c r="N120" s="19"/>
      <c r="O120" s="19"/>
      <c r="P120" s="19"/>
    </row>
    <row r="121" spans="1:16" ht="15" customHeight="1">
      <c r="A121" s="189"/>
      <c r="B121" s="175"/>
      <c r="C121" s="175"/>
      <c r="D121" s="196"/>
      <c r="E121" s="189"/>
      <c r="F121" s="189"/>
      <c r="G121" s="189"/>
      <c r="H121" s="189"/>
      <c r="I121" s="189"/>
      <c r="J121" s="189"/>
      <c r="K121" s="19"/>
      <c r="L121" s="19"/>
      <c r="M121" s="19"/>
      <c r="N121" s="19"/>
      <c r="O121" s="19"/>
      <c r="P121" s="19"/>
    </row>
    <row r="122" spans="1:16" ht="12.75" customHeight="1">
      <c r="A122" s="189"/>
      <c r="B122" s="177">
        <v>1</v>
      </c>
      <c r="C122" s="178" t="s">
        <v>26</v>
      </c>
      <c r="D122" s="196">
        <f t="shared" ref="D122" si="0">IFERROR(COUNT(D12:D119),"NA")</f>
        <v>107</v>
      </c>
      <c r="E122" s="189"/>
      <c r="F122" s="189"/>
      <c r="G122" s="189"/>
      <c r="H122" s="189"/>
      <c r="I122" s="189"/>
      <c r="J122" s="189"/>
      <c r="K122" s="19"/>
      <c r="L122" s="19"/>
      <c r="M122" s="19"/>
      <c r="N122" s="19"/>
      <c r="O122" s="19"/>
      <c r="P122" s="19"/>
    </row>
    <row r="123" spans="1:16" ht="12.75" customHeight="1">
      <c r="A123" s="189"/>
      <c r="B123" s="179">
        <v>2</v>
      </c>
      <c r="C123" s="180" t="str">
        <f>CONCATENATE("No of students more than ",70, "% = (x1)")</f>
        <v>No of students more than 70% = (x1)</v>
      </c>
      <c r="D123" s="196">
        <f>COUNTIF(D14:D120,"&gt;="&amp;D13*70%)</f>
        <v>15</v>
      </c>
      <c r="E123" s="189"/>
      <c r="F123" s="189"/>
      <c r="G123" s="189"/>
      <c r="H123" s="189"/>
      <c r="I123" s="189"/>
      <c r="J123" s="189"/>
      <c r="K123" s="20"/>
      <c r="L123" s="20"/>
      <c r="M123" s="20"/>
      <c r="N123" s="20"/>
      <c r="O123" s="20"/>
      <c r="P123" s="20"/>
    </row>
    <row r="124" spans="1:16" ht="13.5" customHeight="1">
      <c r="A124" s="189"/>
      <c r="B124" s="177">
        <v>3</v>
      </c>
      <c r="C124" s="181" t="str">
        <f>CONCATENATE("No of students between 70 and ",60, "% = (x2)")</f>
        <v>No of students between 70 and 60% = (x2)</v>
      </c>
      <c r="D124" s="196">
        <f>COUNTIFS(D14:D120,"&gt;="&amp;D13*60%,D14:D120,"&lt;"&amp;D13*70%)</f>
        <v>71</v>
      </c>
      <c r="E124" s="189"/>
      <c r="F124" s="189"/>
      <c r="G124" s="189"/>
      <c r="H124" s="189"/>
      <c r="I124" s="189"/>
      <c r="J124" s="189"/>
      <c r="K124" s="19"/>
      <c r="L124" s="19"/>
      <c r="M124" s="19"/>
      <c r="N124" s="19"/>
      <c r="O124" s="19"/>
      <c r="P124" s="19"/>
    </row>
    <row r="125" spans="1:16" ht="15.75">
      <c r="B125" s="177">
        <v>4</v>
      </c>
      <c r="C125" s="182" t="str">
        <f>CONCATENATE("No of students between 60 and ",50, "% = (x3)")</f>
        <v>No of students between 60 and 50% = (x3)</v>
      </c>
      <c r="D125" s="196">
        <f>COUNTIFS(D14:D120,"&gt;="&amp;D13*50%,D14:D120,"&lt;"&amp;D13*60%)</f>
        <v>4</v>
      </c>
    </row>
    <row r="126" spans="1:16" ht="15.75">
      <c r="B126" s="177">
        <v>5</v>
      </c>
      <c r="C126" s="183" t="s">
        <v>396</v>
      </c>
      <c r="D126" s="196">
        <f>COUNTIFS(D14:D120,"&gt;="&amp;D13*40%,D14:D120,"&lt;"&amp;D13*50%)</f>
        <v>17</v>
      </c>
    </row>
    <row r="127" spans="1:16" ht="31.5">
      <c r="B127" s="177">
        <v>6</v>
      </c>
      <c r="C127" s="184" t="s">
        <v>397</v>
      </c>
      <c r="D127" s="196">
        <f>COUNTIF(D14:D120,"&lt;"&amp;D13*40%)</f>
        <v>0</v>
      </c>
    </row>
    <row r="128" spans="1:16" ht="15.75">
      <c r="B128" s="177">
        <v>7</v>
      </c>
      <c r="C128" s="178" t="s">
        <v>29</v>
      </c>
      <c r="D128" s="197">
        <f t="shared" ref="D128" si="1">(D123*3+D124*2+D125*1)/(COUNT(D5:D119)*3)*100</f>
        <v>59.50155763239875</v>
      </c>
    </row>
    <row r="129" spans="2:4" ht="15.75">
      <c r="B129" s="177">
        <v>8</v>
      </c>
      <c r="C129" s="186" t="s">
        <v>398</v>
      </c>
      <c r="D129" s="196">
        <f t="shared" ref="D129" si="2">IF(D128&lt;&gt;"NA",IF(D128&gt;=70,3,IF(D128&gt;=60,2,IF(D128&gt;=50,1,"0"))),"NA")</f>
        <v>1</v>
      </c>
    </row>
  </sheetData>
  <sortState ref="A15:C214">
    <sortCondition ref="B15:B214"/>
  </sortState>
  <mergeCells count="16">
    <mergeCell ref="D11:D12"/>
    <mergeCell ref="P11:P12"/>
    <mergeCell ref="A1:J1"/>
    <mergeCell ref="A2:J2"/>
    <mergeCell ref="A3:J3"/>
    <mergeCell ref="A4:J4"/>
    <mergeCell ref="A10:J10"/>
    <mergeCell ref="A7:C7"/>
    <mergeCell ref="A8:C8"/>
    <mergeCell ref="D6:E8"/>
    <mergeCell ref="A11:A13"/>
    <mergeCell ref="B11:B13"/>
    <mergeCell ref="C11:C13"/>
    <mergeCell ref="H6:I8"/>
    <mergeCell ref="J6:J8"/>
    <mergeCell ref="A6:C6"/>
  </mergeCells>
  <pageMargins left="0.7" right="0.7" top="0.75" bottom="0.75" header="0.3" footer="0.3"/>
  <pageSetup scale="75" fitToWidth="0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opLeftCell="A7" zoomScaleNormal="100" workbookViewId="0">
      <selection activeCell="B33" sqref="B33"/>
    </sheetView>
  </sheetViews>
  <sheetFormatPr defaultColWidth="8.85546875" defaultRowHeight="15"/>
  <cols>
    <col min="1" max="1" width="8.85546875" style="22"/>
    <col min="2" max="2" width="57.7109375" style="22" customWidth="1"/>
    <col min="3" max="7" width="7.7109375" style="22" customWidth="1"/>
    <col min="8" max="9" width="8.85546875" style="22"/>
    <col min="10" max="10" width="10.7109375" style="22" customWidth="1"/>
    <col min="11" max="11" width="13.5703125" style="22" customWidth="1"/>
    <col min="12" max="16384" width="8.85546875" style="22"/>
  </cols>
  <sheetData>
    <row r="1" spans="1:13" s="7" customFormat="1" ht="18.75">
      <c r="A1" s="359" t="s">
        <v>94</v>
      </c>
      <c r="B1" s="359"/>
      <c r="C1" s="359"/>
      <c r="D1" s="359"/>
      <c r="E1" s="359"/>
      <c r="F1" s="359"/>
      <c r="G1" s="359"/>
      <c r="H1" s="83"/>
      <c r="I1" s="83"/>
      <c r="J1" s="83"/>
      <c r="K1" s="83"/>
      <c r="L1" s="83"/>
      <c r="M1" s="83"/>
    </row>
    <row r="2" spans="1:13" s="7" customFormat="1" ht="23.45" customHeight="1">
      <c r="A2" s="360" t="s">
        <v>95</v>
      </c>
      <c r="B2" s="360"/>
      <c r="C2" s="360"/>
      <c r="D2" s="360"/>
      <c r="E2" s="360"/>
      <c r="F2" s="360"/>
      <c r="G2" s="360"/>
      <c r="H2" s="84"/>
      <c r="I2" s="84"/>
      <c r="J2" s="84"/>
      <c r="K2" s="84"/>
      <c r="L2" s="84"/>
      <c r="M2" s="84"/>
    </row>
    <row r="3" spans="1:13" s="7" customFormat="1" ht="13.9" customHeight="1">
      <c r="A3" s="216" t="s">
        <v>96</v>
      </c>
      <c r="B3" s="216"/>
      <c r="C3" s="216"/>
      <c r="D3" s="216"/>
      <c r="E3" s="216"/>
      <c r="F3" s="216"/>
      <c r="G3" s="216"/>
      <c r="H3" s="85"/>
      <c r="I3" s="85"/>
      <c r="J3" s="85"/>
      <c r="K3" s="85"/>
      <c r="L3" s="85"/>
      <c r="M3" s="85"/>
    </row>
    <row r="4" spans="1:13" s="7" customFormat="1" ht="13.9" customHeight="1">
      <c r="A4" s="216" t="s">
        <v>9</v>
      </c>
      <c r="B4" s="216"/>
      <c r="C4" s="216"/>
      <c r="D4" s="216"/>
      <c r="E4" s="216"/>
      <c r="F4" s="216"/>
      <c r="G4" s="216"/>
      <c r="H4" s="85"/>
      <c r="I4" s="85"/>
      <c r="J4" s="85"/>
      <c r="K4" s="85"/>
      <c r="L4" s="85"/>
      <c r="M4" s="85"/>
    </row>
    <row r="5" spans="1:13">
      <c r="A5" s="7"/>
      <c r="B5" s="361" t="str">
        <f>CONCATENATE("Faculty Name: ", Faculty)</f>
        <v>Faculty Name: Narsareddy Chude, Sonali Late</v>
      </c>
      <c r="C5" s="361"/>
      <c r="D5" s="361"/>
      <c r="E5" s="361"/>
      <c r="F5" s="361"/>
      <c r="G5" s="6"/>
      <c r="H5" s="6"/>
      <c r="I5" s="6"/>
      <c r="J5" s="6"/>
      <c r="K5" s="6"/>
      <c r="L5" s="7"/>
      <c r="M5" s="7"/>
    </row>
    <row r="6" spans="1:13">
      <c r="A6" s="7"/>
      <c r="B6" s="362" t="str">
        <f>CONCATENATE("Subject Name &amp; Code: ", Sub_Code)</f>
        <v>Subject Name &amp; Code: Java Programming</v>
      </c>
      <c r="C6" s="362"/>
      <c r="D6" s="362"/>
      <c r="E6" s="362"/>
      <c r="F6" s="362"/>
      <c r="G6" s="6"/>
      <c r="H6" s="6"/>
      <c r="I6" s="6"/>
      <c r="J6" s="6"/>
      <c r="K6" s="6"/>
      <c r="L6" s="7"/>
      <c r="M6" s="7"/>
    </row>
    <row r="7" spans="1:13">
      <c r="A7" s="7"/>
      <c r="B7" s="363" t="str">
        <f>CONCATENATE("Class: ",Class_AY)</f>
        <v>Class: MCA I SEM I AY 2023-24</v>
      </c>
      <c r="C7" s="363"/>
      <c r="D7" s="363"/>
      <c r="E7" s="363"/>
      <c r="F7" s="363"/>
      <c r="G7" s="6"/>
      <c r="H7" s="6"/>
      <c r="I7" s="6"/>
      <c r="J7" s="6"/>
      <c r="K7" s="6"/>
      <c r="L7" s="7"/>
      <c r="M7" s="7"/>
    </row>
    <row r="8" spans="1:13" ht="6" customHeight="1"/>
    <row r="9" spans="1:13" ht="34.9" customHeight="1">
      <c r="B9" s="364" t="s">
        <v>34</v>
      </c>
      <c r="C9" s="364"/>
      <c r="D9" s="364"/>
      <c r="E9" s="364"/>
      <c r="F9" s="364"/>
      <c r="G9" s="364"/>
    </row>
    <row r="10" spans="1:13" ht="34.9" customHeight="1">
      <c r="B10" s="125" t="s">
        <v>33</v>
      </c>
      <c r="C10" s="90" t="s">
        <v>2</v>
      </c>
      <c r="D10" s="90" t="s">
        <v>3</v>
      </c>
      <c r="E10" s="90" t="s">
        <v>4</v>
      </c>
      <c r="F10" s="90" t="s">
        <v>10</v>
      </c>
      <c r="G10" s="90" t="s">
        <v>12</v>
      </c>
    </row>
    <row r="11" spans="1:13" ht="34.9" customHeight="1">
      <c r="B11" s="126" t="s">
        <v>47</v>
      </c>
      <c r="C11" s="124">
        <f>AVERAGE('CCE1'!D129,'CCE2'!D129,'CCE3'!D129)</f>
        <v>74.007936507936506</v>
      </c>
      <c r="D11" s="124">
        <f>AVERAGE('CCE1'!E129,'CCE2'!E129,'CCE3'!E129)</f>
        <v>81.944444444444457</v>
      </c>
      <c r="E11" s="124">
        <f>AVERAGE('CCE1'!F129,'CCE2'!F129,'CCE3'!F129)</f>
        <v>78.869047619047635</v>
      </c>
      <c r="F11" s="124">
        <f>AVERAGE('CCE2'!G129,'CCE3'!G129)</f>
        <v>84.970238095238102</v>
      </c>
      <c r="G11" s="124">
        <f>AVERAGE('CCE2'!H129,'CCE3'!H129)</f>
        <v>84.226190476190482</v>
      </c>
    </row>
    <row r="12" spans="1:13" ht="34.9" customHeight="1">
      <c r="B12" s="126" t="s">
        <v>48</v>
      </c>
      <c r="C12" s="124">
        <f>'CO Ext. Attn'!D128</f>
        <v>59.50155763239875</v>
      </c>
      <c r="D12" s="124">
        <v>59.50155763239875</v>
      </c>
      <c r="E12" s="124">
        <v>59.50155763239875</v>
      </c>
      <c r="F12" s="124">
        <v>59.50155763239875</v>
      </c>
      <c r="G12" s="124">
        <v>59.50155763239875</v>
      </c>
    </row>
    <row r="13" spans="1:13" ht="55.5" customHeight="1">
      <c r="B13" s="127" t="s">
        <v>45</v>
      </c>
      <c r="C13" s="209">
        <f>(0.34*C11)+(0.66*C12)</f>
        <v>64.433726450081593</v>
      </c>
      <c r="D13" s="209">
        <f t="shared" ref="D13:G13" si="0">(0.34*D11)+(0.66*D12)</f>
        <v>67.132139148494289</v>
      </c>
      <c r="E13" s="209">
        <f t="shared" si="0"/>
        <v>66.086504227859365</v>
      </c>
      <c r="F13" s="209">
        <f t="shared" si="0"/>
        <v>68.160908989764124</v>
      </c>
      <c r="G13" s="209">
        <f t="shared" si="0"/>
        <v>67.907932799287948</v>
      </c>
    </row>
    <row r="14" spans="1:13" ht="34.9" customHeight="1">
      <c r="B14" s="127" t="s">
        <v>46</v>
      </c>
      <c r="C14" s="161">
        <f>'Course Exit'!D105</f>
        <v>83.908045977011497</v>
      </c>
      <c r="D14" s="161">
        <f>'Course Exit'!E105</f>
        <v>87.586206896551715</v>
      </c>
      <c r="E14" s="161">
        <f>'Course Exit'!F105</f>
        <v>85.517241379310335</v>
      </c>
      <c r="F14" s="161">
        <f>'Course Exit'!G105</f>
        <v>82.068965517241395</v>
      </c>
      <c r="G14" s="161">
        <f>'Course Exit'!H105</f>
        <v>82.068965517241395</v>
      </c>
    </row>
    <row r="15" spans="1:13" ht="34.9" customHeight="1">
      <c r="B15" s="127" t="s">
        <v>34</v>
      </c>
      <c r="C15" s="124">
        <f>(0.8*C13)+(0.2*C14)</f>
        <v>68.328590355467583</v>
      </c>
      <c r="D15" s="124">
        <f t="shared" ref="D15:G15" si="1">(0.8*D13)+(0.2*D14)</f>
        <v>71.222952698105786</v>
      </c>
      <c r="E15" s="124">
        <f t="shared" si="1"/>
        <v>69.972651658149559</v>
      </c>
      <c r="F15" s="124">
        <f t="shared" si="1"/>
        <v>70.942520295259584</v>
      </c>
      <c r="G15" s="124">
        <f t="shared" si="1"/>
        <v>70.740139342878649</v>
      </c>
    </row>
    <row r="16" spans="1:13" ht="34.9" customHeight="1">
      <c r="B16" s="128" t="s">
        <v>53</v>
      </c>
      <c r="C16" s="129">
        <f>IF(C15&gt;=$E20,3,IF(C15&gt;=$E21,2,IF(C15&gt;=$E22,1,0)))</f>
        <v>2</v>
      </c>
      <c r="D16" s="129">
        <f>IF(D15&gt;=$E20,3,IF(D15&gt;=$E21,2,IF(D15&gt;=$E22,1,0)))</f>
        <v>3</v>
      </c>
      <c r="E16" s="129">
        <f>IF(E15&gt;=$E20,3,IF(E15&gt;=$E21,2,IF(E15&gt;=$E22,1,0)))</f>
        <v>2</v>
      </c>
      <c r="F16" s="129">
        <f>IF(F15&gt;=$E20,3,IF(F15&gt;=$E21,2,IF(F15&gt;=$E22,1,0)))</f>
        <v>3</v>
      </c>
      <c r="G16" s="129">
        <f>IF(G15&gt;=$E20,3,IF(G15&gt;=$E21,2,IF(G15&gt;=$E22,1,0)))</f>
        <v>3</v>
      </c>
    </row>
    <row r="18" spans="1:15" ht="15.75">
      <c r="B18" s="48" t="s">
        <v>55</v>
      </c>
    </row>
    <row r="19" spans="1:15" ht="16.5" thickBot="1">
      <c r="B19" s="48"/>
    </row>
    <row r="20" spans="1:15" ht="15.75" thickBot="1">
      <c r="B20" s="342" t="s">
        <v>141</v>
      </c>
      <c r="C20" s="343"/>
      <c r="D20" s="52">
        <v>3</v>
      </c>
      <c r="E20" s="52">
        <v>70</v>
      </c>
      <c r="N20" s="27"/>
      <c r="O20" s="27"/>
    </row>
    <row r="21" spans="1:15" ht="15.75" thickBot="1">
      <c r="B21" s="344"/>
      <c r="C21" s="345"/>
      <c r="D21" s="54">
        <v>2</v>
      </c>
      <c r="E21" s="52">
        <v>60</v>
      </c>
      <c r="N21" s="27"/>
      <c r="O21" s="27"/>
    </row>
    <row r="22" spans="1:15" ht="15.75" thickBot="1">
      <c r="B22" s="346"/>
      <c r="C22" s="347"/>
      <c r="D22" s="56">
        <v>1</v>
      </c>
      <c r="E22" s="52">
        <v>50</v>
      </c>
      <c r="N22"/>
      <c r="O22"/>
    </row>
    <row r="23" spans="1:15" ht="18.75">
      <c r="B23"/>
      <c r="C23"/>
      <c r="D23"/>
      <c r="E23"/>
      <c r="F23"/>
      <c r="G23"/>
      <c r="H23"/>
      <c r="I23"/>
      <c r="J23"/>
      <c r="K23"/>
      <c r="L23"/>
      <c r="M23"/>
      <c r="N23"/>
      <c r="O23" s="68"/>
    </row>
    <row r="24" spans="1:15">
      <c r="B24" s="28" t="str">
        <f>Faculty</f>
        <v>Narsareddy Chude, Sonali Late</v>
      </c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B25" s="96" t="str">
        <f>SubjectDetails!$E$17</f>
        <v>Subject Faculty</v>
      </c>
      <c r="C25"/>
      <c r="D25"/>
      <c r="E25"/>
      <c r="F25"/>
      <c r="G25"/>
      <c r="H25"/>
      <c r="I25"/>
      <c r="J25"/>
      <c r="K25"/>
      <c r="L25"/>
      <c r="M25"/>
      <c r="O25"/>
    </row>
    <row r="26" spans="1:15" s="27" customFormat="1">
      <c r="A26" s="22"/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1:15" s="27" customFormat="1" ht="15.75">
      <c r="A27" s="22"/>
      <c r="B27" s="71"/>
      <c r="C27" s="224"/>
      <c r="D27" s="224"/>
      <c r="E27"/>
      <c r="F27" s="22"/>
      <c r="G27" s="39"/>
      <c r="H27"/>
      <c r="I27"/>
      <c r="J27"/>
      <c r="K27"/>
      <c r="L27"/>
      <c r="M27"/>
      <c r="N27" s="7"/>
    </row>
    <row r="28" spans="1:15" ht="15.75">
      <c r="B28" s="71"/>
      <c r="C28" s="224"/>
      <c r="D28" s="224"/>
      <c r="E28" s="71"/>
      <c r="G28" s="39"/>
      <c r="H28"/>
      <c r="K28"/>
      <c r="M28"/>
      <c r="N28" s="3"/>
      <c r="O28" s="7"/>
    </row>
    <row r="29" spans="1:15" ht="15.75">
      <c r="B29" s="70"/>
      <c r="C29" s="70"/>
      <c r="D29"/>
      <c r="H29" s="2"/>
      <c r="K29" s="70"/>
      <c r="M29" s="70"/>
      <c r="N29" s="27"/>
      <c r="O29" s="27"/>
    </row>
    <row r="30" spans="1:15" ht="15.75">
      <c r="A30" s="221" t="str">
        <f>SubjectDetails!$A$24</f>
        <v>Dr. Ravi Chourasiya</v>
      </c>
      <c r="B30" s="221"/>
      <c r="C30" s="221"/>
      <c r="D30" s="224" t="str">
        <f>SubjectDetails!$E$24</f>
        <v>Dr. Ashwini Chavan</v>
      </c>
      <c r="E30" s="224"/>
      <c r="F30" s="224"/>
      <c r="G30" s="224"/>
      <c r="H30" s="222" t="str">
        <f>SubjectDetails!$H$24</f>
        <v>Dr. Priyanka Singh</v>
      </c>
      <c r="I30" s="222"/>
      <c r="J30" s="70"/>
      <c r="K30"/>
      <c r="L30" s="70"/>
      <c r="M30" s="39"/>
    </row>
    <row r="31" spans="1:15" ht="15.75">
      <c r="A31" s="221" t="str">
        <f>SubjectDetails!$A$25</f>
        <v>(College Examination Officer)</v>
      </c>
      <c r="B31" s="221"/>
      <c r="C31" s="221"/>
      <c r="D31" s="224" t="str">
        <f>SubjectDetails!$E$25</f>
        <v>HOD (MCA)</v>
      </c>
      <c r="E31" s="224"/>
      <c r="F31" s="224"/>
      <c r="G31" s="224"/>
      <c r="H31" s="222" t="str">
        <f>SubjectDetails!$H$25</f>
        <v>Director</v>
      </c>
      <c r="I31" s="222"/>
      <c r="J31" s="70"/>
      <c r="K31"/>
      <c r="L31" s="70"/>
      <c r="M31" s="39"/>
    </row>
    <row r="32" spans="1:15" ht="15.75">
      <c r="B32" s="1"/>
      <c r="C32" s="1"/>
      <c r="D32" s="1"/>
      <c r="E32" s="2"/>
      <c r="F32" s="2"/>
      <c r="G32" s="2"/>
      <c r="H32" s="2"/>
      <c r="I32" s="2"/>
      <c r="J32" s="2"/>
      <c r="K32" s="2"/>
      <c r="L32" s="2"/>
      <c r="M32" s="2"/>
    </row>
    <row r="33" spans="2:13">
      <c r="B33" s="28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</row>
  </sheetData>
  <mergeCells count="17">
    <mergeCell ref="A1:G1"/>
    <mergeCell ref="A2:G2"/>
    <mergeCell ref="A3:G3"/>
    <mergeCell ref="A4:G4"/>
    <mergeCell ref="A30:C30"/>
    <mergeCell ref="C28:D28"/>
    <mergeCell ref="C27:D27"/>
    <mergeCell ref="B20:C22"/>
    <mergeCell ref="B5:F5"/>
    <mergeCell ref="B6:F6"/>
    <mergeCell ref="B7:F7"/>
    <mergeCell ref="B9:G9"/>
    <mergeCell ref="H30:I30"/>
    <mergeCell ref="A31:C31"/>
    <mergeCell ref="H31:I31"/>
    <mergeCell ref="D30:G30"/>
    <mergeCell ref="D31:G31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5"/>
  <sheetViews>
    <sheetView tabSelected="1" topLeftCell="A7" zoomScale="85" zoomScaleNormal="85" workbookViewId="0">
      <selection activeCell="M16" sqref="M16"/>
    </sheetView>
  </sheetViews>
  <sheetFormatPr defaultColWidth="8.85546875" defaultRowHeight="15"/>
  <cols>
    <col min="1" max="1" width="8.85546875" style="27"/>
    <col min="2" max="2" width="21.7109375" style="27" customWidth="1"/>
    <col min="3" max="3" width="12.7109375" style="27" customWidth="1"/>
    <col min="4" max="16384" width="8.85546875" style="27"/>
  </cols>
  <sheetData>
    <row r="1" spans="2:13" s="7" customFormat="1" ht="30" customHeight="1">
      <c r="B1" s="232" t="s">
        <v>94</v>
      </c>
      <c r="C1" s="233"/>
      <c r="D1" s="233"/>
      <c r="E1" s="233"/>
      <c r="F1" s="233"/>
      <c r="G1" s="233"/>
      <c r="H1" s="233"/>
      <c r="I1" s="233"/>
      <c r="J1" s="233"/>
      <c r="K1" s="233"/>
      <c r="L1" s="94"/>
      <c r="M1" s="94"/>
    </row>
    <row r="2" spans="2:13" s="7" customFormat="1" ht="20.45" customHeight="1">
      <c r="B2" s="234" t="s">
        <v>95</v>
      </c>
      <c r="C2" s="235"/>
      <c r="D2" s="235"/>
      <c r="E2" s="235"/>
      <c r="F2" s="235"/>
      <c r="G2" s="235"/>
      <c r="H2" s="235"/>
      <c r="I2" s="235"/>
      <c r="J2" s="235"/>
      <c r="K2" s="235"/>
      <c r="L2" s="95"/>
      <c r="M2" s="95"/>
    </row>
    <row r="3" spans="2:13" s="7" customFormat="1" ht="18" customHeight="1">
      <c r="B3" s="236" t="s">
        <v>96</v>
      </c>
      <c r="C3" s="237"/>
      <c r="D3" s="237"/>
      <c r="E3" s="237"/>
      <c r="F3" s="237"/>
      <c r="G3" s="237"/>
      <c r="H3" s="237"/>
      <c r="I3" s="237"/>
      <c r="J3" s="237"/>
      <c r="K3" s="237"/>
      <c r="L3" s="92"/>
      <c r="M3" s="92"/>
    </row>
    <row r="4" spans="2:13" s="7" customFormat="1" ht="18" customHeight="1">
      <c r="B4" s="236" t="s">
        <v>9</v>
      </c>
      <c r="C4" s="237"/>
      <c r="D4" s="237"/>
      <c r="E4" s="237"/>
      <c r="F4" s="237"/>
      <c r="G4" s="237"/>
      <c r="H4" s="237"/>
      <c r="I4" s="237"/>
      <c r="J4" s="237"/>
      <c r="K4" s="237"/>
      <c r="L4" s="92"/>
      <c r="M4" s="92"/>
    </row>
    <row r="5" spans="2:13">
      <c r="B5" s="6"/>
      <c r="C5" s="6"/>
      <c r="D5" s="6"/>
      <c r="E5" s="6"/>
      <c r="F5" s="6"/>
      <c r="G5" s="6"/>
      <c r="H5" s="6"/>
    </row>
    <row r="6" spans="2:13" ht="20.25">
      <c r="B6" s="370" t="str">
        <f>CONCATENATE("Faculty Name: ", Faculty)</f>
        <v>Faculty Name: Narsareddy Chude, Sonali Late</v>
      </c>
      <c r="C6" s="370"/>
      <c r="D6" s="370"/>
      <c r="E6" s="370"/>
      <c r="F6" s="370"/>
      <c r="G6" s="370"/>
      <c r="H6" s="6"/>
      <c r="I6" s="93"/>
      <c r="J6" s="93"/>
      <c r="K6" s="93"/>
      <c r="L6" s="93"/>
      <c r="M6" s="93"/>
    </row>
    <row r="7" spans="2:13" s="36" customFormat="1" ht="15.75">
      <c r="B7" s="368" t="str">
        <f>CONCATENATE("Subject Name &amp; Code: ", Sub_Code)</f>
        <v>Subject Name &amp; Code: Java Programming</v>
      </c>
      <c r="C7" s="368"/>
      <c r="D7" s="368"/>
      <c r="E7" s="368"/>
      <c r="F7" s="368"/>
      <c r="G7" s="368"/>
      <c r="H7" s="6"/>
      <c r="L7" s="49"/>
      <c r="M7" s="49"/>
    </row>
    <row r="8" spans="2:13" s="38" customFormat="1" ht="15.75">
      <c r="B8" s="369" t="str">
        <f>CONCATENATE("Class: ",Class_AY)</f>
        <v>Class: MCA I SEM I AY 2023-24</v>
      </c>
      <c r="C8" s="369"/>
      <c r="D8" s="369"/>
      <c r="E8" s="369"/>
      <c r="F8" s="369"/>
      <c r="G8" s="369"/>
      <c r="H8" s="6"/>
      <c r="L8" s="49"/>
      <c r="M8" s="49"/>
    </row>
    <row r="9" spans="2:13" s="35" customFormat="1" ht="34.9" customHeight="1">
      <c r="B9" s="367" t="s">
        <v>52</v>
      </c>
      <c r="C9" s="367"/>
      <c r="D9" s="367"/>
      <c r="E9" s="367"/>
      <c r="F9" s="367"/>
      <c r="G9" s="367"/>
      <c r="H9" s="367"/>
      <c r="I9" s="367"/>
      <c r="J9" s="367"/>
      <c r="K9" s="367"/>
      <c r="L9" s="49"/>
      <c r="M9" s="49"/>
    </row>
    <row r="10" spans="2:13" s="35" customFormat="1" ht="34.9" customHeight="1">
      <c r="B10" s="365" t="s">
        <v>51</v>
      </c>
      <c r="C10" s="366"/>
      <c r="D10" s="130" t="s">
        <v>14</v>
      </c>
      <c r="E10" s="130" t="s">
        <v>15</v>
      </c>
      <c r="F10" s="130" t="s">
        <v>16</v>
      </c>
      <c r="G10" s="130" t="s">
        <v>17</v>
      </c>
      <c r="H10" s="130" t="s">
        <v>18</v>
      </c>
      <c r="I10" s="130" t="s">
        <v>19</v>
      </c>
      <c r="J10" s="130" t="s">
        <v>20</v>
      </c>
      <c r="K10" s="130" t="s">
        <v>21</v>
      </c>
      <c r="L10" s="49"/>
      <c r="M10" s="49"/>
    </row>
    <row r="11" spans="2:13" s="35" customFormat="1" ht="34.9" customHeight="1">
      <c r="B11" s="132" t="s">
        <v>25</v>
      </c>
      <c r="C11" s="131"/>
      <c r="D11" s="37">
        <f>'CO Mapping PO '!B18</f>
        <v>2.4</v>
      </c>
      <c r="E11" s="37">
        <f>'CO Mapping PO '!C18</f>
        <v>1.8</v>
      </c>
      <c r="F11" s="37">
        <f>'CO Mapping PO '!D18</f>
        <v>2.2000000000000002</v>
      </c>
      <c r="G11" s="37">
        <f>'CO Mapping PO '!E18</f>
        <v>2.4</v>
      </c>
      <c r="H11" s="37">
        <f>'CO Mapping PO '!F18</f>
        <v>1</v>
      </c>
      <c r="I11" s="37">
        <f>'CO Mapping PO '!G18</f>
        <v>1.5</v>
      </c>
      <c r="J11" s="37">
        <f>'CO Mapping PO '!H18</f>
        <v>1</v>
      </c>
      <c r="K11" s="37">
        <f>'CO Mapping PO '!I18</f>
        <v>2</v>
      </c>
      <c r="L11" s="49"/>
      <c r="M11" s="49"/>
    </row>
    <row r="12" spans="2:13" s="35" customFormat="1" ht="34.9" customHeight="1">
      <c r="B12" s="133" t="s">
        <v>2</v>
      </c>
      <c r="C12" s="134">
        <f>'OverallCO Attainment'!C15</f>
        <v>68.328590355467583</v>
      </c>
      <c r="D12" s="154">
        <v>2</v>
      </c>
      <c r="E12" s="154">
        <v>1</v>
      </c>
      <c r="F12" s="154">
        <v>1</v>
      </c>
      <c r="G12" s="154">
        <v>2</v>
      </c>
      <c r="H12" s="154">
        <v>0</v>
      </c>
      <c r="I12" s="154">
        <v>0</v>
      </c>
      <c r="J12" s="154">
        <v>0</v>
      </c>
      <c r="K12" s="154">
        <v>2</v>
      </c>
      <c r="L12" s="49"/>
      <c r="M12" s="49"/>
    </row>
    <row r="13" spans="2:13" s="35" customFormat="1" ht="34.9" customHeight="1">
      <c r="B13" s="133" t="s">
        <v>3</v>
      </c>
      <c r="C13" s="134">
        <f>'OverallCO Attainment'!D15</f>
        <v>71.222952698105786</v>
      </c>
      <c r="D13" s="154">
        <v>2</v>
      </c>
      <c r="E13" s="154">
        <v>2</v>
      </c>
      <c r="F13" s="154">
        <v>2</v>
      </c>
      <c r="G13" s="154">
        <v>2</v>
      </c>
      <c r="H13" s="154">
        <v>0</v>
      </c>
      <c r="I13" s="154">
        <v>0</v>
      </c>
      <c r="J13" s="154">
        <v>0</v>
      </c>
      <c r="K13" s="154">
        <v>2</v>
      </c>
      <c r="L13" s="49"/>
      <c r="M13" s="49"/>
    </row>
    <row r="14" spans="2:13" ht="34.9" customHeight="1">
      <c r="B14" s="133" t="s">
        <v>4</v>
      </c>
      <c r="C14" s="134">
        <f>'OverallCO Attainment'!E15</f>
        <v>69.972651658149559</v>
      </c>
      <c r="D14" s="154">
        <v>2</v>
      </c>
      <c r="E14" s="154">
        <v>2</v>
      </c>
      <c r="F14" s="154">
        <v>2</v>
      </c>
      <c r="G14" s="154">
        <v>2</v>
      </c>
      <c r="H14" s="154">
        <v>0</v>
      </c>
      <c r="I14" s="154">
        <v>0</v>
      </c>
      <c r="J14" s="154">
        <v>0</v>
      </c>
      <c r="K14" s="154">
        <v>2</v>
      </c>
      <c r="L14" s="49"/>
      <c r="M14" s="49"/>
    </row>
    <row r="15" spans="2:13" ht="34.9" customHeight="1">
      <c r="B15" s="133" t="s">
        <v>10</v>
      </c>
      <c r="C15" s="134">
        <f>'OverallCO Attainment'!F15</f>
        <v>70.942520295259584</v>
      </c>
      <c r="D15" s="154">
        <v>3</v>
      </c>
      <c r="E15" s="154">
        <v>2</v>
      </c>
      <c r="F15" s="154">
        <v>3</v>
      </c>
      <c r="G15" s="154">
        <v>3</v>
      </c>
      <c r="H15" s="154">
        <v>1</v>
      </c>
      <c r="I15" s="154">
        <v>1</v>
      </c>
      <c r="J15" s="154">
        <v>0</v>
      </c>
      <c r="K15" s="154">
        <v>2</v>
      </c>
    </row>
    <row r="16" spans="2:13" ht="34.9" customHeight="1">
      <c r="B16" s="133" t="s">
        <v>12</v>
      </c>
      <c r="C16" s="134">
        <f>'OverallCO Attainment'!G15</f>
        <v>70.740139342878649</v>
      </c>
      <c r="D16" s="154">
        <v>3</v>
      </c>
      <c r="E16" s="154">
        <v>2</v>
      </c>
      <c r="F16" s="154">
        <v>3</v>
      </c>
      <c r="G16" s="154">
        <v>3</v>
      </c>
      <c r="H16" s="154">
        <v>1</v>
      </c>
      <c r="I16" s="154">
        <v>2</v>
      </c>
      <c r="J16" s="154">
        <v>1</v>
      </c>
      <c r="K16" s="154">
        <v>2</v>
      </c>
    </row>
    <row r="17" spans="2:13" ht="34.9" customHeight="1">
      <c r="C17" s="136" t="s">
        <v>59</v>
      </c>
      <c r="D17" s="162">
        <f>(C12*D12+C13*D13+C14*D14+C15*D15+C16*D16)/(D12+D13+D14+D15+D16)</f>
        <v>70.341364028155056</v>
      </c>
      <c r="E17" s="162">
        <f>(C12*E12+C13*E13+C14*E14+C15*E15+C16*E16)/(E12+E13+E14+E15+E16)</f>
        <v>70.453902038250533</v>
      </c>
      <c r="F17" s="162">
        <f>(C12*F12+C13*F13+C14*F14+C15*F15+C16*F16)/(F12+F13+F14+F15+F16)</f>
        <v>70.524343452944819</v>
      </c>
      <c r="G17" s="162">
        <f>(C12*G12+C13*G13+C14*G14+C15*G15+C16*G16)/(G12+G13+G14+G15+G16)</f>
        <v>70.341364028155056</v>
      </c>
      <c r="H17" s="162">
        <f>(C12*H12+C13*H13+C14*H14+C15*H15+C16*H16)/(H12+H13+H14+H15+H16)</f>
        <v>70.841329819069117</v>
      </c>
      <c r="I17" s="162">
        <f>(C12*I12+C13*I13+C14*I14+C15*I15+C16*I16)/(I12+I13+I14+I15+I16)</f>
        <v>70.807599660338965</v>
      </c>
      <c r="J17" s="162">
        <f>(C12*J12+C13*J13+C14*J14+C15*J15+C16*J16)/(J12+J13+J14+J15+J16)</f>
        <v>70.740139342878649</v>
      </c>
      <c r="K17" s="162">
        <f>(C12*K12+C13*K13+C14*K14+C15*K15+C16*K16)/(K12+K13+K14+K15+K16)</f>
        <v>70.241370869972243</v>
      </c>
      <c r="L17" s="39"/>
      <c r="M17" s="24"/>
    </row>
    <row r="18" spans="2:13" ht="34.9" customHeight="1">
      <c r="C18" s="136" t="s">
        <v>256</v>
      </c>
      <c r="D18" s="163">
        <f>D17/100*3</f>
        <v>2.1102409208446513</v>
      </c>
      <c r="E18" s="163">
        <f t="shared" ref="E18:K18" si="0">E17/100*3</f>
        <v>2.113617061147516</v>
      </c>
      <c r="F18" s="163">
        <f t="shared" si="0"/>
        <v>2.1157303035883444</v>
      </c>
      <c r="G18" s="163">
        <f t="shared" si="0"/>
        <v>2.1102409208446513</v>
      </c>
      <c r="H18" s="163">
        <f t="shared" si="0"/>
        <v>2.1252398945720739</v>
      </c>
      <c r="I18" s="163">
        <f t="shared" si="0"/>
        <v>2.1242279898101688</v>
      </c>
      <c r="J18" s="163">
        <f t="shared" si="0"/>
        <v>2.1222041802863596</v>
      </c>
      <c r="K18" s="163">
        <f t="shared" si="0"/>
        <v>2.1072411260991672</v>
      </c>
      <c r="L18" s="39"/>
      <c r="M18" s="24"/>
    </row>
    <row r="21" spans="2:13" ht="15.75">
      <c r="C21" s="39"/>
      <c r="D21" s="39"/>
      <c r="E21" s="39"/>
      <c r="F21" s="39"/>
      <c r="G21" s="39"/>
      <c r="H21" s="40"/>
      <c r="I21"/>
      <c r="J21"/>
      <c r="K21"/>
      <c r="L21"/>
      <c r="M21"/>
    </row>
    <row r="22" spans="2:13" ht="15.75">
      <c r="C22" s="39"/>
      <c r="D22" s="39"/>
      <c r="E22" s="39"/>
      <c r="F22" s="39"/>
      <c r="G22" s="39"/>
      <c r="H22" s="40"/>
      <c r="I22"/>
      <c r="J22"/>
      <c r="K22"/>
      <c r="L22"/>
      <c r="M22"/>
    </row>
    <row r="23" spans="2:13">
      <c r="I23"/>
      <c r="J23"/>
      <c r="K23"/>
      <c r="L23"/>
      <c r="M23"/>
    </row>
    <row r="24" spans="2:13" ht="15.75">
      <c r="B24" s="41" t="str">
        <f>Faculty</f>
        <v>Narsareddy Chude, Sonali Late</v>
      </c>
      <c r="I24"/>
      <c r="J24"/>
      <c r="K24"/>
      <c r="L24"/>
      <c r="M24"/>
    </row>
    <row r="25" spans="2:13" ht="15.75">
      <c r="B25" s="41" t="str">
        <f>Designation</f>
        <v>Assistant Professor</v>
      </c>
      <c r="C25"/>
      <c r="D25"/>
      <c r="E25"/>
      <c r="F25"/>
      <c r="G25"/>
      <c r="H25"/>
      <c r="I25"/>
      <c r="J25"/>
      <c r="K25"/>
      <c r="L25"/>
      <c r="M25"/>
    </row>
    <row r="26" spans="2:13" ht="15.75">
      <c r="B26"/>
      <c r="C26"/>
      <c r="D26"/>
      <c r="E26"/>
      <c r="F26"/>
      <c r="G26"/>
      <c r="H26"/>
      <c r="I26" s="2"/>
      <c r="J26" s="224"/>
      <c r="K26" s="224"/>
      <c r="L26" s="39"/>
    </row>
    <row r="27" spans="2:13" ht="15.75">
      <c r="B27"/>
      <c r="C27"/>
      <c r="D27"/>
      <c r="E27"/>
      <c r="F27"/>
      <c r="G27"/>
      <c r="H27"/>
      <c r="I27" s="2"/>
      <c r="J27" s="224"/>
      <c r="K27" s="224"/>
      <c r="L27" s="39"/>
    </row>
    <row r="28" spans="2:13" ht="15.75">
      <c r="B28"/>
      <c r="C28"/>
      <c r="D28"/>
      <c r="E28"/>
      <c r="F28"/>
      <c r="G28"/>
      <c r="H28"/>
      <c r="I28"/>
      <c r="J28" s="2"/>
      <c r="K28" s="2"/>
      <c r="L28"/>
      <c r="M28" s="3"/>
    </row>
    <row r="29" spans="2:13">
      <c r="B29"/>
      <c r="C29"/>
      <c r="D29"/>
      <c r="E29"/>
      <c r="F29"/>
      <c r="G29"/>
      <c r="H29"/>
    </row>
    <row r="30" spans="2:13" ht="15.75">
      <c r="B30" s="70"/>
      <c r="C30" s="70"/>
      <c r="D30"/>
      <c r="E30" s="221"/>
      <c r="F30" s="221"/>
      <c r="G30" s="221"/>
      <c r="H30" s="2"/>
      <c r="I30"/>
      <c r="J30" s="222"/>
      <c r="K30" s="222"/>
      <c r="L30" s="70"/>
      <c r="M30" s="39"/>
    </row>
    <row r="31" spans="2:13" ht="18.75">
      <c r="B31" s="372" t="str">
        <f>SubjectDetails!$A$24</f>
        <v>Dr. Ravi Chourasiya</v>
      </c>
      <c r="C31" s="372"/>
      <c r="D31" s="135"/>
      <c r="E31" s="371" t="str">
        <f>SubjectDetails!$E$24</f>
        <v>Dr. Ashwini Chavan</v>
      </c>
      <c r="F31" s="371"/>
      <c r="G31" s="371"/>
      <c r="H31" s="79"/>
      <c r="I31" s="373" t="str">
        <f>SubjectDetails!$H$24</f>
        <v>Dr. Priyanka Singh</v>
      </c>
      <c r="J31" s="373"/>
      <c r="K31" s="373"/>
      <c r="L31" s="70"/>
      <c r="M31" s="39"/>
    </row>
    <row r="32" spans="2:13" ht="18.75">
      <c r="B32" s="373" t="str">
        <f>SubjectDetails!$A$25</f>
        <v>(College Examination Officer)</v>
      </c>
      <c r="C32" s="373"/>
      <c r="D32" s="135"/>
      <c r="E32" s="373" t="str">
        <f>SubjectDetails!$E$25</f>
        <v>HOD (MCA)</v>
      </c>
      <c r="F32" s="373"/>
      <c r="G32" s="373"/>
      <c r="H32" s="135"/>
      <c r="I32" s="374" t="str">
        <f>SubjectDetails!$H$25</f>
        <v>Director</v>
      </c>
      <c r="J32" s="374"/>
      <c r="K32" s="374"/>
    </row>
    <row r="34" spans="2:8" ht="15.75">
      <c r="B34" s="221"/>
      <c r="C34" s="221"/>
      <c r="D34" s="221"/>
      <c r="E34"/>
      <c r="F34" s="224"/>
      <c r="G34" s="224"/>
      <c r="H34"/>
    </row>
    <row r="35" spans="2:8" ht="15.75">
      <c r="B35" s="221"/>
      <c r="C35" s="221"/>
      <c r="D35" s="221"/>
      <c r="E35"/>
      <c r="F35" s="224"/>
      <c r="G35" s="224"/>
      <c r="H35"/>
    </row>
  </sheetData>
  <mergeCells count="23">
    <mergeCell ref="B34:D34"/>
    <mergeCell ref="F34:G34"/>
    <mergeCell ref="J30:K30"/>
    <mergeCell ref="B35:D35"/>
    <mergeCell ref="F35:G35"/>
    <mergeCell ref="E31:G31"/>
    <mergeCell ref="B31:C31"/>
    <mergeCell ref="B32:C32"/>
    <mergeCell ref="E32:G32"/>
    <mergeCell ref="I31:K31"/>
    <mergeCell ref="I32:K32"/>
    <mergeCell ref="B1:K1"/>
    <mergeCell ref="B2:K2"/>
    <mergeCell ref="B3:K3"/>
    <mergeCell ref="E30:G30"/>
    <mergeCell ref="J26:K26"/>
    <mergeCell ref="J27:K27"/>
    <mergeCell ref="B10:C10"/>
    <mergeCell ref="B4:K4"/>
    <mergeCell ref="B9:K9"/>
    <mergeCell ref="B7:G7"/>
    <mergeCell ref="B8:G8"/>
    <mergeCell ref="B6:G6"/>
  </mergeCells>
  <pageMargins left="0.7" right="0.7" top="0.75" bottom="0.75" header="0.3" footer="0.3"/>
  <pageSetup scale="80" orientation="landscape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9"/>
  <sheetViews>
    <sheetView topLeftCell="A94" workbookViewId="0">
      <selection activeCell="L98" sqref="L97:L103"/>
    </sheetView>
  </sheetViews>
  <sheetFormatPr defaultColWidth="12.7109375" defaultRowHeight="15.75"/>
  <cols>
    <col min="1" max="1" width="9.7109375" style="1" customWidth="1"/>
    <col min="2" max="2" width="12.7109375" style="1" customWidth="1"/>
    <col min="3" max="3" width="44.28515625" style="1" bestFit="1" customWidth="1"/>
    <col min="4" max="7" width="7.28515625" style="160" customWidth="1"/>
    <col min="8" max="11" width="8.28515625" style="160" customWidth="1"/>
    <col min="12" max="12" width="14.5703125" style="3" customWidth="1"/>
    <col min="13" max="16384" width="12.7109375" style="7"/>
  </cols>
  <sheetData>
    <row r="1" spans="1:16" ht="15.75" customHeight="1">
      <c r="A1" s="359" t="s">
        <v>94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</row>
    <row r="2" spans="1:16" ht="15.75" customHeight="1">
      <c r="A2" s="360" t="s">
        <v>95</v>
      </c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60"/>
    </row>
    <row r="3" spans="1:16" ht="15.75" customHeight="1">
      <c r="A3" s="216" t="s">
        <v>96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</row>
    <row r="4" spans="1:16" ht="15.75" customHeight="1" thickBot="1">
      <c r="A4" s="216" t="s">
        <v>9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</row>
    <row r="5" spans="1:16" s="29" customFormat="1" ht="25.5">
      <c r="A5" s="377" t="s">
        <v>143</v>
      </c>
      <c r="B5" s="378"/>
      <c r="C5" s="378"/>
      <c r="D5" s="378"/>
      <c r="E5" s="378"/>
      <c r="F5" s="378"/>
      <c r="G5" s="378"/>
      <c r="H5" s="378"/>
      <c r="I5" s="378"/>
      <c r="J5" s="378"/>
      <c r="K5" s="378"/>
      <c r="L5" s="379"/>
    </row>
    <row r="6" spans="1:16" s="29" customFormat="1" ht="18" customHeight="1">
      <c r="A6" s="380" t="str">
        <f>CONCATENATE(Class," ", spl)</f>
        <v xml:space="preserve">MCA I SEM I AY 2023-24 </v>
      </c>
      <c r="B6" s="381"/>
      <c r="C6" s="382"/>
      <c r="D6" s="380" t="s">
        <v>257</v>
      </c>
      <c r="E6" s="381"/>
      <c r="F6" s="381"/>
      <c r="G6" s="381"/>
      <c r="H6" s="381"/>
      <c r="I6" s="381"/>
      <c r="J6" s="381"/>
      <c r="K6" s="381"/>
      <c r="L6" s="382"/>
      <c r="P6" s="58"/>
    </row>
    <row r="7" spans="1:16" ht="18" customHeight="1">
      <c r="A7" s="276"/>
      <c r="B7" s="276" t="s">
        <v>6</v>
      </c>
      <c r="C7" s="276" t="s">
        <v>1</v>
      </c>
      <c r="D7" s="276"/>
      <c r="E7" s="276"/>
      <c r="F7" s="276"/>
      <c r="G7" s="276"/>
      <c r="H7" s="276"/>
      <c r="I7" s="276"/>
      <c r="J7" s="276"/>
      <c r="K7" s="276"/>
      <c r="L7" s="275" t="s">
        <v>50</v>
      </c>
      <c r="M7" s="29"/>
      <c r="N7" s="29"/>
      <c r="P7" s="58"/>
    </row>
    <row r="8" spans="1:16" ht="18" customHeight="1">
      <c r="A8" s="276"/>
      <c r="B8" s="276"/>
      <c r="C8" s="276"/>
      <c r="D8" s="159" t="s">
        <v>2</v>
      </c>
      <c r="E8" s="159" t="s">
        <v>3</v>
      </c>
      <c r="F8" s="159" t="s">
        <v>4</v>
      </c>
      <c r="G8" s="159" t="s">
        <v>10</v>
      </c>
      <c r="H8" s="159" t="s">
        <v>12</v>
      </c>
      <c r="I8" s="159"/>
      <c r="J8" s="159"/>
      <c r="K8" s="159"/>
      <c r="L8" s="275"/>
      <c r="M8" s="29"/>
      <c r="N8" s="29"/>
      <c r="P8" s="58"/>
    </row>
    <row r="9" spans="1:16" ht="18" customHeight="1">
      <c r="A9" s="276"/>
      <c r="B9" s="276"/>
      <c r="C9" s="276"/>
      <c r="D9" s="159">
        <v>5</v>
      </c>
      <c r="E9" s="159">
        <v>5</v>
      </c>
      <c r="F9" s="159">
        <v>5</v>
      </c>
      <c r="G9" s="159">
        <v>5</v>
      </c>
      <c r="H9" s="159">
        <v>5</v>
      </c>
      <c r="I9" s="159"/>
      <c r="J9" s="159"/>
      <c r="K9" s="159"/>
      <c r="L9" s="159">
        <f>SUM(D9:K9)</f>
        <v>25</v>
      </c>
      <c r="M9" s="29"/>
      <c r="N9" s="29"/>
      <c r="P9" s="58"/>
    </row>
    <row r="10" spans="1:16" ht="18" customHeight="1">
      <c r="A10" s="158"/>
      <c r="B10" s="204">
        <v>1</v>
      </c>
      <c r="C10" s="205" t="s">
        <v>399</v>
      </c>
      <c r="D10" s="204">
        <v>2</v>
      </c>
      <c r="E10" s="204">
        <v>5</v>
      </c>
      <c r="F10" s="204">
        <v>2</v>
      </c>
      <c r="G10" s="204">
        <v>3</v>
      </c>
      <c r="H10" s="204">
        <v>2</v>
      </c>
      <c r="I10" s="44"/>
      <c r="J10" s="44"/>
      <c r="K10" s="44"/>
      <c r="L10" s="45">
        <f t="shared" ref="L10:L73" si="0">IF(F10&lt;&gt;"AB",SUM(D10:K10),"AB")</f>
        <v>14</v>
      </c>
      <c r="M10" s="29"/>
      <c r="N10" s="29"/>
      <c r="P10" s="58"/>
    </row>
    <row r="11" spans="1:16" ht="18" customHeight="1">
      <c r="A11" s="158"/>
      <c r="B11" s="204">
        <v>2</v>
      </c>
      <c r="C11" s="205" t="s">
        <v>400</v>
      </c>
      <c r="D11" s="204">
        <v>2</v>
      </c>
      <c r="E11" s="204">
        <v>5</v>
      </c>
      <c r="F11" s="204">
        <v>3</v>
      </c>
      <c r="G11" s="204">
        <v>2</v>
      </c>
      <c r="H11" s="204">
        <v>4</v>
      </c>
      <c r="I11" s="44"/>
      <c r="J11" s="44"/>
      <c r="K11" s="44"/>
      <c r="L11" s="45">
        <f t="shared" si="0"/>
        <v>16</v>
      </c>
      <c r="M11" s="29"/>
      <c r="N11" s="29"/>
      <c r="P11" s="58"/>
    </row>
    <row r="12" spans="1:16" ht="18" customHeight="1">
      <c r="A12" s="158"/>
      <c r="B12" s="204">
        <v>3</v>
      </c>
      <c r="C12" s="205" t="s">
        <v>401</v>
      </c>
      <c r="D12" s="204">
        <v>2</v>
      </c>
      <c r="E12" s="204">
        <v>2</v>
      </c>
      <c r="F12" s="204">
        <v>2</v>
      </c>
      <c r="G12" s="204">
        <v>4</v>
      </c>
      <c r="H12" s="204">
        <v>3</v>
      </c>
      <c r="I12" s="44"/>
      <c r="J12" s="44"/>
      <c r="K12" s="44"/>
      <c r="L12" s="45">
        <f t="shared" si="0"/>
        <v>13</v>
      </c>
      <c r="M12" s="29"/>
      <c r="N12" s="29"/>
      <c r="P12" s="58"/>
    </row>
    <row r="13" spans="1:16" ht="18" customHeight="1">
      <c r="A13" s="158"/>
      <c r="B13" s="204">
        <v>4</v>
      </c>
      <c r="C13" s="205" t="s">
        <v>402</v>
      </c>
      <c r="D13" s="204">
        <v>4</v>
      </c>
      <c r="E13" s="204">
        <v>5</v>
      </c>
      <c r="F13" s="204">
        <v>4</v>
      </c>
      <c r="G13" s="204">
        <v>5</v>
      </c>
      <c r="H13" s="204">
        <v>5</v>
      </c>
      <c r="I13" s="44"/>
      <c r="J13" s="44"/>
      <c r="K13" s="44"/>
      <c r="L13" s="45">
        <f t="shared" si="0"/>
        <v>23</v>
      </c>
      <c r="M13" s="29"/>
      <c r="N13" s="29"/>
      <c r="P13" s="58"/>
    </row>
    <row r="14" spans="1:16" ht="18" customHeight="1">
      <c r="A14" s="158"/>
      <c r="B14" s="204">
        <v>5</v>
      </c>
      <c r="C14" s="205" t="s">
        <v>403</v>
      </c>
      <c r="D14" s="204">
        <v>4</v>
      </c>
      <c r="E14" s="204">
        <v>4</v>
      </c>
      <c r="F14" s="204">
        <v>4</v>
      </c>
      <c r="G14" s="204">
        <v>4</v>
      </c>
      <c r="H14" s="204">
        <v>4</v>
      </c>
      <c r="I14" s="44"/>
      <c r="J14" s="44"/>
      <c r="K14" s="44"/>
      <c r="L14" s="45">
        <f t="shared" si="0"/>
        <v>20</v>
      </c>
      <c r="M14" s="29"/>
      <c r="N14" s="29"/>
      <c r="P14" s="58"/>
    </row>
    <row r="15" spans="1:16" ht="18" customHeight="1">
      <c r="A15" s="158"/>
      <c r="B15" s="204">
        <v>6</v>
      </c>
      <c r="C15" s="205" t="s">
        <v>404</v>
      </c>
      <c r="D15" s="204">
        <v>4</v>
      </c>
      <c r="E15" s="204">
        <v>5</v>
      </c>
      <c r="F15" s="204">
        <v>5</v>
      </c>
      <c r="G15" s="204">
        <v>5</v>
      </c>
      <c r="H15" s="204">
        <v>4</v>
      </c>
      <c r="I15" s="44"/>
      <c r="J15" s="44"/>
      <c r="K15" s="44"/>
      <c r="L15" s="45">
        <f t="shared" si="0"/>
        <v>23</v>
      </c>
      <c r="M15" s="29"/>
      <c r="N15" s="29"/>
      <c r="P15" s="58"/>
    </row>
    <row r="16" spans="1:16" ht="18" customHeight="1">
      <c r="A16" s="158"/>
      <c r="B16" s="204">
        <v>7</v>
      </c>
      <c r="C16" s="205" t="s">
        <v>405</v>
      </c>
      <c r="D16" s="204">
        <v>4</v>
      </c>
      <c r="E16" s="204">
        <v>5</v>
      </c>
      <c r="F16" s="204">
        <v>4</v>
      </c>
      <c r="G16" s="204">
        <v>4</v>
      </c>
      <c r="H16" s="204">
        <v>4</v>
      </c>
      <c r="I16" s="44"/>
      <c r="J16" s="44"/>
      <c r="K16" s="44"/>
      <c r="L16" s="45">
        <f t="shared" si="0"/>
        <v>21</v>
      </c>
      <c r="M16" s="29"/>
      <c r="N16" s="29"/>
      <c r="P16" s="58"/>
    </row>
    <row r="17" spans="1:16" ht="18" customHeight="1">
      <c r="A17" s="158"/>
      <c r="B17" s="204">
        <v>8</v>
      </c>
      <c r="C17" s="205" t="s">
        <v>406</v>
      </c>
      <c r="D17" s="204">
        <v>5</v>
      </c>
      <c r="E17" s="204">
        <v>5</v>
      </c>
      <c r="F17" s="204">
        <v>5</v>
      </c>
      <c r="G17" s="204">
        <v>4</v>
      </c>
      <c r="H17" s="204">
        <v>4</v>
      </c>
      <c r="I17" s="44"/>
      <c r="J17" s="44"/>
      <c r="K17" s="44"/>
      <c r="L17" s="45">
        <f t="shared" si="0"/>
        <v>23</v>
      </c>
      <c r="M17" s="29"/>
      <c r="N17" s="29"/>
      <c r="P17" s="58"/>
    </row>
    <row r="18" spans="1:16" ht="18" customHeight="1">
      <c r="A18" s="158"/>
      <c r="B18" s="204">
        <v>9</v>
      </c>
      <c r="C18" s="205" t="s">
        <v>407</v>
      </c>
      <c r="D18" s="204">
        <v>4</v>
      </c>
      <c r="E18" s="204">
        <v>4</v>
      </c>
      <c r="F18" s="204">
        <v>4</v>
      </c>
      <c r="G18" s="204">
        <v>4</v>
      </c>
      <c r="H18" s="204">
        <v>4</v>
      </c>
      <c r="I18" s="44"/>
      <c r="J18" s="44"/>
      <c r="K18" s="44"/>
      <c r="L18" s="45">
        <f t="shared" si="0"/>
        <v>20</v>
      </c>
      <c r="M18" s="29"/>
      <c r="N18" s="29"/>
      <c r="P18" s="58"/>
    </row>
    <row r="19" spans="1:16" ht="18" customHeight="1">
      <c r="A19" s="158"/>
      <c r="B19" s="204">
        <v>10</v>
      </c>
      <c r="C19" s="205" t="s">
        <v>408</v>
      </c>
      <c r="D19" s="204">
        <v>5</v>
      </c>
      <c r="E19" s="204">
        <v>5</v>
      </c>
      <c r="F19" s="204">
        <v>5</v>
      </c>
      <c r="G19" s="204">
        <v>4</v>
      </c>
      <c r="H19" s="204">
        <v>5</v>
      </c>
      <c r="I19" s="44"/>
      <c r="J19" s="44"/>
      <c r="K19" s="44"/>
      <c r="L19" s="45">
        <f t="shared" si="0"/>
        <v>24</v>
      </c>
      <c r="M19" s="29"/>
      <c r="N19" s="29"/>
      <c r="P19" s="58"/>
    </row>
    <row r="20" spans="1:16" ht="18" customHeight="1">
      <c r="A20" s="158"/>
      <c r="B20" s="204">
        <v>11</v>
      </c>
      <c r="C20" s="205" t="s">
        <v>409</v>
      </c>
      <c r="D20" s="204">
        <v>5</v>
      </c>
      <c r="E20" s="204">
        <v>4</v>
      </c>
      <c r="F20" s="204">
        <v>5</v>
      </c>
      <c r="G20" s="204">
        <v>4</v>
      </c>
      <c r="H20" s="204">
        <v>4</v>
      </c>
      <c r="I20" s="44"/>
      <c r="J20" s="44"/>
      <c r="K20" s="44"/>
      <c r="L20" s="45">
        <f t="shared" si="0"/>
        <v>22</v>
      </c>
      <c r="M20" s="29"/>
      <c r="N20" s="29"/>
      <c r="P20" s="58"/>
    </row>
    <row r="21" spans="1:16" ht="18" customHeight="1">
      <c r="A21" s="158"/>
      <c r="B21" s="204">
        <v>12</v>
      </c>
      <c r="C21" s="205" t="s">
        <v>410</v>
      </c>
      <c r="D21" s="204">
        <v>4</v>
      </c>
      <c r="E21" s="204">
        <v>5</v>
      </c>
      <c r="F21" s="204">
        <v>5</v>
      </c>
      <c r="G21" s="204">
        <v>4</v>
      </c>
      <c r="H21" s="204">
        <v>5</v>
      </c>
      <c r="I21" s="44"/>
      <c r="J21" s="44"/>
      <c r="K21" s="44"/>
      <c r="L21" s="45">
        <f t="shared" si="0"/>
        <v>23</v>
      </c>
      <c r="M21" s="29"/>
      <c r="N21" s="29"/>
      <c r="P21" s="58"/>
    </row>
    <row r="22" spans="1:16" ht="18" customHeight="1">
      <c r="A22" s="158"/>
      <c r="B22" s="204">
        <v>13</v>
      </c>
      <c r="C22" s="205" t="s">
        <v>411</v>
      </c>
      <c r="D22" s="204">
        <v>4</v>
      </c>
      <c r="E22" s="204">
        <v>5</v>
      </c>
      <c r="F22" s="204">
        <v>4</v>
      </c>
      <c r="G22" s="204">
        <v>4</v>
      </c>
      <c r="H22" s="204">
        <v>4</v>
      </c>
      <c r="I22" s="44"/>
      <c r="J22" s="44"/>
      <c r="K22" s="44"/>
      <c r="L22" s="45">
        <f t="shared" si="0"/>
        <v>21</v>
      </c>
      <c r="M22" s="29"/>
      <c r="N22" s="29"/>
      <c r="P22" s="58"/>
    </row>
    <row r="23" spans="1:16" ht="18" customHeight="1">
      <c r="A23" s="158"/>
      <c r="B23" s="204">
        <v>14</v>
      </c>
      <c r="C23" s="205" t="s">
        <v>412</v>
      </c>
      <c r="D23" s="204">
        <v>4</v>
      </c>
      <c r="E23" s="204">
        <v>5</v>
      </c>
      <c r="F23" s="204">
        <v>5</v>
      </c>
      <c r="G23" s="204">
        <v>5</v>
      </c>
      <c r="H23" s="204">
        <v>4</v>
      </c>
      <c r="I23" s="44"/>
      <c r="J23" s="44"/>
      <c r="K23" s="44"/>
      <c r="L23" s="45">
        <f t="shared" si="0"/>
        <v>23</v>
      </c>
      <c r="M23" s="29"/>
      <c r="N23" s="29"/>
      <c r="P23" s="58"/>
    </row>
    <row r="24" spans="1:16" ht="18" customHeight="1">
      <c r="A24" s="158"/>
      <c r="B24" s="204">
        <v>15</v>
      </c>
      <c r="C24" s="205" t="s">
        <v>413</v>
      </c>
      <c r="D24" s="204">
        <v>5</v>
      </c>
      <c r="E24" s="204">
        <v>5</v>
      </c>
      <c r="F24" s="204">
        <v>5</v>
      </c>
      <c r="G24" s="204">
        <v>4</v>
      </c>
      <c r="H24" s="204">
        <v>4</v>
      </c>
      <c r="I24" s="44"/>
      <c r="J24" s="44"/>
      <c r="K24" s="44"/>
      <c r="L24" s="45">
        <f t="shared" si="0"/>
        <v>23</v>
      </c>
      <c r="M24" s="29"/>
      <c r="N24" s="29"/>
      <c r="P24" s="58"/>
    </row>
    <row r="25" spans="1:16" ht="18" customHeight="1">
      <c r="A25" s="158"/>
      <c r="B25" s="204">
        <v>16</v>
      </c>
      <c r="C25" s="205" t="s">
        <v>414</v>
      </c>
      <c r="D25" s="204">
        <v>3</v>
      </c>
      <c r="E25" s="204">
        <v>5</v>
      </c>
      <c r="F25" s="204">
        <v>5</v>
      </c>
      <c r="G25" s="204">
        <v>3</v>
      </c>
      <c r="H25" s="204">
        <v>4</v>
      </c>
      <c r="I25" s="44"/>
      <c r="J25" s="44"/>
      <c r="K25" s="44"/>
      <c r="L25" s="45">
        <f t="shared" si="0"/>
        <v>20</v>
      </c>
      <c r="M25" s="29"/>
      <c r="N25" s="29"/>
      <c r="P25" s="58"/>
    </row>
    <row r="26" spans="1:16" ht="18" customHeight="1">
      <c r="A26" s="158"/>
      <c r="B26" s="204">
        <v>17</v>
      </c>
      <c r="C26" s="205" t="s">
        <v>415</v>
      </c>
      <c r="D26" s="204">
        <v>5</v>
      </c>
      <c r="E26" s="204">
        <v>4</v>
      </c>
      <c r="F26" s="204">
        <v>4</v>
      </c>
      <c r="G26" s="204">
        <v>4</v>
      </c>
      <c r="H26" s="204">
        <v>4</v>
      </c>
      <c r="I26" s="44"/>
      <c r="J26" s="44"/>
      <c r="K26" s="44"/>
      <c r="L26" s="45">
        <f t="shared" si="0"/>
        <v>21</v>
      </c>
      <c r="M26" s="29"/>
      <c r="N26" s="29"/>
      <c r="P26" s="58"/>
    </row>
    <row r="27" spans="1:16" ht="18" customHeight="1">
      <c r="A27" s="158"/>
      <c r="B27" s="204">
        <v>18</v>
      </c>
      <c r="C27" s="205" t="s">
        <v>416</v>
      </c>
      <c r="D27" s="204">
        <v>2</v>
      </c>
      <c r="E27" s="204">
        <v>4</v>
      </c>
      <c r="F27" s="204">
        <v>4</v>
      </c>
      <c r="G27" s="204">
        <v>3</v>
      </c>
      <c r="H27" s="204">
        <v>3</v>
      </c>
      <c r="I27" s="44"/>
      <c r="J27" s="44"/>
      <c r="K27" s="44"/>
      <c r="L27" s="45">
        <f t="shared" si="0"/>
        <v>16</v>
      </c>
      <c r="M27" s="29"/>
      <c r="N27" s="29"/>
      <c r="P27" s="58"/>
    </row>
    <row r="28" spans="1:16" ht="18" customHeight="1">
      <c r="A28" s="158"/>
      <c r="B28" s="204">
        <v>19</v>
      </c>
      <c r="C28" s="205" t="s">
        <v>417</v>
      </c>
      <c r="D28" s="204">
        <v>5</v>
      </c>
      <c r="E28" s="204">
        <v>5</v>
      </c>
      <c r="F28" s="204">
        <v>4</v>
      </c>
      <c r="G28" s="204">
        <v>4</v>
      </c>
      <c r="H28" s="204">
        <v>5</v>
      </c>
      <c r="I28" s="44"/>
      <c r="J28" s="44"/>
      <c r="K28" s="44"/>
      <c r="L28" s="45">
        <f t="shared" si="0"/>
        <v>23</v>
      </c>
      <c r="M28" s="29"/>
      <c r="N28" s="29"/>
      <c r="P28" s="58"/>
    </row>
    <row r="29" spans="1:16" ht="18" customHeight="1">
      <c r="A29" s="158"/>
      <c r="B29" s="204">
        <v>20</v>
      </c>
      <c r="C29" s="205" t="s">
        <v>418</v>
      </c>
      <c r="D29" s="204">
        <v>5</v>
      </c>
      <c r="E29" s="204">
        <v>4</v>
      </c>
      <c r="F29" s="204">
        <v>4</v>
      </c>
      <c r="G29" s="204">
        <v>5</v>
      </c>
      <c r="H29" s="204">
        <v>4</v>
      </c>
      <c r="I29" s="44"/>
      <c r="J29" s="44"/>
      <c r="K29" s="44"/>
      <c r="L29" s="45">
        <f t="shared" si="0"/>
        <v>22</v>
      </c>
      <c r="M29" s="29"/>
      <c r="N29" s="29"/>
      <c r="P29" s="58"/>
    </row>
    <row r="30" spans="1:16" ht="18" customHeight="1">
      <c r="A30" s="158"/>
      <c r="B30" s="204">
        <v>21</v>
      </c>
      <c r="C30" s="205" t="s">
        <v>419</v>
      </c>
      <c r="D30" s="204">
        <v>5</v>
      </c>
      <c r="E30" s="204">
        <v>5</v>
      </c>
      <c r="F30" s="204">
        <v>4</v>
      </c>
      <c r="G30" s="204">
        <v>5</v>
      </c>
      <c r="H30" s="204">
        <v>4</v>
      </c>
      <c r="I30" s="44"/>
      <c r="J30" s="44"/>
      <c r="K30" s="44"/>
      <c r="L30" s="45">
        <f t="shared" si="0"/>
        <v>23</v>
      </c>
      <c r="M30" s="29"/>
      <c r="N30" s="29"/>
      <c r="P30" s="58"/>
    </row>
    <row r="31" spans="1:16" ht="18" customHeight="1">
      <c r="A31" s="158"/>
      <c r="B31" s="204">
        <v>22</v>
      </c>
      <c r="C31" s="205" t="s">
        <v>420</v>
      </c>
      <c r="D31" s="204">
        <v>4</v>
      </c>
      <c r="E31" s="204">
        <v>5</v>
      </c>
      <c r="F31" s="204">
        <v>4</v>
      </c>
      <c r="G31" s="204">
        <v>5</v>
      </c>
      <c r="H31" s="204">
        <v>4</v>
      </c>
      <c r="I31" s="44"/>
      <c r="J31" s="44"/>
      <c r="K31" s="44"/>
      <c r="L31" s="45">
        <f t="shared" si="0"/>
        <v>22</v>
      </c>
      <c r="M31" s="29"/>
      <c r="N31" s="29"/>
      <c r="P31" s="58"/>
    </row>
    <row r="32" spans="1:16" ht="18" customHeight="1">
      <c r="A32" s="158"/>
      <c r="B32" s="204">
        <v>23</v>
      </c>
      <c r="C32" s="205" t="s">
        <v>421</v>
      </c>
      <c r="D32" s="204">
        <v>4</v>
      </c>
      <c r="E32" s="204">
        <v>4</v>
      </c>
      <c r="F32" s="204">
        <v>4</v>
      </c>
      <c r="G32" s="204">
        <v>5</v>
      </c>
      <c r="H32" s="204">
        <v>5</v>
      </c>
      <c r="I32" s="44"/>
      <c r="J32" s="44"/>
      <c r="K32" s="44"/>
      <c r="L32" s="45">
        <f t="shared" si="0"/>
        <v>22</v>
      </c>
      <c r="M32" s="29"/>
      <c r="N32" s="29"/>
      <c r="P32" s="58"/>
    </row>
    <row r="33" spans="1:16" ht="18" customHeight="1">
      <c r="A33" s="158"/>
      <c r="B33" s="204">
        <v>24</v>
      </c>
      <c r="C33" s="205" t="s">
        <v>422</v>
      </c>
      <c r="D33" s="204">
        <v>5</v>
      </c>
      <c r="E33" s="204">
        <v>4</v>
      </c>
      <c r="F33" s="204">
        <v>5</v>
      </c>
      <c r="G33" s="204">
        <v>4</v>
      </c>
      <c r="H33" s="204">
        <v>4</v>
      </c>
      <c r="I33" s="44"/>
      <c r="J33" s="44"/>
      <c r="K33" s="44"/>
      <c r="L33" s="45">
        <f t="shared" si="0"/>
        <v>22</v>
      </c>
      <c r="M33" s="29"/>
      <c r="N33" s="29"/>
      <c r="P33" s="58"/>
    </row>
    <row r="34" spans="1:16" ht="18" customHeight="1">
      <c r="A34" s="158"/>
      <c r="B34" s="204">
        <v>25</v>
      </c>
      <c r="C34" s="205" t="s">
        <v>423</v>
      </c>
      <c r="D34" s="204">
        <v>5</v>
      </c>
      <c r="E34" s="204">
        <v>4</v>
      </c>
      <c r="F34" s="204">
        <v>5</v>
      </c>
      <c r="G34" s="204">
        <v>4</v>
      </c>
      <c r="H34" s="204">
        <v>4</v>
      </c>
      <c r="I34" s="44"/>
      <c r="J34" s="44"/>
      <c r="K34" s="44"/>
      <c r="L34" s="45">
        <f t="shared" si="0"/>
        <v>22</v>
      </c>
      <c r="M34" s="29"/>
      <c r="N34" s="29"/>
      <c r="P34" s="58"/>
    </row>
    <row r="35" spans="1:16" ht="18" customHeight="1">
      <c r="A35" s="158"/>
      <c r="B35" s="204">
        <v>26</v>
      </c>
      <c r="C35" s="205" t="s">
        <v>424</v>
      </c>
      <c r="D35" s="204">
        <v>4</v>
      </c>
      <c r="E35" s="204">
        <v>5</v>
      </c>
      <c r="F35" s="204">
        <v>5</v>
      </c>
      <c r="G35" s="204">
        <v>4</v>
      </c>
      <c r="H35" s="204">
        <v>5</v>
      </c>
      <c r="I35" s="44"/>
      <c r="J35" s="44"/>
      <c r="K35" s="44"/>
      <c r="L35" s="45">
        <f t="shared" si="0"/>
        <v>23</v>
      </c>
      <c r="M35" s="29"/>
      <c r="N35" s="29"/>
      <c r="P35" s="58"/>
    </row>
    <row r="36" spans="1:16" ht="18" customHeight="1">
      <c r="A36" s="158"/>
      <c r="B36" s="204">
        <v>27</v>
      </c>
      <c r="C36" s="205" t="s">
        <v>425</v>
      </c>
      <c r="D36" s="204">
        <v>5</v>
      </c>
      <c r="E36" s="204">
        <v>5</v>
      </c>
      <c r="F36" s="204">
        <v>5</v>
      </c>
      <c r="G36" s="204">
        <v>4</v>
      </c>
      <c r="H36" s="204">
        <v>5</v>
      </c>
      <c r="I36" s="44"/>
      <c r="J36" s="44"/>
      <c r="K36" s="44"/>
      <c r="L36" s="45">
        <f t="shared" si="0"/>
        <v>24</v>
      </c>
      <c r="M36" s="29"/>
      <c r="N36" s="29"/>
      <c r="P36" s="58"/>
    </row>
    <row r="37" spans="1:16" ht="18" customHeight="1">
      <c r="A37" s="158"/>
      <c r="B37" s="204">
        <v>28</v>
      </c>
      <c r="C37" s="205" t="s">
        <v>426</v>
      </c>
      <c r="D37" s="204">
        <v>4</v>
      </c>
      <c r="E37" s="204">
        <v>5</v>
      </c>
      <c r="F37" s="204">
        <v>4</v>
      </c>
      <c r="G37" s="204">
        <v>4</v>
      </c>
      <c r="H37" s="204">
        <v>4</v>
      </c>
      <c r="I37" s="44"/>
      <c r="J37" s="44"/>
      <c r="K37" s="44"/>
      <c r="L37" s="45">
        <f t="shared" si="0"/>
        <v>21</v>
      </c>
      <c r="M37" s="29"/>
      <c r="N37" s="29"/>
      <c r="P37" s="58"/>
    </row>
    <row r="38" spans="1:16" ht="18" customHeight="1">
      <c r="A38" s="158"/>
      <c r="B38" s="204">
        <v>29</v>
      </c>
      <c r="C38" s="205" t="s">
        <v>427</v>
      </c>
      <c r="D38" s="204">
        <v>4</v>
      </c>
      <c r="E38" s="204">
        <v>5</v>
      </c>
      <c r="F38" s="204">
        <v>4</v>
      </c>
      <c r="G38" s="204">
        <v>4</v>
      </c>
      <c r="H38" s="204">
        <v>3</v>
      </c>
      <c r="I38" s="44"/>
      <c r="J38" s="44"/>
      <c r="K38" s="44"/>
      <c r="L38" s="45">
        <f t="shared" si="0"/>
        <v>20</v>
      </c>
      <c r="M38" s="29"/>
      <c r="N38" s="29"/>
      <c r="P38" s="58"/>
    </row>
    <row r="39" spans="1:16" ht="18" customHeight="1">
      <c r="A39" s="158"/>
      <c r="B39" s="204">
        <v>30</v>
      </c>
      <c r="C39" s="205" t="s">
        <v>428</v>
      </c>
      <c r="D39" s="204">
        <v>2</v>
      </c>
      <c r="E39" s="204">
        <v>3</v>
      </c>
      <c r="F39" s="204">
        <v>4</v>
      </c>
      <c r="G39" s="204">
        <v>5</v>
      </c>
      <c r="H39" s="204">
        <v>4</v>
      </c>
      <c r="I39" s="44"/>
      <c r="J39" s="44"/>
      <c r="K39" s="44"/>
      <c r="L39" s="45">
        <f t="shared" si="0"/>
        <v>18</v>
      </c>
      <c r="M39" s="29"/>
      <c r="N39" s="29"/>
      <c r="P39" s="58"/>
    </row>
    <row r="40" spans="1:16" ht="18" customHeight="1">
      <c r="A40" s="158"/>
      <c r="B40" s="204">
        <v>31</v>
      </c>
      <c r="C40" s="205" t="s">
        <v>429</v>
      </c>
      <c r="D40" s="204">
        <v>4</v>
      </c>
      <c r="E40" s="204">
        <v>5</v>
      </c>
      <c r="F40" s="204">
        <v>4</v>
      </c>
      <c r="G40" s="204">
        <v>4</v>
      </c>
      <c r="H40" s="204">
        <v>4</v>
      </c>
      <c r="I40" s="44"/>
      <c r="J40" s="44"/>
      <c r="K40" s="44"/>
      <c r="L40" s="45">
        <f t="shared" si="0"/>
        <v>21</v>
      </c>
      <c r="M40" s="29"/>
      <c r="N40" s="29"/>
      <c r="P40" s="58"/>
    </row>
    <row r="41" spans="1:16" ht="18" customHeight="1">
      <c r="A41" s="158"/>
      <c r="B41" s="204">
        <v>32</v>
      </c>
      <c r="C41" s="205" t="s">
        <v>430</v>
      </c>
      <c r="D41" s="204">
        <v>3</v>
      </c>
      <c r="E41" s="204">
        <v>2</v>
      </c>
      <c r="F41" s="204">
        <v>2</v>
      </c>
      <c r="G41" s="204">
        <v>3</v>
      </c>
      <c r="H41" s="204">
        <v>5</v>
      </c>
      <c r="I41" s="44"/>
      <c r="J41" s="44"/>
      <c r="K41" s="44"/>
      <c r="L41" s="45">
        <f t="shared" si="0"/>
        <v>15</v>
      </c>
      <c r="M41" s="29"/>
      <c r="N41" s="29"/>
      <c r="P41" s="58"/>
    </row>
    <row r="42" spans="1:16" ht="18" customHeight="1">
      <c r="A42" s="158"/>
      <c r="B42" s="204">
        <v>33</v>
      </c>
      <c r="C42" s="205" t="s">
        <v>431</v>
      </c>
      <c r="D42" s="204">
        <v>5</v>
      </c>
      <c r="E42" s="204">
        <v>5</v>
      </c>
      <c r="F42" s="204">
        <v>4</v>
      </c>
      <c r="G42" s="204">
        <v>3</v>
      </c>
      <c r="H42" s="204">
        <v>5</v>
      </c>
      <c r="I42" s="44"/>
      <c r="J42" s="44"/>
      <c r="K42" s="44"/>
      <c r="L42" s="45">
        <f t="shared" si="0"/>
        <v>22</v>
      </c>
      <c r="M42" s="29"/>
      <c r="N42" s="29"/>
      <c r="P42" s="58"/>
    </row>
    <row r="43" spans="1:16" ht="18" customHeight="1">
      <c r="A43" s="158"/>
      <c r="B43" s="204">
        <v>34</v>
      </c>
      <c r="C43" s="205" t="s">
        <v>432</v>
      </c>
      <c r="D43" s="204">
        <v>3</v>
      </c>
      <c r="E43" s="204">
        <v>5</v>
      </c>
      <c r="F43" s="204">
        <v>4</v>
      </c>
      <c r="G43" s="204">
        <v>5</v>
      </c>
      <c r="H43" s="204">
        <v>4</v>
      </c>
      <c r="I43" s="44"/>
      <c r="J43" s="44"/>
      <c r="K43" s="44"/>
      <c r="L43" s="45">
        <f t="shared" si="0"/>
        <v>21</v>
      </c>
      <c r="M43" s="29"/>
      <c r="N43" s="29"/>
      <c r="P43" s="58"/>
    </row>
    <row r="44" spans="1:16" ht="18" customHeight="1">
      <c r="A44" s="158"/>
      <c r="B44" s="204">
        <v>35</v>
      </c>
      <c r="C44" s="205" t="s">
        <v>433</v>
      </c>
      <c r="D44" s="204">
        <v>4</v>
      </c>
      <c r="E44" s="204">
        <v>4</v>
      </c>
      <c r="F44" s="204">
        <v>3</v>
      </c>
      <c r="G44" s="204">
        <v>4</v>
      </c>
      <c r="H44" s="204">
        <v>3</v>
      </c>
      <c r="I44" s="44"/>
      <c r="J44" s="44"/>
      <c r="K44" s="44"/>
      <c r="L44" s="45">
        <f t="shared" si="0"/>
        <v>18</v>
      </c>
      <c r="M44" s="29"/>
      <c r="N44" s="29"/>
      <c r="P44" s="58"/>
    </row>
    <row r="45" spans="1:16" ht="18" customHeight="1">
      <c r="A45" s="158"/>
      <c r="B45" s="204">
        <v>36</v>
      </c>
      <c r="C45" s="205" t="s">
        <v>434</v>
      </c>
      <c r="D45" s="204">
        <v>4</v>
      </c>
      <c r="E45" s="204">
        <v>4</v>
      </c>
      <c r="F45" s="204">
        <v>4</v>
      </c>
      <c r="G45" s="204">
        <v>5</v>
      </c>
      <c r="H45" s="204">
        <v>4</v>
      </c>
      <c r="I45" s="44"/>
      <c r="J45" s="44"/>
      <c r="K45" s="44"/>
      <c r="L45" s="45">
        <f t="shared" si="0"/>
        <v>21</v>
      </c>
      <c r="M45" s="29"/>
      <c r="N45" s="29"/>
      <c r="P45" s="58"/>
    </row>
    <row r="46" spans="1:16" ht="18" customHeight="1">
      <c r="A46" s="158"/>
      <c r="B46" s="204">
        <v>37</v>
      </c>
      <c r="C46" s="205" t="s">
        <v>435</v>
      </c>
      <c r="D46" s="204">
        <v>4</v>
      </c>
      <c r="E46" s="204">
        <v>2</v>
      </c>
      <c r="F46" s="204">
        <v>4</v>
      </c>
      <c r="G46" s="204">
        <v>2</v>
      </c>
      <c r="H46" s="204">
        <v>4</v>
      </c>
      <c r="I46" s="44"/>
      <c r="J46" s="44"/>
      <c r="K46" s="44"/>
      <c r="L46" s="45">
        <f t="shared" si="0"/>
        <v>16</v>
      </c>
      <c r="M46" s="29"/>
      <c r="N46" s="29"/>
      <c r="P46" s="58"/>
    </row>
    <row r="47" spans="1:16" ht="18" customHeight="1">
      <c r="A47" s="158"/>
      <c r="B47" s="204">
        <v>38</v>
      </c>
      <c r="C47" s="205" t="s">
        <v>436</v>
      </c>
      <c r="D47" s="204">
        <v>4</v>
      </c>
      <c r="E47" s="204">
        <v>2</v>
      </c>
      <c r="F47" s="204">
        <v>5</v>
      </c>
      <c r="G47" s="204">
        <v>4</v>
      </c>
      <c r="H47" s="204">
        <v>4</v>
      </c>
      <c r="I47" s="44"/>
      <c r="J47" s="44"/>
      <c r="K47" s="44"/>
      <c r="L47" s="45">
        <f t="shared" si="0"/>
        <v>19</v>
      </c>
      <c r="M47" s="29"/>
      <c r="N47" s="29"/>
      <c r="P47" s="58"/>
    </row>
    <row r="48" spans="1:16" ht="18" customHeight="1">
      <c r="A48" s="158"/>
      <c r="B48" s="204">
        <v>39</v>
      </c>
      <c r="C48" s="205" t="s">
        <v>437</v>
      </c>
      <c r="D48" s="204">
        <v>4</v>
      </c>
      <c r="E48" s="204">
        <v>5</v>
      </c>
      <c r="F48" s="204">
        <v>2</v>
      </c>
      <c r="G48" s="204">
        <v>2</v>
      </c>
      <c r="H48" s="204">
        <v>2</v>
      </c>
      <c r="I48" s="44"/>
      <c r="J48" s="44"/>
      <c r="K48" s="44"/>
      <c r="L48" s="45">
        <f t="shared" si="0"/>
        <v>15</v>
      </c>
      <c r="M48" s="29"/>
      <c r="N48" s="29"/>
      <c r="P48" s="58"/>
    </row>
    <row r="49" spans="1:16" ht="18" customHeight="1">
      <c r="A49" s="158"/>
      <c r="B49" s="204">
        <v>40</v>
      </c>
      <c r="C49" s="205" t="s">
        <v>438</v>
      </c>
      <c r="D49" s="204">
        <v>4</v>
      </c>
      <c r="E49" s="204">
        <v>4</v>
      </c>
      <c r="F49" s="204">
        <v>2</v>
      </c>
      <c r="G49" s="204">
        <v>2</v>
      </c>
      <c r="H49" s="204">
        <v>4</v>
      </c>
      <c r="I49" s="44"/>
      <c r="J49" s="44"/>
      <c r="K49" s="44"/>
      <c r="L49" s="45">
        <f t="shared" si="0"/>
        <v>16</v>
      </c>
      <c r="M49" s="29"/>
      <c r="N49" s="29"/>
      <c r="P49" s="58"/>
    </row>
    <row r="50" spans="1:16" ht="18" customHeight="1">
      <c r="A50" s="158"/>
      <c r="B50" s="204">
        <v>41</v>
      </c>
      <c r="C50" s="205" t="s">
        <v>439</v>
      </c>
      <c r="D50" s="204">
        <v>4</v>
      </c>
      <c r="E50" s="204">
        <v>4</v>
      </c>
      <c r="F50" s="204">
        <v>2</v>
      </c>
      <c r="G50" s="204">
        <v>2</v>
      </c>
      <c r="H50" s="204">
        <v>4</v>
      </c>
      <c r="I50" s="44"/>
      <c r="J50" s="44"/>
      <c r="K50" s="44"/>
      <c r="L50" s="45">
        <f t="shared" si="0"/>
        <v>16</v>
      </c>
      <c r="M50" s="29"/>
      <c r="N50" s="29"/>
      <c r="P50" s="58"/>
    </row>
    <row r="51" spans="1:16" ht="18" customHeight="1">
      <c r="A51" s="158"/>
      <c r="B51" s="204">
        <v>42</v>
      </c>
      <c r="C51" s="205" t="s">
        <v>440</v>
      </c>
      <c r="D51" s="204">
        <v>4</v>
      </c>
      <c r="E51" s="204">
        <v>5</v>
      </c>
      <c r="F51" s="204">
        <v>2</v>
      </c>
      <c r="G51" s="204">
        <v>2</v>
      </c>
      <c r="H51" s="204">
        <v>5</v>
      </c>
      <c r="I51" s="44"/>
      <c r="J51" s="44"/>
      <c r="K51" s="44"/>
      <c r="L51" s="45">
        <f t="shared" si="0"/>
        <v>18</v>
      </c>
      <c r="M51" s="29"/>
      <c r="N51" s="29"/>
      <c r="P51" s="58"/>
    </row>
    <row r="52" spans="1:16" ht="18" customHeight="1">
      <c r="A52" s="158"/>
      <c r="B52" s="204">
        <v>43</v>
      </c>
      <c r="C52" s="205" t="s">
        <v>441</v>
      </c>
      <c r="D52" s="204">
        <v>4</v>
      </c>
      <c r="E52" s="204">
        <v>5</v>
      </c>
      <c r="F52" s="204">
        <v>4</v>
      </c>
      <c r="G52" s="204">
        <v>5</v>
      </c>
      <c r="H52" s="204">
        <v>4</v>
      </c>
      <c r="I52" s="44"/>
      <c r="J52" s="44"/>
      <c r="K52" s="44"/>
      <c r="L52" s="45">
        <f t="shared" si="0"/>
        <v>22</v>
      </c>
      <c r="M52" s="29"/>
      <c r="N52" s="29"/>
      <c r="P52" s="58"/>
    </row>
    <row r="53" spans="1:16" ht="18" customHeight="1">
      <c r="A53" s="158"/>
      <c r="B53" s="204">
        <v>44</v>
      </c>
      <c r="C53" s="205" t="s">
        <v>442</v>
      </c>
      <c r="D53" s="204">
        <v>4</v>
      </c>
      <c r="E53" s="204">
        <v>4</v>
      </c>
      <c r="F53" s="204">
        <v>5</v>
      </c>
      <c r="G53" s="204">
        <v>4</v>
      </c>
      <c r="H53" s="204">
        <v>4</v>
      </c>
      <c r="I53" s="44"/>
      <c r="J53" s="44"/>
      <c r="K53" s="44"/>
      <c r="L53" s="45">
        <f t="shared" si="0"/>
        <v>21</v>
      </c>
      <c r="M53" s="29"/>
      <c r="N53" s="29"/>
      <c r="P53" s="58"/>
    </row>
    <row r="54" spans="1:16" ht="18" customHeight="1">
      <c r="A54" s="158"/>
      <c r="B54" s="204">
        <v>45</v>
      </c>
      <c r="C54" s="205" t="s">
        <v>443</v>
      </c>
      <c r="D54" s="204">
        <v>4</v>
      </c>
      <c r="E54" s="204">
        <v>4</v>
      </c>
      <c r="F54" s="204">
        <v>4</v>
      </c>
      <c r="G54" s="204">
        <v>5</v>
      </c>
      <c r="H54" s="204">
        <v>4</v>
      </c>
      <c r="I54" s="44"/>
      <c r="J54" s="44"/>
      <c r="K54" s="44"/>
      <c r="L54" s="45">
        <f t="shared" si="0"/>
        <v>21</v>
      </c>
      <c r="M54" s="29"/>
      <c r="N54" s="29"/>
      <c r="P54" s="58"/>
    </row>
    <row r="55" spans="1:16" ht="18" customHeight="1">
      <c r="A55" s="158"/>
      <c r="B55" s="204">
        <v>46</v>
      </c>
      <c r="C55" s="205" t="s">
        <v>444</v>
      </c>
      <c r="D55" s="204">
        <v>4</v>
      </c>
      <c r="E55" s="204">
        <v>4</v>
      </c>
      <c r="F55" s="204">
        <v>5</v>
      </c>
      <c r="G55" s="204">
        <v>4</v>
      </c>
      <c r="H55" s="204">
        <v>4</v>
      </c>
      <c r="I55" s="44"/>
      <c r="J55" s="44"/>
      <c r="K55" s="44"/>
      <c r="L55" s="45">
        <f t="shared" si="0"/>
        <v>21</v>
      </c>
      <c r="M55" s="29"/>
      <c r="N55" s="29"/>
      <c r="P55" s="58"/>
    </row>
    <row r="56" spans="1:16" ht="18" customHeight="1">
      <c r="A56" s="158"/>
      <c r="B56" s="204">
        <v>47</v>
      </c>
      <c r="C56" s="205" t="s">
        <v>445</v>
      </c>
      <c r="D56" s="204">
        <v>5</v>
      </c>
      <c r="E56" s="204">
        <v>4</v>
      </c>
      <c r="F56" s="204">
        <v>4</v>
      </c>
      <c r="G56" s="204">
        <v>4</v>
      </c>
      <c r="H56" s="204">
        <v>5</v>
      </c>
      <c r="I56" s="44"/>
      <c r="J56" s="44"/>
      <c r="K56" s="44"/>
      <c r="L56" s="45">
        <f t="shared" si="0"/>
        <v>22</v>
      </c>
      <c r="M56" s="29"/>
      <c r="N56" s="29"/>
      <c r="P56" s="58"/>
    </row>
    <row r="57" spans="1:16" ht="18" customHeight="1">
      <c r="A57" s="158"/>
      <c r="B57" s="204">
        <v>48</v>
      </c>
      <c r="C57" s="205" t="s">
        <v>446</v>
      </c>
      <c r="D57" s="204">
        <v>4</v>
      </c>
      <c r="E57" s="204">
        <v>4</v>
      </c>
      <c r="F57" s="204">
        <v>4</v>
      </c>
      <c r="G57" s="204">
        <v>4</v>
      </c>
      <c r="H57" s="204">
        <v>4</v>
      </c>
      <c r="I57" s="44"/>
      <c r="J57" s="44"/>
      <c r="K57" s="44"/>
      <c r="L57" s="45">
        <f t="shared" si="0"/>
        <v>20</v>
      </c>
      <c r="M57" s="29"/>
      <c r="N57" s="29"/>
      <c r="P57" s="58"/>
    </row>
    <row r="58" spans="1:16" ht="18" customHeight="1">
      <c r="A58" s="158"/>
      <c r="B58" s="204">
        <v>49</v>
      </c>
      <c r="C58" s="205" t="s">
        <v>447</v>
      </c>
      <c r="D58" s="204">
        <v>4</v>
      </c>
      <c r="E58" s="204">
        <v>4</v>
      </c>
      <c r="F58" s="204">
        <v>4</v>
      </c>
      <c r="G58" s="204">
        <v>5</v>
      </c>
      <c r="H58" s="204">
        <v>4</v>
      </c>
      <c r="I58" s="44"/>
      <c r="J58" s="44"/>
      <c r="K58" s="44"/>
      <c r="L58" s="45">
        <f t="shared" si="0"/>
        <v>21</v>
      </c>
      <c r="M58" s="29"/>
      <c r="N58" s="29"/>
      <c r="P58" s="58"/>
    </row>
    <row r="59" spans="1:16" ht="18" customHeight="1">
      <c r="A59" s="158"/>
      <c r="B59" s="204">
        <v>50</v>
      </c>
      <c r="C59" s="205" t="s">
        <v>448</v>
      </c>
      <c r="D59" s="204">
        <v>4</v>
      </c>
      <c r="E59" s="204">
        <v>4</v>
      </c>
      <c r="F59" s="204">
        <v>4</v>
      </c>
      <c r="G59" s="204">
        <v>5</v>
      </c>
      <c r="H59" s="204">
        <v>4</v>
      </c>
      <c r="I59" s="44"/>
      <c r="J59" s="44"/>
      <c r="K59" s="44"/>
      <c r="L59" s="45">
        <f t="shared" si="0"/>
        <v>21</v>
      </c>
      <c r="M59" s="29"/>
      <c r="N59" s="29"/>
      <c r="P59" s="58"/>
    </row>
    <row r="60" spans="1:16" ht="18" customHeight="1">
      <c r="A60" s="158"/>
      <c r="B60" s="204">
        <v>51</v>
      </c>
      <c r="C60" s="205" t="s">
        <v>449</v>
      </c>
      <c r="D60" s="204">
        <v>4</v>
      </c>
      <c r="E60" s="204">
        <v>4</v>
      </c>
      <c r="F60" s="204">
        <v>4</v>
      </c>
      <c r="G60" s="204">
        <v>4</v>
      </c>
      <c r="H60" s="204">
        <v>4</v>
      </c>
      <c r="I60" s="44"/>
      <c r="J60" s="44"/>
      <c r="K60" s="44"/>
      <c r="L60" s="45">
        <f t="shared" si="0"/>
        <v>20</v>
      </c>
      <c r="M60" s="29"/>
      <c r="N60" s="29"/>
      <c r="P60" s="58"/>
    </row>
    <row r="61" spans="1:16" ht="18" customHeight="1">
      <c r="A61" s="158"/>
      <c r="B61" s="204">
        <v>52</v>
      </c>
      <c r="C61" s="205" t="s">
        <v>450</v>
      </c>
      <c r="D61" s="204">
        <v>5</v>
      </c>
      <c r="E61" s="204">
        <v>5</v>
      </c>
      <c r="F61" s="204">
        <v>4</v>
      </c>
      <c r="G61" s="204">
        <v>4</v>
      </c>
      <c r="H61" s="204">
        <v>4</v>
      </c>
      <c r="I61" s="44"/>
      <c r="J61" s="44"/>
      <c r="K61" s="44"/>
      <c r="L61" s="45">
        <f t="shared" si="0"/>
        <v>22</v>
      </c>
      <c r="M61" s="29"/>
      <c r="N61" s="29"/>
      <c r="P61" s="58"/>
    </row>
    <row r="62" spans="1:16" ht="18" customHeight="1">
      <c r="A62" s="158"/>
      <c r="B62" s="204">
        <v>53</v>
      </c>
      <c r="C62" s="205" t="s">
        <v>451</v>
      </c>
      <c r="D62" s="204">
        <v>4</v>
      </c>
      <c r="E62" s="204">
        <v>4</v>
      </c>
      <c r="F62" s="204">
        <v>5</v>
      </c>
      <c r="G62" s="204">
        <v>4</v>
      </c>
      <c r="H62" s="204">
        <v>5</v>
      </c>
      <c r="I62" s="44"/>
      <c r="J62" s="44"/>
      <c r="K62" s="44"/>
      <c r="L62" s="45">
        <f t="shared" si="0"/>
        <v>22</v>
      </c>
      <c r="M62" s="29"/>
      <c r="N62" s="29"/>
      <c r="P62" s="58"/>
    </row>
    <row r="63" spans="1:16" ht="18" customHeight="1">
      <c r="A63" s="158"/>
      <c r="B63" s="204">
        <v>54</v>
      </c>
      <c r="C63" s="205" t="s">
        <v>452</v>
      </c>
      <c r="D63" s="204">
        <v>4</v>
      </c>
      <c r="E63" s="204">
        <v>4</v>
      </c>
      <c r="F63" s="204">
        <v>5</v>
      </c>
      <c r="G63" s="204">
        <v>4</v>
      </c>
      <c r="H63" s="204">
        <v>4</v>
      </c>
      <c r="I63" s="44"/>
      <c r="J63" s="44"/>
      <c r="K63" s="44"/>
      <c r="L63" s="45">
        <f t="shared" si="0"/>
        <v>21</v>
      </c>
      <c r="M63" s="29"/>
      <c r="N63" s="29"/>
      <c r="P63" s="58"/>
    </row>
    <row r="64" spans="1:16" ht="18" customHeight="1">
      <c r="A64" s="158"/>
      <c r="B64" s="204">
        <v>55</v>
      </c>
      <c r="C64" s="205" t="s">
        <v>453</v>
      </c>
      <c r="D64" s="204">
        <v>4</v>
      </c>
      <c r="E64" s="204">
        <v>4</v>
      </c>
      <c r="F64" s="204">
        <v>4</v>
      </c>
      <c r="G64" s="204">
        <v>4</v>
      </c>
      <c r="H64" s="204">
        <v>4</v>
      </c>
      <c r="I64" s="44"/>
      <c r="J64" s="44"/>
      <c r="K64" s="44"/>
      <c r="L64" s="45">
        <f t="shared" si="0"/>
        <v>20</v>
      </c>
      <c r="M64" s="29"/>
      <c r="N64" s="29"/>
      <c r="P64" s="58"/>
    </row>
    <row r="65" spans="1:16" ht="18" customHeight="1">
      <c r="A65" s="158"/>
      <c r="B65" s="204">
        <v>56</v>
      </c>
      <c r="C65" s="205" t="s">
        <v>454</v>
      </c>
      <c r="D65" s="204">
        <v>4</v>
      </c>
      <c r="E65" s="204">
        <v>4</v>
      </c>
      <c r="F65" s="204">
        <v>4</v>
      </c>
      <c r="G65" s="204">
        <v>5</v>
      </c>
      <c r="H65" s="204">
        <v>4</v>
      </c>
      <c r="I65" s="44"/>
      <c r="J65" s="44"/>
      <c r="K65" s="44"/>
      <c r="L65" s="45">
        <f t="shared" si="0"/>
        <v>21</v>
      </c>
      <c r="M65" s="29"/>
      <c r="N65" s="29"/>
      <c r="P65" s="58"/>
    </row>
    <row r="66" spans="1:16" ht="15.75" customHeight="1">
      <c r="A66" s="158"/>
      <c r="B66" s="204">
        <v>57</v>
      </c>
      <c r="C66" s="205" t="s">
        <v>455</v>
      </c>
      <c r="D66" s="204">
        <v>4</v>
      </c>
      <c r="E66" s="204">
        <v>4</v>
      </c>
      <c r="F66" s="204">
        <v>4</v>
      </c>
      <c r="G66" s="204">
        <v>4</v>
      </c>
      <c r="H66" s="204">
        <v>4</v>
      </c>
      <c r="I66" s="44"/>
      <c r="J66" s="44"/>
      <c r="K66" s="44"/>
      <c r="L66" s="45">
        <f t="shared" si="0"/>
        <v>20</v>
      </c>
    </row>
    <row r="67" spans="1:16" ht="15.75" customHeight="1">
      <c r="A67" s="158"/>
      <c r="B67" s="204">
        <v>58</v>
      </c>
      <c r="C67" s="205" t="s">
        <v>456</v>
      </c>
      <c r="D67" s="204">
        <v>4</v>
      </c>
      <c r="E67" s="204">
        <v>5</v>
      </c>
      <c r="F67" s="204">
        <v>4</v>
      </c>
      <c r="G67" s="204">
        <v>5</v>
      </c>
      <c r="H67" s="204">
        <v>5</v>
      </c>
      <c r="I67" s="44"/>
      <c r="J67" s="44"/>
      <c r="K67" s="44"/>
      <c r="L67" s="45">
        <f t="shared" si="0"/>
        <v>23</v>
      </c>
    </row>
    <row r="68" spans="1:16" ht="15.75" customHeight="1">
      <c r="A68" s="158"/>
      <c r="B68" s="204">
        <v>59</v>
      </c>
      <c r="C68" s="205" t="s">
        <v>457</v>
      </c>
      <c r="D68" s="204">
        <v>4</v>
      </c>
      <c r="E68" s="204">
        <v>5</v>
      </c>
      <c r="F68" s="204">
        <v>4</v>
      </c>
      <c r="G68" s="204">
        <v>5</v>
      </c>
      <c r="H68" s="204">
        <v>4</v>
      </c>
      <c r="I68" s="44"/>
      <c r="J68" s="44"/>
      <c r="K68" s="44"/>
      <c r="L68" s="45">
        <f t="shared" si="0"/>
        <v>22</v>
      </c>
    </row>
    <row r="69" spans="1:16" ht="15.75" customHeight="1">
      <c r="A69" s="158"/>
      <c r="B69" s="204">
        <v>60</v>
      </c>
      <c r="C69" s="205" t="s">
        <v>458</v>
      </c>
      <c r="D69" s="204">
        <v>4</v>
      </c>
      <c r="E69" s="204">
        <v>4</v>
      </c>
      <c r="F69" s="204">
        <v>4</v>
      </c>
      <c r="G69" s="204">
        <v>4</v>
      </c>
      <c r="H69" s="204">
        <v>4</v>
      </c>
      <c r="I69" s="44"/>
      <c r="J69" s="44"/>
      <c r="K69" s="44"/>
      <c r="L69" s="45">
        <f t="shared" si="0"/>
        <v>20</v>
      </c>
    </row>
    <row r="70" spans="1:16" ht="15.75" customHeight="1">
      <c r="A70" s="158"/>
      <c r="B70" s="204">
        <v>61</v>
      </c>
      <c r="C70" s="205" t="s">
        <v>459</v>
      </c>
      <c r="D70" s="204">
        <v>4</v>
      </c>
      <c r="E70" s="204">
        <v>4</v>
      </c>
      <c r="F70" s="204">
        <v>4</v>
      </c>
      <c r="G70" s="204">
        <v>5</v>
      </c>
      <c r="H70" s="204">
        <v>4</v>
      </c>
      <c r="I70" s="44"/>
      <c r="J70" s="44"/>
      <c r="K70" s="44"/>
      <c r="L70" s="45">
        <f t="shared" si="0"/>
        <v>21</v>
      </c>
    </row>
    <row r="71" spans="1:16" ht="15.75" customHeight="1">
      <c r="A71" s="158"/>
      <c r="B71" s="204">
        <v>62</v>
      </c>
      <c r="C71" s="205" t="s">
        <v>460</v>
      </c>
      <c r="D71" s="204">
        <v>4</v>
      </c>
      <c r="E71" s="204">
        <v>4</v>
      </c>
      <c r="F71" s="204">
        <v>4</v>
      </c>
      <c r="G71" s="204">
        <v>3</v>
      </c>
      <c r="H71" s="204">
        <v>4</v>
      </c>
      <c r="I71" s="44"/>
      <c r="J71" s="44"/>
      <c r="K71" s="44"/>
      <c r="L71" s="45">
        <f t="shared" si="0"/>
        <v>19</v>
      </c>
    </row>
    <row r="72" spans="1:16" ht="15.75" customHeight="1">
      <c r="A72" s="158"/>
      <c r="B72" s="204">
        <v>63</v>
      </c>
      <c r="C72" s="205" t="s">
        <v>461</v>
      </c>
      <c r="D72" s="204">
        <v>2</v>
      </c>
      <c r="E72" s="204">
        <v>4</v>
      </c>
      <c r="F72" s="204">
        <v>5</v>
      </c>
      <c r="G72" s="204">
        <v>2</v>
      </c>
      <c r="H72" s="204">
        <v>3</v>
      </c>
      <c r="I72" s="44"/>
      <c r="J72" s="44"/>
      <c r="K72" s="44"/>
      <c r="L72" s="45">
        <f t="shared" si="0"/>
        <v>16</v>
      </c>
    </row>
    <row r="73" spans="1:16" ht="15.75" customHeight="1">
      <c r="A73" s="158"/>
      <c r="B73" s="204">
        <v>64</v>
      </c>
      <c r="C73" s="205" t="s">
        <v>462</v>
      </c>
      <c r="D73" s="204">
        <v>4</v>
      </c>
      <c r="E73" s="204">
        <v>4</v>
      </c>
      <c r="F73" s="204">
        <v>5</v>
      </c>
      <c r="G73" s="204">
        <v>2</v>
      </c>
      <c r="H73" s="204">
        <v>4</v>
      </c>
      <c r="I73" s="61"/>
      <c r="J73" s="61"/>
      <c r="K73" s="61"/>
      <c r="L73" s="45">
        <f t="shared" si="0"/>
        <v>19</v>
      </c>
    </row>
    <row r="74" spans="1:16" ht="15.75" customHeight="1">
      <c r="A74" s="158"/>
      <c r="B74" s="204">
        <v>65</v>
      </c>
      <c r="C74" s="205" t="s">
        <v>463</v>
      </c>
      <c r="D74" s="204">
        <v>4</v>
      </c>
      <c r="E74" s="204">
        <v>5</v>
      </c>
      <c r="F74" s="204">
        <v>4</v>
      </c>
      <c r="G74" s="204">
        <v>2</v>
      </c>
      <c r="H74" s="204">
        <v>1</v>
      </c>
      <c r="I74" s="44"/>
      <c r="J74" s="44"/>
      <c r="K74" s="44"/>
      <c r="L74" s="45">
        <f t="shared" ref="L74:L103" si="1">IF(F74&lt;&gt;"AB",SUM(D74:K74),"AB")</f>
        <v>16</v>
      </c>
    </row>
    <row r="75" spans="1:16" ht="15.75" customHeight="1">
      <c r="A75" s="158"/>
      <c r="B75" s="204">
        <v>66</v>
      </c>
      <c r="C75" s="205" t="s">
        <v>464</v>
      </c>
      <c r="D75" s="204">
        <v>5</v>
      </c>
      <c r="E75" s="204">
        <v>2</v>
      </c>
      <c r="F75" s="204">
        <v>5</v>
      </c>
      <c r="G75" s="204">
        <v>5</v>
      </c>
      <c r="H75" s="204">
        <v>4</v>
      </c>
      <c r="I75" s="44"/>
      <c r="J75" s="44"/>
      <c r="K75" s="44"/>
      <c r="L75" s="45">
        <f t="shared" si="1"/>
        <v>21</v>
      </c>
    </row>
    <row r="76" spans="1:16" ht="15.75" customHeight="1">
      <c r="A76" s="158"/>
      <c r="B76" s="204">
        <v>67</v>
      </c>
      <c r="C76" s="205" t="s">
        <v>465</v>
      </c>
      <c r="D76" s="204">
        <v>5</v>
      </c>
      <c r="E76" s="204">
        <v>5</v>
      </c>
      <c r="F76" s="204">
        <v>5</v>
      </c>
      <c r="G76" s="204">
        <v>5</v>
      </c>
      <c r="H76" s="204">
        <v>4</v>
      </c>
      <c r="I76" s="44"/>
      <c r="J76" s="44"/>
      <c r="K76" s="44"/>
      <c r="L76" s="45">
        <f t="shared" si="1"/>
        <v>24</v>
      </c>
    </row>
    <row r="77" spans="1:16" ht="15.75" customHeight="1">
      <c r="A77" s="158"/>
      <c r="B77" s="204">
        <v>68</v>
      </c>
      <c r="C77" s="205" t="s">
        <v>466</v>
      </c>
      <c r="D77" s="204">
        <v>4</v>
      </c>
      <c r="E77" s="204">
        <v>5</v>
      </c>
      <c r="F77" s="204">
        <v>5</v>
      </c>
      <c r="G77" s="204">
        <v>5</v>
      </c>
      <c r="H77" s="204">
        <v>5</v>
      </c>
      <c r="I77" s="44"/>
      <c r="J77" s="44"/>
      <c r="K77" s="44"/>
      <c r="L77" s="45">
        <f t="shared" si="1"/>
        <v>24</v>
      </c>
    </row>
    <row r="78" spans="1:16" ht="15.75" customHeight="1">
      <c r="A78" s="158"/>
      <c r="B78" s="204">
        <v>69</v>
      </c>
      <c r="C78" s="205" t="s">
        <v>467</v>
      </c>
      <c r="D78" s="204">
        <v>5</v>
      </c>
      <c r="E78" s="204">
        <v>4</v>
      </c>
      <c r="F78" s="204">
        <v>5</v>
      </c>
      <c r="G78" s="204">
        <v>5</v>
      </c>
      <c r="H78" s="204">
        <v>4</v>
      </c>
      <c r="I78" s="44"/>
      <c r="J78" s="44"/>
      <c r="K78" s="44"/>
      <c r="L78" s="45">
        <f t="shared" si="1"/>
        <v>23</v>
      </c>
    </row>
    <row r="79" spans="1:16" ht="15.75" customHeight="1">
      <c r="A79" s="158"/>
      <c r="B79" s="204">
        <v>70</v>
      </c>
      <c r="C79" s="205" t="s">
        <v>468</v>
      </c>
      <c r="D79" s="204">
        <v>5</v>
      </c>
      <c r="E79" s="204">
        <v>5</v>
      </c>
      <c r="F79" s="204">
        <v>5</v>
      </c>
      <c r="G79" s="204">
        <v>5</v>
      </c>
      <c r="H79" s="204">
        <v>4</v>
      </c>
      <c r="I79" s="44"/>
      <c r="J79" s="44"/>
      <c r="K79" s="44"/>
      <c r="L79" s="45">
        <f t="shared" si="1"/>
        <v>24</v>
      </c>
    </row>
    <row r="80" spans="1:16" ht="15.75" customHeight="1">
      <c r="A80" s="158"/>
      <c r="B80" s="204">
        <v>71</v>
      </c>
      <c r="C80" s="205" t="s">
        <v>469</v>
      </c>
      <c r="D80" s="204">
        <v>5</v>
      </c>
      <c r="E80" s="204">
        <v>5</v>
      </c>
      <c r="F80" s="204">
        <v>5</v>
      </c>
      <c r="G80" s="204">
        <v>5</v>
      </c>
      <c r="H80" s="204">
        <v>4</v>
      </c>
      <c r="I80" s="44"/>
      <c r="J80" s="44"/>
      <c r="K80" s="44"/>
      <c r="L80" s="45">
        <f t="shared" si="1"/>
        <v>24</v>
      </c>
    </row>
    <row r="81" spans="1:12" ht="15.75" customHeight="1">
      <c r="A81" s="158"/>
      <c r="B81" s="204">
        <v>72</v>
      </c>
      <c r="C81" s="205" t="s">
        <v>470</v>
      </c>
      <c r="D81" s="204">
        <v>5</v>
      </c>
      <c r="E81" s="204">
        <v>5</v>
      </c>
      <c r="F81" s="204">
        <v>5</v>
      </c>
      <c r="G81" s="204">
        <v>5</v>
      </c>
      <c r="H81" s="204">
        <v>4</v>
      </c>
      <c r="I81" s="44"/>
      <c r="J81" s="44"/>
      <c r="K81" s="44"/>
      <c r="L81" s="45">
        <f t="shared" si="1"/>
        <v>24</v>
      </c>
    </row>
    <row r="82" spans="1:12" ht="15.75" customHeight="1">
      <c r="A82" s="158"/>
      <c r="B82" s="204">
        <v>73</v>
      </c>
      <c r="C82" s="205" t="s">
        <v>471</v>
      </c>
      <c r="D82" s="204">
        <v>4</v>
      </c>
      <c r="E82" s="204">
        <v>4</v>
      </c>
      <c r="F82" s="204">
        <v>5</v>
      </c>
      <c r="G82" s="204">
        <v>4</v>
      </c>
      <c r="H82" s="204">
        <v>5</v>
      </c>
      <c r="I82" s="44"/>
      <c r="J82" s="44"/>
      <c r="K82" s="44"/>
      <c r="L82" s="45">
        <f t="shared" si="1"/>
        <v>22</v>
      </c>
    </row>
    <row r="83" spans="1:12" ht="15.75" customHeight="1">
      <c r="A83" s="158"/>
      <c r="B83" s="204">
        <v>74</v>
      </c>
      <c r="C83" s="205" t="s">
        <v>472</v>
      </c>
      <c r="D83" s="204">
        <v>5</v>
      </c>
      <c r="E83" s="204">
        <v>5</v>
      </c>
      <c r="F83" s="204">
        <v>4</v>
      </c>
      <c r="G83" s="204">
        <v>4</v>
      </c>
      <c r="H83" s="204">
        <v>5</v>
      </c>
      <c r="I83" s="44"/>
      <c r="J83" s="44"/>
      <c r="K83" s="44"/>
      <c r="L83" s="45">
        <f t="shared" si="1"/>
        <v>23</v>
      </c>
    </row>
    <row r="84" spans="1:12" ht="15.75" customHeight="1">
      <c r="A84" s="158"/>
      <c r="B84" s="204">
        <v>75</v>
      </c>
      <c r="C84" s="205" t="s">
        <v>473</v>
      </c>
      <c r="D84" s="204">
        <v>5</v>
      </c>
      <c r="E84" s="204">
        <v>4</v>
      </c>
      <c r="F84" s="204">
        <v>5</v>
      </c>
      <c r="G84" s="204">
        <v>5</v>
      </c>
      <c r="H84" s="204">
        <v>4</v>
      </c>
      <c r="I84" s="44"/>
      <c r="J84" s="44"/>
      <c r="K84" s="44"/>
      <c r="L84" s="45">
        <f t="shared" si="1"/>
        <v>23</v>
      </c>
    </row>
    <row r="85" spans="1:12" ht="15.75" customHeight="1">
      <c r="A85" s="158"/>
      <c r="B85" s="204">
        <v>76</v>
      </c>
      <c r="C85" s="205" t="s">
        <v>474</v>
      </c>
      <c r="D85" s="204">
        <v>5</v>
      </c>
      <c r="E85" s="204">
        <v>4</v>
      </c>
      <c r="F85" s="204">
        <v>5</v>
      </c>
      <c r="G85" s="204">
        <v>4</v>
      </c>
      <c r="H85" s="204">
        <v>5</v>
      </c>
      <c r="I85" s="44"/>
      <c r="J85" s="44"/>
      <c r="K85" s="44"/>
      <c r="L85" s="45">
        <f t="shared" si="1"/>
        <v>23</v>
      </c>
    </row>
    <row r="86" spans="1:12" ht="15.75" customHeight="1">
      <c r="A86" s="158"/>
      <c r="B86" s="204">
        <v>77</v>
      </c>
      <c r="C86" s="205" t="s">
        <v>475</v>
      </c>
      <c r="D86" s="204">
        <v>4</v>
      </c>
      <c r="E86" s="204">
        <v>5</v>
      </c>
      <c r="F86" s="204">
        <v>5</v>
      </c>
      <c r="G86" s="204">
        <v>4</v>
      </c>
      <c r="H86" s="204">
        <v>4</v>
      </c>
      <c r="I86" s="61"/>
      <c r="J86" s="61"/>
      <c r="K86" s="61"/>
      <c r="L86" s="45">
        <f t="shared" si="1"/>
        <v>22</v>
      </c>
    </row>
    <row r="87" spans="1:12" ht="15.75" customHeight="1">
      <c r="A87" s="158"/>
      <c r="B87" s="204">
        <v>78</v>
      </c>
      <c r="C87" s="205" t="s">
        <v>476</v>
      </c>
      <c r="D87" s="204">
        <v>4</v>
      </c>
      <c r="E87" s="204">
        <v>5</v>
      </c>
      <c r="F87" s="204">
        <v>5</v>
      </c>
      <c r="G87" s="204">
        <v>4</v>
      </c>
      <c r="H87" s="204">
        <v>4</v>
      </c>
      <c r="I87" s="44"/>
      <c r="J87" s="44"/>
      <c r="K87" s="44"/>
      <c r="L87" s="45">
        <f t="shared" si="1"/>
        <v>22</v>
      </c>
    </row>
    <row r="88" spans="1:12" ht="15.75" customHeight="1">
      <c r="A88" s="158"/>
      <c r="B88" s="204">
        <v>79</v>
      </c>
      <c r="C88" s="205" t="s">
        <v>477</v>
      </c>
      <c r="D88" s="204">
        <v>5</v>
      </c>
      <c r="E88" s="204">
        <v>4</v>
      </c>
      <c r="F88" s="204">
        <v>5</v>
      </c>
      <c r="G88" s="204">
        <v>5</v>
      </c>
      <c r="H88" s="204">
        <v>5</v>
      </c>
      <c r="I88" s="44"/>
      <c r="J88" s="44"/>
      <c r="K88" s="44"/>
      <c r="L88" s="45">
        <f t="shared" si="1"/>
        <v>24</v>
      </c>
    </row>
    <row r="89" spans="1:12" ht="15.75" customHeight="1">
      <c r="A89" s="158"/>
      <c r="B89" s="204">
        <v>80</v>
      </c>
      <c r="C89" s="205" t="s">
        <v>478</v>
      </c>
      <c r="D89" s="204">
        <v>5</v>
      </c>
      <c r="E89" s="204">
        <v>5</v>
      </c>
      <c r="F89" s="204">
        <v>5</v>
      </c>
      <c r="G89" s="204">
        <v>5</v>
      </c>
      <c r="H89" s="204">
        <v>5</v>
      </c>
      <c r="I89" s="44"/>
      <c r="J89" s="44"/>
      <c r="K89" s="44"/>
      <c r="L89" s="45">
        <f t="shared" si="1"/>
        <v>25</v>
      </c>
    </row>
    <row r="90" spans="1:12" ht="15.75" customHeight="1">
      <c r="A90" s="158"/>
      <c r="B90" s="204">
        <v>81</v>
      </c>
      <c r="C90" s="205" t="s">
        <v>479</v>
      </c>
      <c r="D90" s="204">
        <v>5</v>
      </c>
      <c r="E90" s="204">
        <v>5</v>
      </c>
      <c r="F90" s="204">
        <v>5</v>
      </c>
      <c r="G90" s="204">
        <v>5</v>
      </c>
      <c r="H90" s="204">
        <v>4</v>
      </c>
      <c r="I90" s="61"/>
      <c r="J90" s="61"/>
      <c r="K90" s="61"/>
      <c r="L90" s="45">
        <f t="shared" si="1"/>
        <v>24</v>
      </c>
    </row>
    <row r="91" spans="1:12" ht="15.75" customHeight="1">
      <c r="A91" s="158"/>
      <c r="B91" s="204">
        <v>82</v>
      </c>
      <c r="C91" s="205" t="s">
        <v>480</v>
      </c>
      <c r="D91" s="204">
        <v>5</v>
      </c>
      <c r="E91" s="204">
        <v>5</v>
      </c>
      <c r="F91" s="204">
        <v>5</v>
      </c>
      <c r="G91" s="204">
        <v>4</v>
      </c>
      <c r="H91" s="204">
        <v>5</v>
      </c>
      <c r="I91" s="44"/>
      <c r="J91" s="44"/>
      <c r="K91" s="44"/>
      <c r="L91" s="45">
        <f t="shared" si="1"/>
        <v>24</v>
      </c>
    </row>
    <row r="92" spans="1:12" ht="15.75" customHeight="1">
      <c r="A92" s="158"/>
      <c r="B92" s="204">
        <v>83</v>
      </c>
      <c r="C92" s="205" t="s">
        <v>481</v>
      </c>
      <c r="D92" s="204">
        <v>5</v>
      </c>
      <c r="E92" s="204">
        <v>4</v>
      </c>
      <c r="F92" s="204">
        <v>5</v>
      </c>
      <c r="G92" s="204">
        <v>5</v>
      </c>
      <c r="H92" s="204">
        <v>4</v>
      </c>
      <c r="I92" s="44"/>
      <c r="J92" s="44"/>
      <c r="K92" s="44"/>
      <c r="L92" s="45">
        <f t="shared" si="1"/>
        <v>23</v>
      </c>
    </row>
    <row r="93" spans="1:12" ht="15.75" customHeight="1">
      <c r="A93" s="158"/>
      <c r="B93" s="204">
        <v>84</v>
      </c>
      <c r="C93" s="205" t="s">
        <v>482</v>
      </c>
      <c r="D93" s="204">
        <v>5</v>
      </c>
      <c r="E93" s="204">
        <v>5</v>
      </c>
      <c r="F93" s="204">
        <v>5</v>
      </c>
      <c r="G93" s="204">
        <v>5</v>
      </c>
      <c r="H93" s="204">
        <v>4</v>
      </c>
      <c r="I93" s="44"/>
      <c r="J93" s="44"/>
      <c r="K93" s="44"/>
      <c r="L93" s="45">
        <f t="shared" si="1"/>
        <v>24</v>
      </c>
    </row>
    <row r="94" spans="1:12" ht="15.75" customHeight="1">
      <c r="A94" s="158"/>
      <c r="B94" s="204">
        <v>85</v>
      </c>
      <c r="C94" s="205" t="s">
        <v>483</v>
      </c>
      <c r="D94" s="204">
        <v>5</v>
      </c>
      <c r="E94" s="204">
        <v>5</v>
      </c>
      <c r="F94" s="204">
        <v>5</v>
      </c>
      <c r="G94" s="204">
        <v>5</v>
      </c>
      <c r="H94" s="204">
        <v>4</v>
      </c>
      <c r="I94" s="44"/>
      <c r="J94" s="44"/>
      <c r="K94" s="44"/>
      <c r="L94" s="45">
        <f t="shared" si="1"/>
        <v>24</v>
      </c>
    </row>
    <row r="95" spans="1:12" ht="15.75" customHeight="1">
      <c r="A95" s="158"/>
      <c r="B95" s="204">
        <v>86</v>
      </c>
      <c r="C95" s="205" t="s">
        <v>484</v>
      </c>
      <c r="D95" s="204">
        <v>5</v>
      </c>
      <c r="E95" s="204">
        <v>5</v>
      </c>
      <c r="F95" s="204">
        <v>5</v>
      </c>
      <c r="G95" s="204">
        <v>4</v>
      </c>
      <c r="H95" s="204">
        <v>5</v>
      </c>
      <c r="I95" s="44"/>
      <c r="J95" s="44"/>
      <c r="K95" s="44"/>
      <c r="L95" s="45">
        <f t="shared" si="1"/>
        <v>24</v>
      </c>
    </row>
    <row r="96" spans="1:12" ht="15.75" customHeight="1">
      <c r="A96" s="158"/>
      <c r="B96" s="204">
        <v>87</v>
      </c>
      <c r="C96" s="205" t="s">
        <v>485</v>
      </c>
      <c r="D96" s="204">
        <v>5</v>
      </c>
      <c r="E96" s="204">
        <v>5</v>
      </c>
      <c r="F96" s="204">
        <v>5</v>
      </c>
      <c r="G96" s="204">
        <v>5</v>
      </c>
      <c r="H96" s="204">
        <v>4</v>
      </c>
      <c r="I96" s="44"/>
      <c r="J96" s="44"/>
      <c r="K96" s="44"/>
      <c r="L96" s="45">
        <f t="shared" si="1"/>
        <v>24</v>
      </c>
    </row>
    <row r="97" spans="1:22" ht="15.75" customHeight="1">
      <c r="A97" s="158"/>
      <c r="B97" s="206"/>
      <c r="C97" s="207"/>
      <c r="D97" s="207"/>
      <c r="E97" s="206"/>
      <c r="F97" s="206"/>
      <c r="G97" s="206"/>
      <c r="H97" s="206"/>
      <c r="I97" s="44"/>
      <c r="J97" s="44"/>
      <c r="K97" s="44"/>
      <c r="L97" s="45"/>
    </row>
    <row r="98" spans="1:22" ht="15.75" customHeight="1">
      <c r="A98" s="158"/>
      <c r="B98" s="206"/>
      <c r="C98" s="208" t="s">
        <v>486</v>
      </c>
      <c r="D98" s="204">
        <v>87</v>
      </c>
      <c r="E98" s="204">
        <v>87</v>
      </c>
      <c r="F98" s="204">
        <v>87</v>
      </c>
      <c r="G98" s="204">
        <v>87</v>
      </c>
      <c r="H98" s="204">
        <v>87</v>
      </c>
      <c r="I98" s="44"/>
      <c r="J98" s="44"/>
      <c r="K98" s="44"/>
      <c r="L98" s="45"/>
    </row>
    <row r="99" spans="1:22" ht="15.75" customHeight="1">
      <c r="A99" s="158"/>
      <c r="B99" s="206"/>
      <c r="C99" s="208" t="s">
        <v>487</v>
      </c>
      <c r="D99" s="204">
        <f t="shared" ref="D99:H99" si="2">COUNTIF(D10:D96,"=1")</f>
        <v>0</v>
      </c>
      <c r="E99" s="204">
        <f t="shared" si="2"/>
        <v>0</v>
      </c>
      <c r="F99" s="204">
        <f t="shared" si="2"/>
        <v>0</v>
      </c>
      <c r="G99" s="204">
        <f t="shared" si="2"/>
        <v>0</v>
      </c>
      <c r="H99" s="204">
        <f t="shared" si="2"/>
        <v>1</v>
      </c>
      <c r="I99" s="44"/>
      <c r="J99" s="44"/>
      <c r="K99" s="44"/>
      <c r="L99" s="45"/>
    </row>
    <row r="100" spans="1:22" ht="15.75" customHeight="1">
      <c r="A100" s="158"/>
      <c r="B100" s="206"/>
      <c r="C100" s="208" t="s">
        <v>488</v>
      </c>
      <c r="D100" s="204">
        <f t="shared" ref="D100:H100" si="3">COUNTIF(D10:D96,"=2")</f>
        <v>6</v>
      </c>
      <c r="E100" s="204">
        <f t="shared" si="3"/>
        <v>5</v>
      </c>
      <c r="F100" s="204">
        <f t="shared" si="3"/>
        <v>7</v>
      </c>
      <c r="G100" s="204">
        <f t="shared" si="3"/>
        <v>9</v>
      </c>
      <c r="H100" s="204">
        <f t="shared" si="3"/>
        <v>2</v>
      </c>
      <c r="I100" s="44"/>
      <c r="J100" s="44"/>
      <c r="K100" s="44"/>
      <c r="L100" s="45"/>
    </row>
    <row r="101" spans="1:22" ht="15.75" customHeight="1">
      <c r="A101" s="158"/>
      <c r="B101" s="206"/>
      <c r="C101" s="208" t="s">
        <v>489</v>
      </c>
      <c r="D101" s="204">
        <f t="shared" ref="D101:H101" si="4">COUNTIF(D10:D96,"=3")</f>
        <v>3</v>
      </c>
      <c r="E101" s="204">
        <f t="shared" si="4"/>
        <v>1</v>
      </c>
      <c r="F101" s="204">
        <f t="shared" si="4"/>
        <v>2</v>
      </c>
      <c r="G101" s="204">
        <f t="shared" si="4"/>
        <v>6</v>
      </c>
      <c r="H101" s="204">
        <f t="shared" si="4"/>
        <v>5</v>
      </c>
      <c r="I101" s="44"/>
      <c r="J101" s="44"/>
      <c r="K101" s="44"/>
      <c r="L101" s="45"/>
    </row>
    <row r="102" spans="1:22" ht="15.75" customHeight="1">
      <c r="A102" s="158"/>
      <c r="B102" s="206"/>
      <c r="C102" s="208" t="s">
        <v>490</v>
      </c>
      <c r="D102" s="204">
        <f t="shared" ref="D102:H102" si="5">COUNTIF(D10:D96,"=4")</f>
        <v>46</v>
      </c>
      <c r="E102" s="204">
        <f t="shared" si="5"/>
        <v>37</v>
      </c>
      <c r="F102" s="204">
        <f t="shared" si="5"/>
        <v>38</v>
      </c>
      <c r="G102" s="204">
        <f t="shared" si="5"/>
        <v>39</v>
      </c>
      <c r="H102" s="204">
        <f t="shared" si="5"/>
        <v>58</v>
      </c>
      <c r="I102" s="44"/>
      <c r="J102" s="44"/>
      <c r="K102" s="44"/>
      <c r="L102" s="45"/>
    </row>
    <row r="103" spans="1:22" ht="15.75" customHeight="1">
      <c r="A103" s="158"/>
      <c r="B103" s="206"/>
      <c r="C103" s="208" t="s">
        <v>491</v>
      </c>
      <c r="D103" s="204">
        <f t="shared" ref="D103:H103" si="6">COUNTIF(D10:D96,"=5")</f>
        <v>32</v>
      </c>
      <c r="E103" s="204">
        <f t="shared" si="6"/>
        <v>44</v>
      </c>
      <c r="F103" s="204">
        <f t="shared" si="6"/>
        <v>40</v>
      </c>
      <c r="G103" s="204">
        <f t="shared" si="6"/>
        <v>33</v>
      </c>
      <c r="H103" s="204">
        <f t="shared" si="6"/>
        <v>21</v>
      </c>
      <c r="I103" s="44"/>
      <c r="J103" s="44"/>
      <c r="K103" s="44"/>
      <c r="L103" s="45"/>
    </row>
    <row r="104" spans="1:22" ht="15.75" customHeight="1">
      <c r="A104" s="4"/>
      <c r="C104" s="62" t="s">
        <v>23</v>
      </c>
      <c r="D104" s="63">
        <f>AVERAGE(D10:D96)</f>
        <v>4.195402298850575</v>
      </c>
      <c r="E104" s="63">
        <f t="shared" ref="E104:H104" si="7">AVERAGE(E10:E96)</f>
        <v>4.3793103448275863</v>
      </c>
      <c r="F104" s="63">
        <f t="shared" si="7"/>
        <v>4.2758620689655169</v>
      </c>
      <c r="G104" s="63">
        <f t="shared" si="7"/>
        <v>4.1034482758620694</v>
      </c>
      <c r="H104" s="63">
        <f t="shared" si="7"/>
        <v>4.1034482758620694</v>
      </c>
      <c r="I104" s="63"/>
      <c r="J104" s="63"/>
      <c r="K104" s="63"/>
      <c r="L104" s="63">
        <f>AVERAGE(L10:L103)</f>
        <v>21.057471264367816</v>
      </c>
    </row>
    <row r="105" spans="1:22" ht="15.75" customHeight="1">
      <c r="A105" s="4"/>
      <c r="C105" s="64" t="s">
        <v>58</v>
      </c>
      <c r="D105" s="65">
        <f>D104/5*100</f>
        <v>83.908045977011497</v>
      </c>
      <c r="E105" s="65">
        <f t="shared" ref="E105:H105" si="8">E104/5*100</f>
        <v>87.586206896551715</v>
      </c>
      <c r="F105" s="65">
        <f t="shared" si="8"/>
        <v>85.517241379310335</v>
      </c>
      <c r="G105" s="65">
        <f t="shared" si="8"/>
        <v>82.068965517241395</v>
      </c>
      <c r="H105" s="65">
        <f t="shared" si="8"/>
        <v>82.068965517241395</v>
      </c>
      <c r="I105" s="65"/>
      <c r="J105" s="65"/>
      <c r="K105" s="65"/>
      <c r="L105" s="65">
        <f>L104/25*100</f>
        <v>84.229885057471265</v>
      </c>
    </row>
    <row r="106" spans="1:22" ht="15.75" customHeight="1">
      <c r="A106" s="4"/>
      <c r="C106" s="5"/>
      <c r="M106" s="376" t="s">
        <v>91</v>
      </c>
      <c r="N106" s="376"/>
    </row>
    <row r="107" spans="1:22" ht="15.75" customHeight="1">
      <c r="A107" s="4"/>
      <c r="C107" s="5"/>
      <c r="M107" s="376"/>
      <c r="N107" s="376"/>
    </row>
    <row r="108" spans="1:22" ht="15.75" customHeight="1">
      <c r="A108" s="4"/>
      <c r="C108" s="5"/>
      <c r="M108" s="376"/>
      <c r="N108" s="376"/>
      <c r="O108"/>
      <c r="P108" s="67"/>
      <c r="Q108"/>
      <c r="R108"/>
      <c r="S108"/>
      <c r="T108" s="68"/>
      <c r="U108" s="68"/>
      <c r="V108" s="68"/>
    </row>
    <row r="109" spans="1:22" ht="15.75" customHeight="1">
      <c r="M109" s="376"/>
      <c r="N109" s="376"/>
      <c r="O109"/>
      <c r="P109" s="67"/>
      <c r="Q109"/>
      <c r="R109"/>
      <c r="S109"/>
      <c r="T109"/>
      <c r="U109"/>
      <c r="V109"/>
    </row>
    <row r="110" spans="1:22" ht="15.75" customHeight="1">
      <c r="M110" s="376"/>
      <c r="N110" s="376"/>
      <c r="O110"/>
      <c r="P110" s="67"/>
      <c r="Q110"/>
      <c r="R110"/>
      <c r="S110"/>
      <c r="U110"/>
      <c r="V110"/>
    </row>
    <row r="111" spans="1:22" ht="15.75" customHeight="1">
      <c r="M111" s="376"/>
      <c r="N111" s="376"/>
      <c r="O111"/>
      <c r="P111" s="67"/>
      <c r="Q111"/>
      <c r="R111"/>
      <c r="S111"/>
      <c r="U111"/>
      <c r="V111"/>
    </row>
    <row r="112" spans="1:22" ht="15.75" customHeight="1">
      <c r="A112"/>
      <c r="B112"/>
      <c r="C112"/>
      <c r="D112"/>
      <c r="E112"/>
      <c r="F112"/>
      <c r="G112"/>
      <c r="H112"/>
      <c r="I112"/>
      <c r="J112"/>
      <c r="K112"/>
      <c r="L112"/>
      <c r="M112" s="376"/>
      <c r="N112" s="376"/>
      <c r="O112"/>
      <c r="P112" s="67"/>
      <c r="Q112"/>
      <c r="R112"/>
      <c r="S112"/>
      <c r="T112"/>
      <c r="U112"/>
      <c r="V112"/>
    </row>
    <row r="113" spans="1:22" s="27" customFormat="1">
      <c r="A113" s="1"/>
      <c r="B113" s="375" t="str">
        <f>SubjectDetails!$A$24</f>
        <v>Dr. Ravi Chourasiya</v>
      </c>
      <c r="C113" s="375"/>
      <c r="D113" s="375" t="str">
        <f>SubjectDetails!$E$24</f>
        <v>Dr. Ashwini Chavan</v>
      </c>
      <c r="E113" s="375"/>
      <c r="F113" s="375"/>
      <c r="G113" s="375"/>
      <c r="H113" s="1"/>
      <c r="I113" s="1"/>
      <c r="J113" s="375" t="str">
        <f>SubjectDetails!$H$24</f>
        <v>Dr. Priyanka Singh</v>
      </c>
      <c r="K113" s="375"/>
      <c r="L113" s="375"/>
      <c r="M113" s="1"/>
    </row>
    <row r="114" spans="1:22" s="27" customFormat="1">
      <c r="A114" s="70"/>
      <c r="B114" s="224" t="str">
        <f>SubjectDetails!$A$25</f>
        <v>(College Examination Officer)</v>
      </c>
      <c r="C114" s="224"/>
      <c r="D114" s="221" t="str">
        <f>SubjectDetails!$E$25</f>
        <v>HOD (MCA)</v>
      </c>
      <c r="E114" s="221"/>
      <c r="F114" s="221"/>
      <c r="G114" s="221"/>
      <c r="H114" s="160"/>
      <c r="I114" s="224" t="str">
        <f>SubjectDetails!$H$25</f>
        <v>Director</v>
      </c>
      <c r="J114" s="224"/>
      <c r="K114" s="224"/>
      <c r="L114" s="224"/>
      <c r="M114" s="1"/>
    </row>
    <row r="115" spans="1:22" ht="15.75" customHeight="1">
      <c r="A115" s="70"/>
      <c r="B115" s="70"/>
      <c r="C115" s="156"/>
      <c r="D115" s="156"/>
      <c r="E115" s="156"/>
      <c r="F115" s="156"/>
      <c r="G115" s="1"/>
      <c r="I115" s="224"/>
      <c r="J115" s="224"/>
      <c r="K115" s="70"/>
      <c r="L115" s="157"/>
      <c r="M115" s="70"/>
      <c r="N115" s="68"/>
      <c r="O115"/>
      <c r="P115" s="67"/>
      <c r="Q115" s="69"/>
      <c r="R115" s="69"/>
      <c r="S115" s="69"/>
      <c r="T115" s="68"/>
      <c r="U115" s="68"/>
      <c r="V115" s="68"/>
    </row>
    <row r="116" spans="1:22" ht="15.75" customHeight="1">
      <c r="D116" s="1"/>
      <c r="E116" s="1"/>
      <c r="F116" s="1"/>
      <c r="G116" s="1"/>
      <c r="H116" s="1"/>
      <c r="K116" s="1"/>
      <c r="M116" s="1"/>
    </row>
    <row r="117" spans="1:22" ht="15.75" customHeight="1">
      <c r="A117" s="221"/>
      <c r="B117" s="221"/>
      <c r="C117" s="221"/>
      <c r="D117" s="224"/>
      <c r="E117" s="224"/>
      <c r="F117" s="224"/>
      <c r="G117" s="224"/>
      <c r="H117" s="222"/>
      <c r="I117" s="222"/>
      <c r="J117" s="222"/>
      <c r="K117" s="222"/>
      <c r="L117" s="39"/>
      <c r="M117" s="1"/>
    </row>
    <row r="118" spans="1:22" ht="15.75" customHeight="1">
      <c r="A118" s="371"/>
      <c r="B118" s="371"/>
      <c r="C118" s="371"/>
      <c r="D118" s="372"/>
      <c r="E118" s="372"/>
      <c r="F118" s="372"/>
      <c r="G118" s="372"/>
      <c r="H118" s="374"/>
      <c r="I118" s="374"/>
      <c r="J118" s="374"/>
      <c r="K118" s="68"/>
      <c r="L118" s="39"/>
    </row>
    <row r="119" spans="1:22" ht="15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/>
    </row>
  </sheetData>
  <mergeCells count="26">
    <mergeCell ref="M106:N112"/>
    <mergeCell ref="A1:L1"/>
    <mergeCell ref="A2:L2"/>
    <mergeCell ref="A3:L3"/>
    <mergeCell ref="A4:L4"/>
    <mergeCell ref="A5:L5"/>
    <mergeCell ref="A6:C6"/>
    <mergeCell ref="D6:L6"/>
    <mergeCell ref="A7:A9"/>
    <mergeCell ref="B7:B9"/>
    <mergeCell ref="C7:C9"/>
    <mergeCell ref="D7:K7"/>
    <mergeCell ref="L7:L8"/>
    <mergeCell ref="B113:C113"/>
    <mergeCell ref="D113:G113"/>
    <mergeCell ref="J113:L113"/>
    <mergeCell ref="B114:C114"/>
    <mergeCell ref="D114:G114"/>
    <mergeCell ref="I114:L114"/>
    <mergeCell ref="I115:J115"/>
    <mergeCell ref="A117:C117"/>
    <mergeCell ref="D117:G117"/>
    <mergeCell ref="H117:K117"/>
    <mergeCell ref="A118:C118"/>
    <mergeCell ref="D118:G118"/>
    <mergeCell ref="H118:J118"/>
  </mergeCells>
  <hyperlinks>
    <hyperlink ref="M106:N112" r:id="rId1" display="Overall  Semester wise  Attainment"/>
  </hyperlink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3"/>
  <sheetViews>
    <sheetView topLeftCell="A47" zoomScale="85" zoomScaleNormal="85" workbookViewId="0">
      <selection activeCell="B11" sqref="B11"/>
    </sheetView>
  </sheetViews>
  <sheetFormatPr defaultColWidth="12.7109375" defaultRowHeight="15.75" customHeight="1"/>
  <cols>
    <col min="1" max="1" width="9.7109375" style="1" customWidth="1"/>
    <col min="2" max="2" width="12.7109375" style="1" customWidth="1"/>
    <col min="3" max="3" width="44.28515625" style="1" bestFit="1" customWidth="1"/>
    <col min="4" max="7" width="7.28515625" style="2" customWidth="1"/>
    <col min="8" max="11" width="8.28515625" style="2" customWidth="1"/>
    <col min="12" max="12" width="14.5703125" style="3" customWidth="1"/>
    <col min="13" max="16384" width="12.7109375" style="7"/>
  </cols>
  <sheetData>
    <row r="1" spans="1:16" ht="15.75" customHeight="1">
      <c r="A1" s="214" t="s">
        <v>94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</row>
    <row r="2" spans="1:16" ht="15.75" customHeight="1">
      <c r="A2" s="383" t="s">
        <v>95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</row>
    <row r="3" spans="1:16" ht="15.75" customHeight="1">
      <c r="A3" s="216" t="s">
        <v>96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</row>
    <row r="4" spans="1:16" ht="15.75" customHeight="1" thickBot="1">
      <c r="A4" s="216" t="s">
        <v>9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</row>
    <row r="5" spans="1:16" s="29" customFormat="1" ht="25.5">
      <c r="A5" s="377" t="s">
        <v>143</v>
      </c>
      <c r="B5" s="378"/>
      <c r="C5" s="378"/>
      <c r="D5" s="378"/>
      <c r="E5" s="378"/>
      <c r="F5" s="378"/>
      <c r="G5" s="378"/>
      <c r="H5" s="378"/>
      <c r="I5" s="378"/>
      <c r="J5" s="378"/>
      <c r="K5" s="378"/>
      <c r="L5" s="379"/>
    </row>
    <row r="6" spans="1:16" s="29" customFormat="1" ht="18" customHeight="1">
      <c r="A6" s="380" t="str">
        <f>CONCATENATE(Class," ", spl)</f>
        <v xml:space="preserve">MCA I SEM I AY 2023-24 </v>
      </c>
      <c r="B6" s="381"/>
      <c r="C6" s="382"/>
      <c r="D6" s="380" t="s">
        <v>57</v>
      </c>
      <c r="E6" s="381"/>
      <c r="F6" s="381"/>
      <c r="G6" s="381"/>
      <c r="H6" s="381"/>
      <c r="I6" s="381"/>
      <c r="J6" s="381"/>
      <c r="K6" s="381"/>
      <c r="L6" s="382"/>
      <c r="P6" s="58"/>
    </row>
    <row r="7" spans="1:16" ht="18" customHeight="1">
      <c r="A7" s="276" t="s">
        <v>0</v>
      </c>
      <c r="B7" s="276" t="s">
        <v>6</v>
      </c>
      <c r="C7" s="276" t="s">
        <v>1</v>
      </c>
      <c r="D7" s="276"/>
      <c r="E7" s="276"/>
      <c r="F7" s="276"/>
      <c r="G7" s="276"/>
      <c r="H7" s="276"/>
      <c r="I7" s="276"/>
      <c r="J7" s="276"/>
      <c r="K7" s="276"/>
      <c r="L7" s="275" t="s">
        <v>50</v>
      </c>
      <c r="M7" s="29"/>
      <c r="N7" s="29"/>
      <c r="P7" s="58"/>
    </row>
    <row r="8" spans="1:16" ht="18" customHeight="1">
      <c r="A8" s="276"/>
      <c r="B8" s="276"/>
      <c r="C8" s="276"/>
      <c r="D8" s="46" t="s">
        <v>14</v>
      </c>
      <c r="E8" s="46" t="s">
        <v>15</v>
      </c>
      <c r="F8" s="46" t="s">
        <v>16</v>
      </c>
      <c r="G8" s="46" t="s">
        <v>17</v>
      </c>
      <c r="H8" s="46" t="s">
        <v>18</v>
      </c>
      <c r="I8" s="46" t="s">
        <v>19</v>
      </c>
      <c r="J8" s="46" t="s">
        <v>20</v>
      </c>
      <c r="K8" s="46" t="s">
        <v>21</v>
      </c>
      <c r="L8" s="275"/>
      <c r="M8" s="29"/>
      <c r="N8" s="29"/>
      <c r="P8" s="58"/>
    </row>
    <row r="9" spans="1:16" ht="18" customHeight="1">
      <c r="A9" s="276"/>
      <c r="B9" s="276"/>
      <c r="C9" s="276"/>
      <c r="D9" s="46">
        <v>5</v>
      </c>
      <c r="E9" s="46">
        <v>5</v>
      </c>
      <c r="F9" s="46">
        <v>5</v>
      </c>
      <c r="G9" s="46">
        <v>5</v>
      </c>
      <c r="H9" s="46">
        <v>5</v>
      </c>
      <c r="I9" s="46">
        <v>5</v>
      </c>
      <c r="J9" s="46">
        <v>5</v>
      </c>
      <c r="K9" s="46">
        <v>5</v>
      </c>
      <c r="L9" s="46">
        <f>SUM(D9:K9)</f>
        <v>40</v>
      </c>
      <c r="M9" s="29"/>
      <c r="N9" s="29"/>
      <c r="P9" s="58"/>
    </row>
    <row r="10" spans="1:16" ht="18" customHeight="1">
      <c r="A10" s="59">
        <v>1</v>
      </c>
      <c r="B10" s="145">
        <v>22101</v>
      </c>
      <c r="C10" s="146" t="s">
        <v>148</v>
      </c>
      <c r="D10" s="44">
        <v>5</v>
      </c>
      <c r="E10" s="44">
        <v>5</v>
      </c>
      <c r="F10" s="61">
        <v>5</v>
      </c>
      <c r="G10" s="61">
        <v>5</v>
      </c>
      <c r="H10" s="44">
        <v>3</v>
      </c>
      <c r="I10" s="44">
        <v>5</v>
      </c>
      <c r="J10" s="44">
        <v>2</v>
      </c>
      <c r="K10" s="44">
        <v>4</v>
      </c>
      <c r="L10" s="45">
        <f>IF(F10&lt;&gt;"AB",SUM(D10:K10),"AB")</f>
        <v>34</v>
      </c>
      <c r="M10" s="29"/>
      <c r="N10" s="29"/>
      <c r="P10" s="58"/>
    </row>
    <row r="11" spans="1:16" ht="18" customHeight="1">
      <c r="A11" s="59">
        <v>2</v>
      </c>
      <c r="B11" s="145">
        <v>22102</v>
      </c>
      <c r="C11" s="146" t="s">
        <v>149</v>
      </c>
      <c r="D11" s="44">
        <v>4</v>
      </c>
      <c r="E11" s="44">
        <v>2</v>
      </c>
      <c r="F11" s="61">
        <v>5</v>
      </c>
      <c r="G11" s="61">
        <v>4</v>
      </c>
      <c r="H11" s="44">
        <v>4</v>
      </c>
      <c r="I11" s="44">
        <v>2</v>
      </c>
      <c r="J11" s="44">
        <v>5</v>
      </c>
      <c r="K11" s="44">
        <v>4</v>
      </c>
      <c r="L11" s="45">
        <f>IF(F11&lt;&gt;"AB",SUM(D11:K11),"AB")</f>
        <v>30</v>
      </c>
      <c r="M11" s="29"/>
      <c r="N11" s="29"/>
      <c r="P11" s="58"/>
    </row>
    <row r="12" spans="1:16" ht="18" customHeight="1">
      <c r="A12" s="59">
        <v>3</v>
      </c>
      <c r="B12" s="145">
        <v>22103</v>
      </c>
      <c r="C12" s="146" t="s">
        <v>150</v>
      </c>
      <c r="D12" s="44">
        <v>5</v>
      </c>
      <c r="E12" s="44">
        <v>3</v>
      </c>
      <c r="F12" s="61">
        <v>0</v>
      </c>
      <c r="G12" s="61">
        <v>3</v>
      </c>
      <c r="H12" s="44">
        <v>4</v>
      </c>
      <c r="I12" s="44">
        <v>4</v>
      </c>
      <c r="J12" s="44">
        <v>5</v>
      </c>
      <c r="K12" s="44">
        <v>3</v>
      </c>
      <c r="L12" s="45">
        <f>IF(F12&lt;&gt;"AB",SUM(D12:K12),"AB")</f>
        <v>27</v>
      </c>
      <c r="M12" s="29"/>
      <c r="N12" s="29"/>
      <c r="P12" s="58"/>
    </row>
    <row r="13" spans="1:16" ht="18" customHeight="1">
      <c r="A13" s="59">
        <v>4</v>
      </c>
      <c r="B13" s="145">
        <v>22104</v>
      </c>
      <c r="C13" s="146" t="s">
        <v>151</v>
      </c>
      <c r="D13" s="44" t="s">
        <v>24</v>
      </c>
      <c r="E13" s="44" t="s">
        <v>24</v>
      </c>
      <c r="F13" s="61" t="s">
        <v>24</v>
      </c>
      <c r="G13" s="61" t="s">
        <v>24</v>
      </c>
      <c r="H13" s="44" t="s">
        <v>24</v>
      </c>
      <c r="I13" s="44" t="s">
        <v>24</v>
      </c>
      <c r="J13" s="44" t="s">
        <v>24</v>
      </c>
      <c r="K13" s="44" t="s">
        <v>24</v>
      </c>
      <c r="L13" s="45">
        <f t="shared" ref="L13:L19" si="0">IF(F13&lt;&gt;"AB",SUM(D13:K13),"AB")</f>
        <v>0</v>
      </c>
      <c r="M13" s="29"/>
      <c r="N13" s="29"/>
      <c r="P13" s="58"/>
    </row>
    <row r="14" spans="1:16" ht="18" customHeight="1">
      <c r="A14" s="59">
        <v>5</v>
      </c>
      <c r="B14" s="145">
        <v>22105</v>
      </c>
      <c r="C14" s="146" t="s">
        <v>152</v>
      </c>
      <c r="D14" s="44">
        <v>4</v>
      </c>
      <c r="E14" s="44">
        <v>2</v>
      </c>
      <c r="F14" s="61">
        <v>5</v>
      </c>
      <c r="G14" s="61">
        <v>4</v>
      </c>
      <c r="H14" s="44">
        <v>4</v>
      </c>
      <c r="I14" s="44">
        <v>2</v>
      </c>
      <c r="J14" s="44">
        <v>5</v>
      </c>
      <c r="K14" s="44">
        <v>4</v>
      </c>
      <c r="L14" s="45">
        <f t="shared" si="0"/>
        <v>30</v>
      </c>
      <c r="M14" s="29"/>
      <c r="N14" s="29"/>
      <c r="P14" s="58"/>
    </row>
    <row r="15" spans="1:16" ht="18" customHeight="1">
      <c r="A15" s="59">
        <v>6</v>
      </c>
      <c r="B15" s="145">
        <v>22106</v>
      </c>
      <c r="C15" s="146" t="s">
        <v>153</v>
      </c>
      <c r="D15" s="44">
        <v>3</v>
      </c>
      <c r="E15" s="44">
        <v>5</v>
      </c>
      <c r="F15" s="61">
        <v>5</v>
      </c>
      <c r="G15" s="61">
        <v>5</v>
      </c>
      <c r="H15" s="44">
        <v>3</v>
      </c>
      <c r="I15" s="44">
        <v>2</v>
      </c>
      <c r="J15" s="44">
        <v>2</v>
      </c>
      <c r="K15" s="44">
        <v>5</v>
      </c>
      <c r="L15" s="45">
        <f t="shared" si="0"/>
        <v>30</v>
      </c>
      <c r="M15" s="29"/>
      <c r="N15" s="29"/>
      <c r="P15" s="58"/>
    </row>
    <row r="16" spans="1:16" ht="18" customHeight="1">
      <c r="A16" s="59">
        <v>7</v>
      </c>
      <c r="B16" s="145">
        <v>22107</v>
      </c>
      <c r="C16" s="146" t="s">
        <v>154</v>
      </c>
      <c r="D16" s="44">
        <v>4</v>
      </c>
      <c r="E16" s="44">
        <v>2</v>
      </c>
      <c r="F16" s="61">
        <v>0</v>
      </c>
      <c r="G16" s="61">
        <v>4</v>
      </c>
      <c r="H16" s="44">
        <v>3</v>
      </c>
      <c r="I16" s="44">
        <v>5</v>
      </c>
      <c r="J16" s="44">
        <v>3</v>
      </c>
      <c r="K16" s="44">
        <v>5</v>
      </c>
      <c r="L16" s="45">
        <f t="shared" si="0"/>
        <v>26</v>
      </c>
      <c r="M16" s="29"/>
      <c r="N16" s="29"/>
      <c r="P16" s="58"/>
    </row>
    <row r="17" spans="1:16" ht="18" customHeight="1">
      <c r="A17" s="59">
        <v>8</v>
      </c>
      <c r="B17" s="145">
        <v>22108</v>
      </c>
      <c r="C17" s="146" t="s">
        <v>155</v>
      </c>
      <c r="D17" s="44" t="s">
        <v>24</v>
      </c>
      <c r="E17" s="44" t="s">
        <v>24</v>
      </c>
      <c r="F17" s="61" t="s">
        <v>24</v>
      </c>
      <c r="G17" s="61" t="s">
        <v>24</v>
      </c>
      <c r="H17" s="44" t="s">
        <v>24</v>
      </c>
      <c r="I17" s="44" t="s">
        <v>24</v>
      </c>
      <c r="J17" s="44" t="s">
        <v>24</v>
      </c>
      <c r="K17" s="44" t="s">
        <v>24</v>
      </c>
      <c r="L17" s="45">
        <f t="shared" si="0"/>
        <v>0</v>
      </c>
      <c r="M17" s="29"/>
      <c r="N17" s="29"/>
      <c r="P17" s="58"/>
    </row>
    <row r="18" spans="1:16" ht="18" customHeight="1">
      <c r="A18" s="59">
        <v>9</v>
      </c>
      <c r="B18" s="145">
        <v>22109</v>
      </c>
      <c r="C18" s="146" t="s">
        <v>156</v>
      </c>
      <c r="D18" s="44">
        <v>4</v>
      </c>
      <c r="E18" s="44">
        <v>2</v>
      </c>
      <c r="F18" s="61">
        <v>5</v>
      </c>
      <c r="G18" s="61">
        <v>3</v>
      </c>
      <c r="H18" s="44">
        <v>2</v>
      </c>
      <c r="I18" s="44">
        <v>5</v>
      </c>
      <c r="J18" s="44">
        <v>5</v>
      </c>
      <c r="K18" s="44">
        <v>2</v>
      </c>
      <c r="L18" s="45">
        <f t="shared" si="0"/>
        <v>28</v>
      </c>
      <c r="M18" s="29"/>
      <c r="N18" s="29"/>
      <c r="P18" s="58"/>
    </row>
    <row r="19" spans="1:16" ht="18" customHeight="1">
      <c r="A19" s="59">
        <v>10</v>
      </c>
      <c r="B19" s="145">
        <v>22110</v>
      </c>
      <c r="C19" s="146" t="s">
        <v>157</v>
      </c>
      <c r="D19" s="44">
        <v>4</v>
      </c>
      <c r="E19" s="44">
        <v>2</v>
      </c>
      <c r="F19" s="61">
        <v>5</v>
      </c>
      <c r="G19" s="61">
        <v>4</v>
      </c>
      <c r="H19" s="44">
        <v>4</v>
      </c>
      <c r="I19" s="44">
        <v>2</v>
      </c>
      <c r="J19" s="44">
        <v>5</v>
      </c>
      <c r="K19" s="44">
        <v>4</v>
      </c>
      <c r="L19" s="45">
        <f t="shared" si="0"/>
        <v>30</v>
      </c>
      <c r="M19" s="29"/>
      <c r="N19" s="29"/>
      <c r="P19" s="58"/>
    </row>
    <row r="20" spans="1:16" ht="18" customHeight="1">
      <c r="A20" s="59">
        <v>11</v>
      </c>
      <c r="B20" s="145">
        <v>22111</v>
      </c>
      <c r="C20" s="146" t="s">
        <v>158</v>
      </c>
      <c r="D20" s="44">
        <v>2</v>
      </c>
      <c r="E20" s="44">
        <v>4</v>
      </c>
      <c r="F20" s="61">
        <v>5</v>
      </c>
      <c r="G20" s="61">
        <v>2</v>
      </c>
      <c r="H20" s="44">
        <v>1</v>
      </c>
      <c r="I20" s="44">
        <v>3</v>
      </c>
      <c r="J20" s="44">
        <v>2</v>
      </c>
      <c r="K20" s="44">
        <v>5</v>
      </c>
      <c r="L20" s="45">
        <f>IF(F20&lt;&gt;"AB",SUM(D20:K20),"AB")</f>
        <v>24</v>
      </c>
      <c r="M20" s="29"/>
      <c r="N20" s="29"/>
      <c r="P20" s="58"/>
    </row>
    <row r="21" spans="1:16" ht="18" customHeight="1">
      <c r="A21" s="59">
        <v>12</v>
      </c>
      <c r="B21" s="145">
        <v>22112</v>
      </c>
      <c r="C21" s="146" t="s">
        <v>159</v>
      </c>
      <c r="D21" s="44">
        <v>4</v>
      </c>
      <c r="E21" s="44">
        <v>5</v>
      </c>
      <c r="F21" s="61">
        <v>5</v>
      </c>
      <c r="G21" s="61">
        <v>3</v>
      </c>
      <c r="H21" s="44">
        <v>3</v>
      </c>
      <c r="I21" s="44">
        <v>4</v>
      </c>
      <c r="J21" s="44">
        <v>4</v>
      </c>
      <c r="K21" s="44">
        <v>5</v>
      </c>
      <c r="L21" s="45">
        <f>IF(F21&lt;&gt;"AB",SUM(D21:K21),"AB")</f>
        <v>33</v>
      </c>
      <c r="M21" s="29"/>
      <c r="N21" s="29"/>
      <c r="P21" s="58"/>
    </row>
    <row r="22" spans="1:16" ht="18" customHeight="1">
      <c r="A22" s="59">
        <v>13</v>
      </c>
      <c r="B22" s="145">
        <v>22113</v>
      </c>
      <c r="C22" s="146" t="s">
        <v>160</v>
      </c>
      <c r="D22" s="44">
        <v>2</v>
      </c>
      <c r="E22" s="44">
        <v>5</v>
      </c>
      <c r="F22" s="61">
        <v>3</v>
      </c>
      <c r="G22" s="61">
        <v>3</v>
      </c>
      <c r="H22" s="44">
        <v>5</v>
      </c>
      <c r="I22" s="44">
        <v>5</v>
      </c>
      <c r="J22" s="44">
        <v>5</v>
      </c>
      <c r="K22" s="44">
        <v>3</v>
      </c>
      <c r="L22" s="45">
        <f>IF(F22&lt;&gt;"AB",SUM(D22:K22),"AB")</f>
        <v>31</v>
      </c>
      <c r="M22" s="29"/>
      <c r="N22" s="29"/>
      <c r="P22" s="58"/>
    </row>
    <row r="23" spans="1:16" ht="18" customHeight="1">
      <c r="A23" s="59">
        <v>14</v>
      </c>
      <c r="B23" s="145">
        <v>22114</v>
      </c>
      <c r="C23" s="146" t="s">
        <v>161</v>
      </c>
      <c r="D23" s="44">
        <v>5</v>
      </c>
      <c r="E23" s="44">
        <v>4</v>
      </c>
      <c r="F23" s="61">
        <v>5</v>
      </c>
      <c r="G23" s="61">
        <v>1</v>
      </c>
      <c r="H23" s="44">
        <v>2</v>
      </c>
      <c r="I23" s="44">
        <v>5</v>
      </c>
      <c r="J23" s="44">
        <v>5</v>
      </c>
      <c r="K23" s="44">
        <v>3</v>
      </c>
      <c r="L23" s="45">
        <f>IF(F23&lt;&gt;"AB",SUM(D23:K23),"AB")</f>
        <v>30</v>
      </c>
      <c r="M23" s="29"/>
      <c r="N23" s="29"/>
      <c r="P23" s="58"/>
    </row>
    <row r="24" spans="1:16" ht="18" customHeight="1">
      <c r="A24" s="59">
        <v>15</v>
      </c>
      <c r="B24" s="145">
        <v>22115</v>
      </c>
      <c r="C24" s="146" t="s">
        <v>162</v>
      </c>
      <c r="D24" s="44" t="s">
        <v>24</v>
      </c>
      <c r="E24" s="44" t="s">
        <v>24</v>
      </c>
      <c r="F24" s="61" t="s">
        <v>24</v>
      </c>
      <c r="G24" s="61" t="s">
        <v>24</v>
      </c>
      <c r="H24" s="44" t="s">
        <v>24</v>
      </c>
      <c r="I24" s="44" t="s">
        <v>24</v>
      </c>
      <c r="J24" s="44" t="s">
        <v>24</v>
      </c>
      <c r="K24" s="44" t="s">
        <v>24</v>
      </c>
      <c r="L24" s="45" t="s">
        <v>24</v>
      </c>
      <c r="M24" s="29"/>
      <c r="N24" s="29"/>
      <c r="P24" s="58"/>
    </row>
    <row r="25" spans="1:16" ht="18" customHeight="1">
      <c r="A25" s="59">
        <v>16</v>
      </c>
      <c r="B25" s="145">
        <v>22116</v>
      </c>
      <c r="C25" s="146" t="s">
        <v>163</v>
      </c>
      <c r="D25" s="44">
        <v>3</v>
      </c>
      <c r="E25" s="44">
        <v>2</v>
      </c>
      <c r="F25" s="61">
        <v>4</v>
      </c>
      <c r="G25" s="61">
        <v>4</v>
      </c>
      <c r="H25" s="44">
        <v>5</v>
      </c>
      <c r="I25" s="44">
        <v>3</v>
      </c>
      <c r="J25" s="44">
        <v>5</v>
      </c>
      <c r="K25" s="44">
        <v>3</v>
      </c>
      <c r="L25" s="45">
        <f>IF(F25&lt;&gt;"AB",SUM(D25:K25),"AB")</f>
        <v>29</v>
      </c>
      <c r="M25" s="29"/>
      <c r="N25" s="29"/>
      <c r="P25" s="58"/>
    </row>
    <row r="26" spans="1:16" ht="18" customHeight="1">
      <c r="A26" s="59">
        <v>17</v>
      </c>
      <c r="B26" s="145">
        <v>22117</v>
      </c>
      <c r="C26" s="146" t="s">
        <v>164</v>
      </c>
      <c r="D26" s="44">
        <v>5</v>
      </c>
      <c r="E26" s="44">
        <v>4</v>
      </c>
      <c r="F26" s="61">
        <v>0</v>
      </c>
      <c r="G26" s="61">
        <v>3</v>
      </c>
      <c r="H26" s="44">
        <v>5</v>
      </c>
      <c r="I26" s="44">
        <v>5</v>
      </c>
      <c r="J26" s="44">
        <v>5</v>
      </c>
      <c r="K26" s="44">
        <v>4</v>
      </c>
      <c r="L26" s="45">
        <f>IF(F26&lt;&gt;"AB",SUM(D26:K26),"AB")</f>
        <v>31</v>
      </c>
      <c r="M26" s="29"/>
      <c r="N26" s="29"/>
      <c r="P26" s="58"/>
    </row>
    <row r="27" spans="1:16" ht="18" customHeight="1">
      <c r="A27" s="59">
        <v>18</v>
      </c>
      <c r="B27" s="145">
        <v>22118</v>
      </c>
      <c r="C27" s="146" t="s">
        <v>165</v>
      </c>
      <c r="D27" s="44">
        <v>2</v>
      </c>
      <c r="E27" s="44">
        <v>5</v>
      </c>
      <c r="F27" s="61">
        <v>3</v>
      </c>
      <c r="G27" s="61">
        <v>3</v>
      </c>
      <c r="H27" s="44">
        <v>5</v>
      </c>
      <c r="I27" s="44">
        <v>5</v>
      </c>
      <c r="J27" s="44">
        <v>5</v>
      </c>
      <c r="K27" s="44">
        <v>3</v>
      </c>
      <c r="L27" s="45" t="s">
        <v>24</v>
      </c>
      <c r="M27" s="29"/>
      <c r="N27" s="29"/>
      <c r="P27" s="58"/>
    </row>
    <row r="28" spans="1:16" ht="18" customHeight="1">
      <c r="A28" s="59">
        <v>19</v>
      </c>
      <c r="B28" s="145">
        <v>22119</v>
      </c>
      <c r="C28" s="146" t="s">
        <v>166</v>
      </c>
      <c r="D28" s="44">
        <v>3</v>
      </c>
      <c r="E28" s="44">
        <v>4</v>
      </c>
      <c r="F28" s="61">
        <v>5</v>
      </c>
      <c r="G28" s="61">
        <v>4</v>
      </c>
      <c r="H28" s="44">
        <v>5</v>
      </c>
      <c r="I28" s="44">
        <v>5</v>
      </c>
      <c r="J28" s="44">
        <v>2</v>
      </c>
      <c r="K28" s="44">
        <v>5</v>
      </c>
      <c r="L28" s="45">
        <f>IF(F28&lt;&gt;"AB",SUM(D28:K28),"AB")</f>
        <v>33</v>
      </c>
      <c r="M28" s="29"/>
      <c r="N28" s="29"/>
      <c r="P28" s="58"/>
    </row>
    <row r="29" spans="1:16" ht="18" customHeight="1">
      <c r="A29" s="59">
        <v>20</v>
      </c>
      <c r="B29" s="145">
        <v>22120</v>
      </c>
      <c r="C29" s="146" t="s">
        <v>167</v>
      </c>
      <c r="D29" s="44">
        <v>4</v>
      </c>
      <c r="E29" s="44">
        <v>3</v>
      </c>
      <c r="F29" s="61">
        <v>2</v>
      </c>
      <c r="G29" s="61">
        <v>2</v>
      </c>
      <c r="H29" s="44">
        <v>5</v>
      </c>
      <c r="I29" s="44">
        <v>5</v>
      </c>
      <c r="J29" s="44">
        <v>5</v>
      </c>
      <c r="K29" s="44">
        <v>3</v>
      </c>
      <c r="L29" s="45">
        <f>IF(F29&lt;&gt;"AB",SUM(D29:K29),"AB")</f>
        <v>29</v>
      </c>
      <c r="M29" s="29"/>
      <c r="N29" s="29"/>
      <c r="P29" s="58"/>
    </row>
    <row r="30" spans="1:16" ht="18" customHeight="1">
      <c r="A30" s="59">
        <v>21</v>
      </c>
      <c r="B30" s="145">
        <v>22121</v>
      </c>
      <c r="C30" s="146" t="s">
        <v>168</v>
      </c>
      <c r="D30" s="44">
        <v>4</v>
      </c>
      <c r="E30" s="44">
        <v>2</v>
      </c>
      <c r="F30" s="61">
        <v>3</v>
      </c>
      <c r="G30" s="61">
        <v>5</v>
      </c>
      <c r="H30" s="44">
        <v>5</v>
      </c>
      <c r="I30" s="44">
        <v>3</v>
      </c>
      <c r="J30" s="44">
        <v>4</v>
      </c>
      <c r="K30" s="44">
        <v>4</v>
      </c>
      <c r="L30" s="45">
        <f>IF(F30&lt;&gt;"AB",SUM(D30:K30),"AB")</f>
        <v>30</v>
      </c>
      <c r="M30" s="29"/>
      <c r="N30" s="29"/>
      <c r="P30" s="58"/>
    </row>
    <row r="31" spans="1:16" ht="18" customHeight="1">
      <c r="A31" s="59">
        <v>22</v>
      </c>
      <c r="B31" s="145">
        <v>22122</v>
      </c>
      <c r="C31" s="146" t="s">
        <v>169</v>
      </c>
      <c r="D31" s="44">
        <v>2</v>
      </c>
      <c r="E31" s="44">
        <v>5</v>
      </c>
      <c r="F31" s="61">
        <v>3</v>
      </c>
      <c r="G31" s="61">
        <v>3</v>
      </c>
      <c r="H31" s="44">
        <v>5</v>
      </c>
      <c r="I31" s="44">
        <v>5</v>
      </c>
      <c r="J31" s="44">
        <v>5</v>
      </c>
      <c r="K31" s="44">
        <v>3</v>
      </c>
      <c r="L31" s="45">
        <f t="shared" ref="L31:L33" si="1">IF(F31&lt;&gt;"AB",SUM(D31:K31),"AB")</f>
        <v>31</v>
      </c>
      <c r="M31" s="29"/>
      <c r="N31" s="29"/>
      <c r="P31" s="58"/>
    </row>
    <row r="32" spans="1:16" ht="18" customHeight="1">
      <c r="A32" s="59">
        <v>23</v>
      </c>
      <c r="B32" s="145">
        <v>22123</v>
      </c>
      <c r="C32" s="146" t="s">
        <v>170</v>
      </c>
      <c r="D32" s="44" t="s">
        <v>24</v>
      </c>
      <c r="E32" s="44" t="s">
        <v>24</v>
      </c>
      <c r="F32" s="61" t="s">
        <v>24</v>
      </c>
      <c r="G32" s="61" t="s">
        <v>24</v>
      </c>
      <c r="H32" s="44" t="s">
        <v>24</v>
      </c>
      <c r="I32" s="44" t="s">
        <v>24</v>
      </c>
      <c r="J32" s="44" t="s">
        <v>24</v>
      </c>
      <c r="K32" s="44" t="s">
        <v>24</v>
      </c>
      <c r="L32" s="45">
        <f t="shared" si="1"/>
        <v>0</v>
      </c>
      <c r="M32" s="29"/>
      <c r="N32" s="29"/>
      <c r="P32" s="58"/>
    </row>
    <row r="33" spans="1:16" ht="18" customHeight="1">
      <c r="A33" s="59">
        <v>24</v>
      </c>
      <c r="B33" s="145">
        <v>22124</v>
      </c>
      <c r="C33" s="146" t="s">
        <v>171</v>
      </c>
      <c r="D33" s="44">
        <v>4</v>
      </c>
      <c r="E33" s="44">
        <v>3</v>
      </c>
      <c r="F33" s="61">
        <v>2</v>
      </c>
      <c r="G33" s="61">
        <v>2</v>
      </c>
      <c r="H33" s="44">
        <v>5</v>
      </c>
      <c r="I33" s="44">
        <v>5</v>
      </c>
      <c r="J33" s="44">
        <v>5</v>
      </c>
      <c r="K33" s="44">
        <v>3</v>
      </c>
      <c r="L33" s="45">
        <f t="shared" si="1"/>
        <v>29</v>
      </c>
      <c r="M33" s="29"/>
      <c r="N33" s="29"/>
      <c r="P33" s="58"/>
    </row>
    <row r="34" spans="1:16" ht="18" customHeight="1">
      <c r="A34" s="59">
        <v>25</v>
      </c>
      <c r="B34" s="145">
        <v>22125</v>
      </c>
      <c r="C34" s="146" t="s">
        <v>172</v>
      </c>
      <c r="D34" s="44">
        <v>3</v>
      </c>
      <c r="E34" s="44">
        <v>4</v>
      </c>
      <c r="F34" s="61">
        <v>0</v>
      </c>
      <c r="G34" s="61">
        <v>3</v>
      </c>
      <c r="H34" s="44">
        <v>2</v>
      </c>
      <c r="I34" s="44">
        <v>3</v>
      </c>
      <c r="J34" s="44">
        <v>4</v>
      </c>
      <c r="K34" s="44">
        <v>1</v>
      </c>
      <c r="L34" s="45">
        <f>IF(F34&lt;&gt;"AB",SUM(D34:K34),"AB")</f>
        <v>20</v>
      </c>
      <c r="M34" s="29"/>
      <c r="N34" s="29"/>
      <c r="P34" s="58"/>
    </row>
    <row r="35" spans="1:16" ht="18" customHeight="1">
      <c r="A35" s="59">
        <v>26</v>
      </c>
      <c r="B35" s="145">
        <v>22126</v>
      </c>
      <c r="C35" s="146" t="s">
        <v>173</v>
      </c>
      <c r="D35" s="44">
        <v>3</v>
      </c>
      <c r="E35" s="44">
        <v>3</v>
      </c>
      <c r="F35" s="61">
        <v>5</v>
      </c>
      <c r="G35" s="61">
        <v>3</v>
      </c>
      <c r="H35" s="44">
        <v>5</v>
      </c>
      <c r="I35" s="44">
        <v>3</v>
      </c>
      <c r="J35" s="44">
        <v>3</v>
      </c>
      <c r="K35" s="44">
        <v>5</v>
      </c>
      <c r="L35" s="45">
        <f>IF(F35&lt;&gt;"AB",SUM(D35:K35),"AB")</f>
        <v>30</v>
      </c>
      <c r="M35" s="29"/>
      <c r="N35" s="29"/>
      <c r="P35" s="58"/>
    </row>
    <row r="36" spans="1:16" ht="18" customHeight="1">
      <c r="A36" s="59">
        <v>27</v>
      </c>
      <c r="B36" s="145">
        <v>22127</v>
      </c>
      <c r="C36" s="146" t="s">
        <v>174</v>
      </c>
      <c r="D36" s="44">
        <v>5</v>
      </c>
      <c r="E36" s="44">
        <v>5</v>
      </c>
      <c r="F36" s="61">
        <v>5</v>
      </c>
      <c r="G36" s="61">
        <v>4</v>
      </c>
      <c r="H36" s="44">
        <v>4</v>
      </c>
      <c r="I36" s="44">
        <v>2</v>
      </c>
      <c r="J36" s="44">
        <v>4</v>
      </c>
      <c r="K36" s="44">
        <v>4</v>
      </c>
      <c r="L36" s="45" t="s">
        <v>24</v>
      </c>
      <c r="M36" s="29"/>
      <c r="N36" s="29"/>
      <c r="P36" s="58"/>
    </row>
    <row r="37" spans="1:16" ht="18" customHeight="1">
      <c r="A37" s="59">
        <v>28</v>
      </c>
      <c r="B37" s="145">
        <v>22128</v>
      </c>
      <c r="C37" s="146" t="s">
        <v>175</v>
      </c>
      <c r="D37" s="44">
        <v>4</v>
      </c>
      <c r="E37" s="44">
        <v>3</v>
      </c>
      <c r="F37" s="61">
        <v>5</v>
      </c>
      <c r="G37" s="61">
        <v>5</v>
      </c>
      <c r="H37" s="44">
        <v>3</v>
      </c>
      <c r="I37" s="44">
        <v>5</v>
      </c>
      <c r="J37" s="44">
        <v>5</v>
      </c>
      <c r="K37" s="44">
        <v>5</v>
      </c>
      <c r="L37" s="45">
        <f>IF(F37&lt;&gt;"AB",SUM(D37:K37),"AB")</f>
        <v>35</v>
      </c>
      <c r="M37" s="29"/>
      <c r="N37" s="29"/>
      <c r="P37" s="58"/>
    </row>
    <row r="38" spans="1:16" ht="18" customHeight="1">
      <c r="A38" s="59">
        <v>29</v>
      </c>
      <c r="B38" s="145">
        <v>22129</v>
      </c>
      <c r="C38" s="146" t="s">
        <v>176</v>
      </c>
      <c r="D38" s="44">
        <v>5</v>
      </c>
      <c r="E38" s="44">
        <v>5</v>
      </c>
      <c r="F38" s="61">
        <v>5</v>
      </c>
      <c r="G38" s="61">
        <v>4</v>
      </c>
      <c r="H38" s="44">
        <v>4</v>
      </c>
      <c r="I38" s="44">
        <v>2</v>
      </c>
      <c r="J38" s="44">
        <v>4</v>
      </c>
      <c r="K38" s="44">
        <v>4</v>
      </c>
      <c r="L38" s="45" t="s">
        <v>24</v>
      </c>
      <c r="M38" s="29"/>
      <c r="N38" s="29"/>
      <c r="P38" s="58"/>
    </row>
    <row r="39" spans="1:16" ht="18" customHeight="1">
      <c r="A39" s="59">
        <v>30</v>
      </c>
      <c r="B39" s="145">
        <v>22130</v>
      </c>
      <c r="C39" s="146" t="s">
        <v>177</v>
      </c>
      <c r="D39" s="44">
        <v>5</v>
      </c>
      <c r="E39" s="44">
        <v>5</v>
      </c>
      <c r="F39" s="61">
        <v>5</v>
      </c>
      <c r="G39" s="61">
        <v>4</v>
      </c>
      <c r="H39" s="44">
        <v>4</v>
      </c>
      <c r="I39" s="44">
        <v>5</v>
      </c>
      <c r="J39" s="44">
        <v>3</v>
      </c>
      <c r="K39" s="44">
        <v>5</v>
      </c>
      <c r="L39" s="45">
        <f>IF(F39&lt;&gt;"AB",SUM(D39:K39),"AB")</f>
        <v>36</v>
      </c>
      <c r="M39" s="29"/>
      <c r="N39" s="29"/>
      <c r="P39" s="58"/>
    </row>
    <row r="40" spans="1:16" ht="18" customHeight="1">
      <c r="A40" s="59">
        <v>31</v>
      </c>
      <c r="B40" s="145">
        <v>22131</v>
      </c>
      <c r="C40" s="146" t="s">
        <v>178</v>
      </c>
      <c r="D40" s="44">
        <v>2</v>
      </c>
      <c r="E40" s="44">
        <v>5</v>
      </c>
      <c r="F40" s="61">
        <v>4</v>
      </c>
      <c r="G40" s="61">
        <v>3</v>
      </c>
      <c r="H40" s="44">
        <v>5</v>
      </c>
      <c r="I40" s="44">
        <v>3</v>
      </c>
      <c r="J40" s="44">
        <v>5</v>
      </c>
      <c r="K40" s="44">
        <v>4</v>
      </c>
      <c r="L40" s="45">
        <f>IF(F40&lt;&gt;"AB",SUM(D40:K40),"AB")</f>
        <v>31</v>
      </c>
      <c r="M40" s="29"/>
      <c r="N40" s="29"/>
      <c r="P40" s="58"/>
    </row>
    <row r="41" spans="1:16" ht="18" customHeight="1">
      <c r="A41" s="59">
        <v>32</v>
      </c>
      <c r="B41" s="145">
        <v>22132</v>
      </c>
      <c r="C41" s="146" t="s">
        <v>179</v>
      </c>
      <c r="D41" s="44">
        <v>5</v>
      </c>
      <c r="E41" s="44">
        <v>5</v>
      </c>
      <c r="F41" s="61">
        <v>5</v>
      </c>
      <c r="G41" s="61">
        <v>4</v>
      </c>
      <c r="H41" s="44">
        <v>4</v>
      </c>
      <c r="I41" s="44">
        <v>2</v>
      </c>
      <c r="J41" s="44">
        <v>4</v>
      </c>
      <c r="K41" s="44">
        <v>4</v>
      </c>
      <c r="L41" s="45">
        <f>IF(F41&lt;&gt;"AB",SUM(D41:K41),"AB")</f>
        <v>33</v>
      </c>
      <c r="M41" s="29"/>
      <c r="N41" s="29"/>
      <c r="P41" s="58"/>
    </row>
    <row r="42" spans="1:16" ht="18" customHeight="1">
      <c r="A42" s="59">
        <v>33</v>
      </c>
      <c r="B42" s="145">
        <v>22133</v>
      </c>
      <c r="C42" s="146" t="s">
        <v>180</v>
      </c>
      <c r="D42" s="44">
        <v>4</v>
      </c>
      <c r="E42" s="44">
        <v>3</v>
      </c>
      <c r="F42" s="61">
        <v>1</v>
      </c>
      <c r="G42" s="61">
        <v>5</v>
      </c>
      <c r="H42" s="44">
        <v>3</v>
      </c>
      <c r="I42" s="44">
        <v>5</v>
      </c>
      <c r="J42" s="44">
        <v>5</v>
      </c>
      <c r="K42" s="44">
        <v>1</v>
      </c>
      <c r="L42" s="45">
        <f>IF(F42&lt;&gt;"AB",SUM(D42:K42),"AB")</f>
        <v>27</v>
      </c>
      <c r="M42" s="29"/>
      <c r="N42" s="29"/>
      <c r="P42" s="58"/>
    </row>
    <row r="43" spans="1:16" ht="18" customHeight="1">
      <c r="A43" s="59">
        <v>34</v>
      </c>
      <c r="B43" s="145">
        <v>22134</v>
      </c>
      <c r="C43" s="146" t="s">
        <v>181</v>
      </c>
      <c r="D43" s="44">
        <v>2</v>
      </c>
      <c r="E43" s="44">
        <v>4</v>
      </c>
      <c r="F43" s="61">
        <v>5</v>
      </c>
      <c r="G43" s="61">
        <v>4</v>
      </c>
      <c r="H43" s="44">
        <v>5</v>
      </c>
      <c r="I43" s="44">
        <v>5</v>
      </c>
      <c r="J43" s="44">
        <v>3</v>
      </c>
      <c r="K43" s="44">
        <v>3</v>
      </c>
      <c r="L43" s="45">
        <f>IF(F43&lt;&gt;"AB",SUM(D43:K43),"AB")</f>
        <v>31</v>
      </c>
      <c r="M43" s="29"/>
      <c r="N43" s="29"/>
      <c r="P43" s="58"/>
    </row>
    <row r="44" spans="1:16" ht="18" customHeight="1">
      <c r="A44" s="59">
        <v>35</v>
      </c>
      <c r="B44" s="145">
        <v>22135</v>
      </c>
      <c r="C44" s="146" t="s">
        <v>182</v>
      </c>
      <c r="D44" s="44">
        <v>5</v>
      </c>
      <c r="E44" s="44">
        <v>5</v>
      </c>
      <c r="F44" s="61">
        <v>5</v>
      </c>
      <c r="G44" s="61">
        <v>4</v>
      </c>
      <c r="H44" s="44">
        <v>4</v>
      </c>
      <c r="I44" s="44">
        <v>2</v>
      </c>
      <c r="J44" s="44">
        <v>4</v>
      </c>
      <c r="K44" s="44">
        <v>4</v>
      </c>
      <c r="L44" s="45" t="s">
        <v>24</v>
      </c>
      <c r="M44" s="29"/>
      <c r="N44" s="29"/>
      <c r="P44" s="58"/>
    </row>
    <row r="45" spans="1:16" ht="18" customHeight="1">
      <c r="A45" s="59">
        <v>36</v>
      </c>
      <c r="B45" s="145">
        <v>22136</v>
      </c>
      <c r="C45" s="146" t="s">
        <v>183</v>
      </c>
      <c r="D45" s="44">
        <v>4</v>
      </c>
      <c r="E45" s="44">
        <v>4</v>
      </c>
      <c r="F45" s="61">
        <v>5</v>
      </c>
      <c r="G45" s="61">
        <v>5</v>
      </c>
      <c r="H45" s="44">
        <v>4</v>
      </c>
      <c r="I45" s="44">
        <v>4</v>
      </c>
      <c r="J45" s="44">
        <v>3</v>
      </c>
      <c r="K45" s="44">
        <v>3</v>
      </c>
      <c r="L45" s="45">
        <f>IF(F45&lt;&gt;"AB",SUM(D45:K45),"AB")</f>
        <v>32</v>
      </c>
      <c r="M45" s="29"/>
      <c r="N45" s="29"/>
      <c r="P45" s="58"/>
    </row>
    <row r="46" spans="1:16" ht="18" customHeight="1">
      <c r="A46" s="59">
        <v>37</v>
      </c>
      <c r="B46" s="145">
        <v>22137</v>
      </c>
      <c r="C46" s="146" t="s">
        <v>184</v>
      </c>
      <c r="D46" s="44">
        <v>4</v>
      </c>
      <c r="E46" s="44">
        <v>5</v>
      </c>
      <c r="F46" s="61">
        <v>5</v>
      </c>
      <c r="G46" s="61">
        <v>5</v>
      </c>
      <c r="H46" s="44">
        <v>5</v>
      </c>
      <c r="I46" s="44">
        <v>3</v>
      </c>
      <c r="J46" s="44">
        <v>4</v>
      </c>
      <c r="K46" s="44">
        <v>3</v>
      </c>
      <c r="L46" s="45">
        <f>IF(F46&lt;&gt;"AB",SUM(D46:K46),"AB")</f>
        <v>34</v>
      </c>
      <c r="M46" s="29"/>
      <c r="N46" s="29"/>
      <c r="P46" s="58"/>
    </row>
    <row r="47" spans="1:16" ht="18" customHeight="1">
      <c r="A47" s="59">
        <v>38</v>
      </c>
      <c r="B47" s="145">
        <v>22138</v>
      </c>
      <c r="C47" s="146" t="s">
        <v>185</v>
      </c>
      <c r="D47" s="44">
        <v>5</v>
      </c>
      <c r="E47" s="44">
        <v>5</v>
      </c>
      <c r="F47" s="61">
        <v>5</v>
      </c>
      <c r="G47" s="61">
        <v>5</v>
      </c>
      <c r="H47" s="44">
        <v>3</v>
      </c>
      <c r="I47" s="44">
        <v>2</v>
      </c>
      <c r="J47" s="44">
        <v>4</v>
      </c>
      <c r="K47" s="44">
        <v>5</v>
      </c>
      <c r="L47" s="45">
        <f>IF(F47&lt;&gt;"AB",SUM(D47:K47),"AB")</f>
        <v>34</v>
      </c>
      <c r="M47" s="29"/>
      <c r="N47" s="29"/>
      <c r="P47" s="58"/>
    </row>
    <row r="48" spans="1:16" ht="18" customHeight="1">
      <c r="A48" s="59">
        <v>39</v>
      </c>
      <c r="B48" s="145">
        <v>22139</v>
      </c>
      <c r="C48" s="146" t="s">
        <v>186</v>
      </c>
      <c r="D48" s="44" t="s">
        <v>24</v>
      </c>
      <c r="E48" s="44" t="s">
        <v>24</v>
      </c>
      <c r="F48" s="61" t="s">
        <v>24</v>
      </c>
      <c r="G48" s="61" t="s">
        <v>24</v>
      </c>
      <c r="H48" s="44" t="s">
        <v>24</v>
      </c>
      <c r="I48" s="44" t="s">
        <v>24</v>
      </c>
      <c r="J48" s="44" t="s">
        <v>24</v>
      </c>
      <c r="K48" s="44" t="s">
        <v>24</v>
      </c>
      <c r="L48" s="45" t="s">
        <v>24</v>
      </c>
      <c r="M48" s="29"/>
      <c r="N48" s="29"/>
      <c r="P48" s="58"/>
    </row>
    <row r="49" spans="1:16" ht="18" customHeight="1">
      <c r="A49" s="59">
        <v>40</v>
      </c>
      <c r="B49" s="145">
        <v>22140</v>
      </c>
      <c r="C49" s="146" t="s">
        <v>187</v>
      </c>
      <c r="D49" s="44">
        <v>4</v>
      </c>
      <c r="E49" s="44">
        <v>5</v>
      </c>
      <c r="F49" s="61">
        <v>4</v>
      </c>
      <c r="G49" s="61">
        <v>5</v>
      </c>
      <c r="H49" s="44">
        <v>3</v>
      </c>
      <c r="I49" s="44">
        <v>5</v>
      </c>
      <c r="J49" s="44">
        <v>5</v>
      </c>
      <c r="K49" s="44">
        <v>4</v>
      </c>
      <c r="L49" s="45">
        <f>IF(F49&lt;&gt;"AB",SUM(D49:K49),"AB")</f>
        <v>35</v>
      </c>
      <c r="M49" s="29"/>
      <c r="N49" s="29"/>
      <c r="P49" s="58"/>
    </row>
    <row r="50" spans="1:16" ht="18" customHeight="1">
      <c r="A50" s="59">
        <v>41</v>
      </c>
      <c r="B50" s="145">
        <v>22141</v>
      </c>
      <c r="C50" s="146" t="s">
        <v>188</v>
      </c>
      <c r="D50" s="44">
        <v>4</v>
      </c>
      <c r="E50" s="44">
        <v>3</v>
      </c>
      <c r="F50" s="61">
        <v>5</v>
      </c>
      <c r="G50" s="61">
        <v>5</v>
      </c>
      <c r="H50" s="44">
        <v>3</v>
      </c>
      <c r="I50" s="44">
        <v>5</v>
      </c>
      <c r="J50" s="44">
        <v>5</v>
      </c>
      <c r="K50" s="44">
        <v>4</v>
      </c>
      <c r="L50" s="45">
        <f>IF(F50&lt;&gt;"AB",SUM(D50:K50),"AB")</f>
        <v>34</v>
      </c>
      <c r="M50" s="29"/>
      <c r="N50" s="29"/>
      <c r="P50" s="58"/>
    </row>
    <row r="51" spans="1:16" ht="18" customHeight="1">
      <c r="A51" s="59">
        <v>42</v>
      </c>
      <c r="B51" s="145">
        <v>22142</v>
      </c>
      <c r="C51" s="146" t="s">
        <v>189</v>
      </c>
      <c r="D51" s="44" t="s">
        <v>24</v>
      </c>
      <c r="E51" s="44" t="s">
        <v>24</v>
      </c>
      <c r="F51" s="61" t="s">
        <v>24</v>
      </c>
      <c r="G51" s="61" t="s">
        <v>24</v>
      </c>
      <c r="H51" s="44" t="s">
        <v>24</v>
      </c>
      <c r="I51" s="44" t="s">
        <v>24</v>
      </c>
      <c r="J51" s="44" t="s">
        <v>24</v>
      </c>
      <c r="K51" s="44" t="s">
        <v>24</v>
      </c>
      <c r="L51" s="45" t="s">
        <v>24</v>
      </c>
      <c r="M51" s="29"/>
      <c r="N51" s="29"/>
      <c r="P51" s="58"/>
    </row>
    <row r="52" spans="1:16" ht="18" customHeight="1">
      <c r="A52" s="59">
        <v>43</v>
      </c>
      <c r="B52" s="145">
        <v>22143</v>
      </c>
      <c r="C52" s="146" t="s">
        <v>190</v>
      </c>
      <c r="D52" s="44">
        <v>5</v>
      </c>
      <c r="E52" s="44">
        <v>5</v>
      </c>
      <c r="F52" s="61">
        <v>5</v>
      </c>
      <c r="G52" s="61">
        <v>4</v>
      </c>
      <c r="H52" s="44">
        <v>5</v>
      </c>
      <c r="I52" s="44">
        <v>5</v>
      </c>
      <c r="J52" s="44">
        <v>4</v>
      </c>
      <c r="K52" s="44">
        <v>4</v>
      </c>
      <c r="L52" s="45">
        <f>IF(F52&lt;&gt;"AB",SUM(D52:K52),"AB")</f>
        <v>37</v>
      </c>
      <c r="M52" s="29"/>
      <c r="N52" s="29"/>
      <c r="P52" s="58"/>
    </row>
    <row r="53" spans="1:16" ht="18" customHeight="1">
      <c r="A53" s="59">
        <v>44</v>
      </c>
      <c r="B53" s="145">
        <v>22144</v>
      </c>
      <c r="C53" s="146" t="s">
        <v>191</v>
      </c>
      <c r="D53" s="44" t="s">
        <v>24</v>
      </c>
      <c r="E53" s="44" t="s">
        <v>24</v>
      </c>
      <c r="F53" s="61" t="s">
        <v>24</v>
      </c>
      <c r="G53" s="61" t="s">
        <v>24</v>
      </c>
      <c r="H53" s="44" t="s">
        <v>24</v>
      </c>
      <c r="I53" s="44" t="s">
        <v>24</v>
      </c>
      <c r="J53" s="44" t="s">
        <v>24</v>
      </c>
      <c r="K53" s="44" t="s">
        <v>24</v>
      </c>
      <c r="L53" s="45" t="s">
        <v>24</v>
      </c>
      <c r="M53" s="29"/>
      <c r="N53" s="29"/>
      <c r="P53" s="58"/>
    </row>
    <row r="54" spans="1:16" ht="18" customHeight="1">
      <c r="A54" s="59">
        <v>45</v>
      </c>
      <c r="B54" s="145">
        <v>22145</v>
      </c>
      <c r="C54" s="146" t="s">
        <v>192</v>
      </c>
      <c r="D54" s="44">
        <v>5</v>
      </c>
      <c r="E54" s="44">
        <v>5</v>
      </c>
      <c r="F54" s="61">
        <v>5</v>
      </c>
      <c r="G54" s="61">
        <v>5</v>
      </c>
      <c r="H54" s="44">
        <v>5</v>
      </c>
      <c r="I54" s="44">
        <v>4</v>
      </c>
      <c r="J54" s="44">
        <v>5</v>
      </c>
      <c r="K54" s="44">
        <v>5</v>
      </c>
      <c r="L54" s="45">
        <f>IF(F54&lt;&gt;"AB",SUM(D54:K54),"AB")</f>
        <v>39</v>
      </c>
      <c r="M54" s="29"/>
      <c r="N54" s="29"/>
      <c r="P54" s="58"/>
    </row>
    <row r="55" spans="1:16" ht="18" customHeight="1">
      <c r="A55" s="59">
        <v>46</v>
      </c>
      <c r="B55" s="145">
        <v>22146</v>
      </c>
      <c r="C55" s="146" t="s">
        <v>193</v>
      </c>
      <c r="D55" s="44">
        <v>5</v>
      </c>
      <c r="E55" s="44">
        <v>3</v>
      </c>
      <c r="F55" s="61">
        <v>5</v>
      </c>
      <c r="G55" s="61">
        <v>3</v>
      </c>
      <c r="H55" s="44">
        <v>4</v>
      </c>
      <c r="I55" s="44">
        <v>4</v>
      </c>
      <c r="J55" s="44">
        <v>3</v>
      </c>
      <c r="K55" s="44">
        <v>5</v>
      </c>
      <c r="L55" s="45">
        <f>IF(F55&lt;&gt;"AB",SUM(D55:K55),"AB")</f>
        <v>32</v>
      </c>
      <c r="M55" s="29"/>
      <c r="N55" s="29"/>
      <c r="P55" s="58"/>
    </row>
    <row r="56" spans="1:16" ht="18" customHeight="1">
      <c r="A56" s="59">
        <v>47</v>
      </c>
      <c r="B56" s="145">
        <v>22147</v>
      </c>
      <c r="C56" s="146" t="s">
        <v>194</v>
      </c>
      <c r="D56" s="44" t="s">
        <v>24</v>
      </c>
      <c r="E56" s="44" t="s">
        <v>24</v>
      </c>
      <c r="F56" s="61" t="s">
        <v>24</v>
      </c>
      <c r="G56" s="61" t="s">
        <v>24</v>
      </c>
      <c r="H56" s="44" t="s">
        <v>24</v>
      </c>
      <c r="I56" s="44" t="s">
        <v>24</v>
      </c>
      <c r="J56" s="44" t="s">
        <v>24</v>
      </c>
      <c r="K56" s="44" t="s">
        <v>24</v>
      </c>
      <c r="L56" s="45" t="s">
        <v>24</v>
      </c>
      <c r="M56" s="29"/>
      <c r="N56" s="29"/>
      <c r="P56" s="58"/>
    </row>
    <row r="57" spans="1:16" ht="18" customHeight="1">
      <c r="A57" s="59">
        <v>48</v>
      </c>
      <c r="B57" s="145">
        <v>22148</v>
      </c>
      <c r="C57" s="146" t="s">
        <v>195</v>
      </c>
      <c r="D57" s="44">
        <v>3</v>
      </c>
      <c r="E57" s="44">
        <v>3</v>
      </c>
      <c r="F57" s="61">
        <v>5</v>
      </c>
      <c r="G57" s="61">
        <v>5</v>
      </c>
      <c r="H57" s="44">
        <v>5</v>
      </c>
      <c r="I57" s="44">
        <v>3</v>
      </c>
      <c r="J57" s="44">
        <v>4</v>
      </c>
      <c r="K57" s="44">
        <v>4</v>
      </c>
      <c r="L57" s="45">
        <f>IF(F57&lt;&gt;"AB",SUM(D57:K57),"AB")</f>
        <v>32</v>
      </c>
      <c r="M57" s="29"/>
      <c r="N57" s="29"/>
      <c r="P57" s="58"/>
    </row>
    <row r="58" spans="1:16" ht="18" customHeight="1">
      <c r="A58" s="59">
        <v>49</v>
      </c>
      <c r="B58" s="145">
        <v>22149</v>
      </c>
      <c r="C58" s="146" t="s">
        <v>196</v>
      </c>
      <c r="D58" s="44">
        <v>3</v>
      </c>
      <c r="E58" s="44">
        <v>4</v>
      </c>
      <c r="F58" s="61">
        <v>5</v>
      </c>
      <c r="G58" s="61">
        <v>4</v>
      </c>
      <c r="H58" s="44">
        <v>3</v>
      </c>
      <c r="I58" s="44">
        <v>4</v>
      </c>
      <c r="J58" s="44">
        <v>4</v>
      </c>
      <c r="K58" s="44">
        <v>4</v>
      </c>
      <c r="L58" s="45">
        <f>IF(F58&lt;&gt;"AB",SUM(D58:K58),"AB")</f>
        <v>31</v>
      </c>
      <c r="M58" s="29"/>
      <c r="N58" s="29"/>
      <c r="P58" s="58"/>
    </row>
    <row r="59" spans="1:16" ht="18" customHeight="1">
      <c r="A59" s="59">
        <v>50</v>
      </c>
      <c r="B59" s="145">
        <v>22150</v>
      </c>
      <c r="C59" s="146" t="s">
        <v>197</v>
      </c>
      <c r="D59" s="44" t="s">
        <v>24</v>
      </c>
      <c r="E59" s="44" t="s">
        <v>24</v>
      </c>
      <c r="F59" s="61" t="s">
        <v>24</v>
      </c>
      <c r="G59" s="61" t="s">
        <v>24</v>
      </c>
      <c r="H59" s="44" t="s">
        <v>24</v>
      </c>
      <c r="I59" s="44" t="s">
        <v>24</v>
      </c>
      <c r="J59" s="44" t="s">
        <v>24</v>
      </c>
      <c r="K59" s="44" t="s">
        <v>24</v>
      </c>
      <c r="L59" s="45" t="s">
        <v>24</v>
      </c>
      <c r="M59" s="29"/>
      <c r="N59" s="29"/>
      <c r="P59" s="58"/>
    </row>
    <row r="60" spans="1:16" ht="18" customHeight="1">
      <c r="A60" s="59">
        <v>51</v>
      </c>
      <c r="B60" s="145">
        <v>22151</v>
      </c>
      <c r="C60" s="146" t="s">
        <v>198</v>
      </c>
      <c r="D60" s="44">
        <v>3</v>
      </c>
      <c r="E60" s="44">
        <v>4</v>
      </c>
      <c r="F60" s="61">
        <v>5</v>
      </c>
      <c r="G60" s="61">
        <v>5</v>
      </c>
      <c r="H60" s="44">
        <v>5</v>
      </c>
      <c r="I60" s="44">
        <v>4</v>
      </c>
      <c r="J60" s="44">
        <v>5</v>
      </c>
      <c r="K60" s="44">
        <v>5</v>
      </c>
      <c r="L60" s="45">
        <f>IF(F60&lt;&gt;"AB",SUM(D60:K60),"AB")</f>
        <v>36</v>
      </c>
      <c r="M60" s="29"/>
      <c r="N60" s="29"/>
      <c r="P60" s="58"/>
    </row>
    <row r="61" spans="1:16" ht="18" customHeight="1">
      <c r="A61" s="59">
        <v>52</v>
      </c>
      <c r="B61" s="145">
        <v>22152</v>
      </c>
      <c r="C61" s="146" t="s">
        <v>199</v>
      </c>
      <c r="D61" s="44">
        <v>5</v>
      </c>
      <c r="E61" s="44">
        <v>4</v>
      </c>
      <c r="F61" s="61">
        <v>5</v>
      </c>
      <c r="G61" s="61">
        <v>5</v>
      </c>
      <c r="H61" s="44">
        <v>4</v>
      </c>
      <c r="I61" s="44">
        <v>4</v>
      </c>
      <c r="J61" s="44">
        <v>5</v>
      </c>
      <c r="K61" s="44">
        <v>5</v>
      </c>
      <c r="L61" s="45">
        <f>IF(F61&lt;&gt;"AB",SUM(D61:K61),"AB")</f>
        <v>37</v>
      </c>
      <c r="M61" s="29"/>
      <c r="N61" s="29"/>
      <c r="P61" s="58"/>
    </row>
    <row r="62" spans="1:16" ht="18" customHeight="1">
      <c r="A62" s="59">
        <v>53</v>
      </c>
      <c r="B62" s="145">
        <v>22153</v>
      </c>
      <c r="C62" s="146" t="s">
        <v>200</v>
      </c>
      <c r="D62" s="44">
        <v>4</v>
      </c>
      <c r="E62" s="44">
        <v>5</v>
      </c>
      <c r="F62" s="61">
        <v>5</v>
      </c>
      <c r="G62" s="61">
        <v>4</v>
      </c>
      <c r="H62" s="44">
        <v>5</v>
      </c>
      <c r="I62" s="44">
        <v>5</v>
      </c>
      <c r="J62" s="44">
        <v>3</v>
      </c>
      <c r="K62" s="44">
        <v>4</v>
      </c>
      <c r="L62" s="45">
        <f>IF(F62&lt;&gt;"AB",SUM(D62:K62),"AB")</f>
        <v>35</v>
      </c>
      <c r="M62" s="29"/>
      <c r="N62" s="29"/>
      <c r="P62" s="58"/>
    </row>
    <row r="63" spans="1:16" ht="18" customHeight="1">
      <c r="A63" s="59">
        <v>54</v>
      </c>
      <c r="B63" s="145">
        <v>22154</v>
      </c>
      <c r="C63" s="146" t="s">
        <v>201</v>
      </c>
      <c r="D63" s="44">
        <v>5</v>
      </c>
      <c r="E63" s="44">
        <v>5</v>
      </c>
      <c r="F63" s="61">
        <v>5</v>
      </c>
      <c r="G63" s="61">
        <v>4</v>
      </c>
      <c r="H63" s="44">
        <v>4</v>
      </c>
      <c r="I63" s="44">
        <v>2</v>
      </c>
      <c r="J63" s="44">
        <v>4</v>
      </c>
      <c r="K63" s="44">
        <v>4</v>
      </c>
      <c r="L63" s="45" t="s">
        <v>24</v>
      </c>
      <c r="M63" s="29"/>
      <c r="N63" s="29"/>
      <c r="P63" s="58"/>
    </row>
    <row r="64" spans="1:16" ht="18" customHeight="1">
      <c r="A64" s="59">
        <v>55</v>
      </c>
      <c r="B64" s="145">
        <v>22155</v>
      </c>
      <c r="C64" s="146" t="s">
        <v>202</v>
      </c>
      <c r="D64" s="44">
        <v>4</v>
      </c>
      <c r="E64" s="44">
        <v>5</v>
      </c>
      <c r="F64" s="61">
        <v>5</v>
      </c>
      <c r="G64" s="61">
        <v>5</v>
      </c>
      <c r="H64" s="44">
        <v>5</v>
      </c>
      <c r="I64" s="44">
        <v>4</v>
      </c>
      <c r="J64" s="44">
        <v>4</v>
      </c>
      <c r="K64" s="44">
        <v>5</v>
      </c>
      <c r="L64" s="45">
        <f>IF(F64&lt;&gt;"AB",SUM(D64:K64),"AB")</f>
        <v>37</v>
      </c>
      <c r="M64" s="29"/>
      <c r="N64" s="29"/>
      <c r="P64" s="58"/>
    </row>
    <row r="65" spans="1:16" ht="18" customHeight="1">
      <c r="A65" s="59">
        <v>56</v>
      </c>
      <c r="B65" s="145">
        <v>22156</v>
      </c>
      <c r="C65" s="146" t="s">
        <v>203</v>
      </c>
      <c r="D65" s="44">
        <v>5</v>
      </c>
      <c r="E65" s="44">
        <v>5</v>
      </c>
      <c r="F65" s="61">
        <v>5</v>
      </c>
      <c r="G65" s="61">
        <v>4</v>
      </c>
      <c r="H65" s="44">
        <v>4</v>
      </c>
      <c r="I65" s="44">
        <v>2</v>
      </c>
      <c r="J65" s="44">
        <v>4</v>
      </c>
      <c r="K65" s="44">
        <v>4</v>
      </c>
      <c r="L65" s="45" t="s">
        <v>24</v>
      </c>
      <c r="M65" s="29"/>
      <c r="N65" s="29"/>
      <c r="P65" s="58"/>
    </row>
    <row r="66" spans="1:16" ht="18" customHeight="1">
      <c r="A66" s="59">
        <v>57</v>
      </c>
      <c r="B66" s="145">
        <v>22157</v>
      </c>
      <c r="C66" s="146" t="s">
        <v>204</v>
      </c>
      <c r="D66" s="44" t="s">
        <v>24</v>
      </c>
      <c r="E66" s="44" t="s">
        <v>24</v>
      </c>
      <c r="F66" s="61" t="s">
        <v>24</v>
      </c>
      <c r="G66" s="61" t="s">
        <v>24</v>
      </c>
      <c r="H66" s="44" t="s">
        <v>24</v>
      </c>
      <c r="I66" s="44" t="s">
        <v>24</v>
      </c>
      <c r="J66" s="44" t="s">
        <v>24</v>
      </c>
      <c r="K66" s="44" t="s">
        <v>24</v>
      </c>
      <c r="L66" s="45" t="s">
        <v>24</v>
      </c>
      <c r="M66" s="29"/>
      <c r="N66" s="29"/>
      <c r="P66" s="58"/>
    </row>
    <row r="67" spans="1:16" ht="15.75" customHeight="1">
      <c r="A67" s="59">
        <v>58</v>
      </c>
      <c r="B67" s="145">
        <v>22158</v>
      </c>
      <c r="C67" s="146" t="s">
        <v>205</v>
      </c>
      <c r="D67" s="44">
        <v>4</v>
      </c>
      <c r="E67" s="44">
        <v>4</v>
      </c>
      <c r="F67" s="61">
        <v>4</v>
      </c>
      <c r="G67" s="61">
        <v>1</v>
      </c>
      <c r="H67" s="44">
        <v>4</v>
      </c>
      <c r="I67" s="44">
        <v>3</v>
      </c>
      <c r="J67" s="44">
        <v>3</v>
      </c>
      <c r="K67" s="44">
        <v>5</v>
      </c>
      <c r="L67" s="45">
        <f>IF(F67&lt;&gt;"AB",SUM(D67:K67),"AB")</f>
        <v>28</v>
      </c>
    </row>
    <row r="68" spans="1:16" ht="15.75" customHeight="1">
      <c r="A68" s="59">
        <v>59</v>
      </c>
      <c r="B68" s="145">
        <v>22159</v>
      </c>
      <c r="C68" s="146" t="s">
        <v>206</v>
      </c>
      <c r="D68" s="44" t="s">
        <v>24</v>
      </c>
      <c r="E68" s="44" t="s">
        <v>24</v>
      </c>
      <c r="F68" s="61" t="s">
        <v>24</v>
      </c>
      <c r="G68" s="61" t="s">
        <v>24</v>
      </c>
      <c r="H68" s="44" t="s">
        <v>24</v>
      </c>
      <c r="I68" s="44" t="s">
        <v>24</v>
      </c>
      <c r="J68" s="44" t="s">
        <v>24</v>
      </c>
      <c r="K68" s="44" t="s">
        <v>24</v>
      </c>
      <c r="L68" s="45" t="s">
        <v>24</v>
      </c>
    </row>
    <row r="69" spans="1:16" ht="15.75" customHeight="1">
      <c r="A69" s="59">
        <v>60</v>
      </c>
      <c r="B69" s="145">
        <v>22160</v>
      </c>
      <c r="C69" s="146" t="s">
        <v>207</v>
      </c>
      <c r="D69" s="44">
        <v>4</v>
      </c>
      <c r="E69" s="44">
        <v>4</v>
      </c>
      <c r="F69" s="61">
        <v>5</v>
      </c>
      <c r="G69" s="61">
        <v>1</v>
      </c>
      <c r="H69" s="44">
        <v>5</v>
      </c>
      <c r="I69" s="44">
        <v>3</v>
      </c>
      <c r="J69" s="44">
        <v>3</v>
      </c>
      <c r="K69" s="44">
        <v>5</v>
      </c>
      <c r="L69" s="45">
        <f>IF(F69&lt;&gt;"AB",SUM(D69:K69),"AB")</f>
        <v>30</v>
      </c>
    </row>
    <row r="70" spans="1:16" ht="15.75" customHeight="1">
      <c r="A70" s="59">
        <v>61</v>
      </c>
      <c r="B70" s="145">
        <v>22161</v>
      </c>
      <c r="C70" s="146" t="s">
        <v>208</v>
      </c>
      <c r="D70" s="61">
        <v>5</v>
      </c>
      <c r="E70" s="44" t="s">
        <v>24</v>
      </c>
      <c r="F70" s="61" t="s">
        <v>24</v>
      </c>
      <c r="G70" s="61" t="s">
        <v>24</v>
      </c>
      <c r="H70" s="44" t="s">
        <v>24</v>
      </c>
      <c r="I70" s="44" t="s">
        <v>24</v>
      </c>
      <c r="J70" s="44" t="s">
        <v>24</v>
      </c>
      <c r="K70" s="44" t="s">
        <v>24</v>
      </c>
      <c r="L70" s="45">
        <f>IF(F70&lt;&gt;"AB",SUM(D70:K70),"AB")</f>
        <v>5</v>
      </c>
    </row>
    <row r="71" spans="1:16" ht="15.75" customHeight="1">
      <c r="A71" s="155">
        <v>62</v>
      </c>
      <c r="B71" s="145">
        <v>22162</v>
      </c>
      <c r="C71" s="146" t="s">
        <v>209</v>
      </c>
      <c r="D71" s="61">
        <v>4</v>
      </c>
      <c r="E71" s="44">
        <v>4</v>
      </c>
      <c r="F71" s="44">
        <v>3</v>
      </c>
      <c r="G71" s="44">
        <v>3</v>
      </c>
      <c r="H71" s="44">
        <v>4</v>
      </c>
      <c r="I71" s="44">
        <v>1</v>
      </c>
      <c r="J71" s="44">
        <v>4</v>
      </c>
      <c r="K71" s="44">
        <v>4</v>
      </c>
      <c r="L71" s="45">
        <f t="shared" ref="L71:L117" si="2">IF(F71&lt;&gt;"AB",SUM(D71:K71),"AB")</f>
        <v>27</v>
      </c>
    </row>
    <row r="72" spans="1:16" ht="15.75" customHeight="1">
      <c r="A72" s="155">
        <v>63</v>
      </c>
      <c r="B72" s="145">
        <v>22163</v>
      </c>
      <c r="C72" s="146" t="s">
        <v>210</v>
      </c>
      <c r="D72" s="61">
        <v>3</v>
      </c>
      <c r="E72" s="44">
        <v>3</v>
      </c>
      <c r="F72" s="44">
        <v>4</v>
      </c>
      <c r="G72" s="44">
        <v>4</v>
      </c>
      <c r="H72" s="44">
        <v>3</v>
      </c>
      <c r="I72" s="44">
        <v>5</v>
      </c>
      <c r="J72" s="44">
        <v>4</v>
      </c>
      <c r="K72" s="44">
        <v>4</v>
      </c>
      <c r="L72" s="45">
        <f t="shared" si="2"/>
        <v>30</v>
      </c>
    </row>
    <row r="73" spans="1:16" ht="15.75" customHeight="1">
      <c r="A73" s="155">
        <v>64</v>
      </c>
      <c r="B73" s="145">
        <v>22164</v>
      </c>
      <c r="C73" s="146" t="s">
        <v>211</v>
      </c>
      <c r="D73" s="44">
        <v>5</v>
      </c>
      <c r="E73" s="44">
        <v>5</v>
      </c>
      <c r="F73" s="61">
        <v>5</v>
      </c>
      <c r="G73" s="61">
        <v>4</v>
      </c>
      <c r="H73" s="44">
        <v>4</v>
      </c>
      <c r="I73" s="44">
        <v>2</v>
      </c>
      <c r="J73" s="44">
        <v>4</v>
      </c>
      <c r="K73" s="44">
        <v>4</v>
      </c>
      <c r="L73" s="45">
        <f t="shared" si="2"/>
        <v>33</v>
      </c>
    </row>
    <row r="74" spans="1:16" ht="15.75" customHeight="1">
      <c r="A74" s="155">
        <v>65</v>
      </c>
      <c r="B74" s="145">
        <v>22165</v>
      </c>
      <c r="C74" s="146" t="s">
        <v>212</v>
      </c>
      <c r="D74" s="61" t="s">
        <v>24</v>
      </c>
      <c r="E74" s="61" t="s">
        <v>24</v>
      </c>
      <c r="F74" s="61" t="s">
        <v>24</v>
      </c>
      <c r="G74" s="61" t="s">
        <v>24</v>
      </c>
      <c r="H74" s="61" t="s">
        <v>24</v>
      </c>
      <c r="I74" s="61" t="s">
        <v>24</v>
      </c>
      <c r="J74" s="61" t="s">
        <v>24</v>
      </c>
      <c r="K74" s="61" t="s">
        <v>24</v>
      </c>
      <c r="L74" s="45">
        <f t="shared" si="2"/>
        <v>0</v>
      </c>
    </row>
    <row r="75" spans="1:16" ht="15.75" customHeight="1">
      <c r="A75" s="155">
        <v>66</v>
      </c>
      <c r="B75" s="145">
        <v>22166</v>
      </c>
      <c r="C75" s="146" t="s">
        <v>213</v>
      </c>
      <c r="D75" s="61">
        <v>5</v>
      </c>
      <c r="E75" s="44">
        <v>5</v>
      </c>
      <c r="F75" s="44">
        <v>3</v>
      </c>
      <c r="G75" s="44">
        <v>4</v>
      </c>
      <c r="H75" s="44">
        <v>3</v>
      </c>
      <c r="I75" s="44">
        <v>3</v>
      </c>
      <c r="J75" s="44">
        <v>3</v>
      </c>
      <c r="K75" s="44">
        <v>4</v>
      </c>
      <c r="L75" s="45">
        <f t="shared" si="2"/>
        <v>30</v>
      </c>
    </row>
    <row r="76" spans="1:16" ht="15.75" customHeight="1">
      <c r="A76" s="155">
        <v>67</v>
      </c>
      <c r="B76" s="145">
        <v>22167</v>
      </c>
      <c r="C76" s="146" t="s">
        <v>214</v>
      </c>
      <c r="D76" s="61">
        <v>4</v>
      </c>
      <c r="E76" s="44">
        <v>3</v>
      </c>
      <c r="F76" s="44">
        <v>5</v>
      </c>
      <c r="G76" s="44">
        <v>4</v>
      </c>
      <c r="H76" s="44">
        <v>4</v>
      </c>
      <c r="I76" s="44">
        <v>5</v>
      </c>
      <c r="J76" s="44">
        <v>4</v>
      </c>
      <c r="K76" s="44">
        <v>3</v>
      </c>
      <c r="L76" s="45">
        <f t="shared" si="2"/>
        <v>32</v>
      </c>
    </row>
    <row r="77" spans="1:16" ht="15.75" customHeight="1">
      <c r="A77" s="155">
        <v>68</v>
      </c>
      <c r="B77" s="145">
        <v>22168</v>
      </c>
      <c r="C77" s="146" t="s">
        <v>215</v>
      </c>
      <c r="D77" s="44">
        <v>5</v>
      </c>
      <c r="E77" s="44">
        <v>5</v>
      </c>
      <c r="F77" s="61">
        <v>5</v>
      </c>
      <c r="G77" s="61">
        <v>4</v>
      </c>
      <c r="H77" s="44">
        <v>4</v>
      </c>
      <c r="I77" s="44">
        <v>2</v>
      </c>
      <c r="J77" s="44">
        <v>4</v>
      </c>
      <c r="K77" s="44">
        <v>4</v>
      </c>
      <c r="L77" s="45">
        <f t="shared" si="2"/>
        <v>33</v>
      </c>
    </row>
    <row r="78" spans="1:16" ht="15.75" customHeight="1">
      <c r="A78" s="155">
        <v>69</v>
      </c>
      <c r="B78" s="145">
        <v>22201</v>
      </c>
      <c r="C78" s="146" t="s">
        <v>216</v>
      </c>
      <c r="D78" s="61">
        <v>3</v>
      </c>
      <c r="E78" s="44">
        <v>5</v>
      </c>
      <c r="F78" s="44">
        <v>5</v>
      </c>
      <c r="G78" s="44">
        <v>3</v>
      </c>
      <c r="H78" s="44">
        <v>3</v>
      </c>
      <c r="I78" s="44">
        <v>5</v>
      </c>
      <c r="J78" s="44">
        <v>4</v>
      </c>
      <c r="K78" s="44">
        <v>5</v>
      </c>
      <c r="L78" s="45">
        <f t="shared" si="2"/>
        <v>33</v>
      </c>
    </row>
    <row r="79" spans="1:16" ht="15.75" customHeight="1">
      <c r="A79" s="155">
        <v>70</v>
      </c>
      <c r="B79" s="145">
        <v>22202</v>
      </c>
      <c r="C79" s="146" t="s">
        <v>217</v>
      </c>
      <c r="D79" s="61">
        <v>3</v>
      </c>
      <c r="E79" s="44">
        <v>3</v>
      </c>
      <c r="F79" s="44">
        <v>4</v>
      </c>
      <c r="G79" s="44">
        <v>4</v>
      </c>
      <c r="H79" s="44">
        <v>4</v>
      </c>
      <c r="I79" s="44">
        <v>4</v>
      </c>
      <c r="J79" s="44">
        <v>4</v>
      </c>
      <c r="K79" s="44">
        <v>4</v>
      </c>
      <c r="L79" s="45">
        <f t="shared" si="2"/>
        <v>30</v>
      </c>
    </row>
    <row r="80" spans="1:16" ht="15.75" customHeight="1">
      <c r="A80" s="155">
        <v>71</v>
      </c>
      <c r="B80" s="145">
        <v>22203</v>
      </c>
      <c r="C80" s="146" t="s">
        <v>218</v>
      </c>
      <c r="D80" s="61">
        <v>4</v>
      </c>
      <c r="E80" s="44">
        <v>3</v>
      </c>
      <c r="F80" s="44">
        <v>3</v>
      </c>
      <c r="G80" s="44">
        <v>4</v>
      </c>
      <c r="H80" s="44">
        <v>3</v>
      </c>
      <c r="I80" s="44">
        <v>3</v>
      </c>
      <c r="J80" s="44">
        <v>3</v>
      </c>
      <c r="K80" s="44">
        <v>3</v>
      </c>
      <c r="L80" s="45">
        <f t="shared" si="2"/>
        <v>26</v>
      </c>
    </row>
    <row r="81" spans="1:12" ht="15.75" customHeight="1">
      <c r="A81" s="155">
        <v>72</v>
      </c>
      <c r="B81" s="145">
        <v>22204</v>
      </c>
      <c r="C81" s="146" t="s">
        <v>219</v>
      </c>
      <c r="D81" s="61">
        <v>3</v>
      </c>
      <c r="E81" s="44">
        <v>4</v>
      </c>
      <c r="F81" s="44">
        <v>3</v>
      </c>
      <c r="G81" s="44">
        <v>3</v>
      </c>
      <c r="H81" s="44">
        <v>4</v>
      </c>
      <c r="I81" s="44">
        <v>3</v>
      </c>
      <c r="J81" s="44">
        <v>3</v>
      </c>
      <c r="K81" s="44">
        <v>4</v>
      </c>
      <c r="L81" s="45">
        <f t="shared" si="2"/>
        <v>27</v>
      </c>
    </row>
    <row r="82" spans="1:12" ht="15.75" customHeight="1">
      <c r="A82" s="155">
        <v>73</v>
      </c>
      <c r="B82" s="145">
        <v>22205</v>
      </c>
      <c r="C82" s="146" t="s">
        <v>220</v>
      </c>
      <c r="D82" s="61">
        <v>3</v>
      </c>
      <c r="E82" s="44">
        <v>4</v>
      </c>
      <c r="F82" s="44">
        <v>3</v>
      </c>
      <c r="G82" s="44">
        <v>4</v>
      </c>
      <c r="H82" s="44">
        <v>3</v>
      </c>
      <c r="I82" s="44">
        <v>4</v>
      </c>
      <c r="J82" s="44">
        <v>4</v>
      </c>
      <c r="K82" s="44">
        <v>4</v>
      </c>
      <c r="L82" s="45">
        <f t="shared" si="2"/>
        <v>29</v>
      </c>
    </row>
    <row r="83" spans="1:12" ht="15.75" customHeight="1">
      <c r="A83" s="155">
        <v>74</v>
      </c>
      <c r="B83" s="145">
        <v>22206</v>
      </c>
      <c r="C83" s="146" t="s">
        <v>221</v>
      </c>
      <c r="D83" s="61">
        <v>3</v>
      </c>
      <c r="E83" s="44">
        <v>5</v>
      </c>
      <c r="F83" s="44">
        <v>4</v>
      </c>
      <c r="G83" s="44">
        <v>4</v>
      </c>
      <c r="H83" s="44">
        <v>4</v>
      </c>
      <c r="I83" s="44">
        <v>4</v>
      </c>
      <c r="J83" s="44">
        <v>3</v>
      </c>
      <c r="K83" s="44">
        <v>4</v>
      </c>
      <c r="L83" s="45">
        <f t="shared" si="2"/>
        <v>31</v>
      </c>
    </row>
    <row r="84" spans="1:12" ht="15.75" customHeight="1">
      <c r="A84" s="155">
        <v>75</v>
      </c>
      <c r="B84" s="145">
        <v>22207</v>
      </c>
      <c r="C84" s="146" t="s">
        <v>222</v>
      </c>
      <c r="D84" s="61">
        <v>3</v>
      </c>
      <c r="E84" s="44">
        <v>4</v>
      </c>
      <c r="F84" s="44">
        <v>3</v>
      </c>
      <c r="G84" s="44">
        <v>3</v>
      </c>
      <c r="H84" s="44">
        <v>4</v>
      </c>
      <c r="I84" s="44">
        <v>3</v>
      </c>
      <c r="J84" s="44">
        <v>3</v>
      </c>
      <c r="K84" s="44">
        <v>3</v>
      </c>
      <c r="L84" s="45">
        <f t="shared" si="2"/>
        <v>26</v>
      </c>
    </row>
    <row r="85" spans="1:12" ht="15.75" customHeight="1">
      <c r="A85" s="155">
        <v>76</v>
      </c>
      <c r="B85" s="145">
        <v>22208</v>
      </c>
      <c r="C85" s="146" t="s">
        <v>223</v>
      </c>
      <c r="D85" s="61">
        <v>4</v>
      </c>
      <c r="E85" s="44">
        <v>4</v>
      </c>
      <c r="F85" s="44">
        <v>4</v>
      </c>
      <c r="G85" s="44">
        <v>3</v>
      </c>
      <c r="H85" s="44">
        <v>3</v>
      </c>
      <c r="I85" s="44">
        <v>4</v>
      </c>
      <c r="J85" s="44">
        <v>5</v>
      </c>
      <c r="K85" s="44">
        <v>4</v>
      </c>
      <c r="L85" s="45">
        <f t="shared" si="2"/>
        <v>31</v>
      </c>
    </row>
    <row r="86" spans="1:12" ht="15.75" customHeight="1">
      <c r="A86" s="155">
        <v>77</v>
      </c>
      <c r="B86" s="145">
        <v>22209</v>
      </c>
      <c r="C86" s="146" t="s">
        <v>224</v>
      </c>
      <c r="D86" s="61">
        <v>3</v>
      </c>
      <c r="E86" s="44">
        <v>3</v>
      </c>
      <c r="F86" s="44">
        <v>4</v>
      </c>
      <c r="G86" s="44">
        <v>3</v>
      </c>
      <c r="H86" s="44">
        <v>4</v>
      </c>
      <c r="I86" s="44">
        <v>3</v>
      </c>
      <c r="J86" s="44">
        <v>3</v>
      </c>
      <c r="K86" s="44">
        <v>4</v>
      </c>
      <c r="L86" s="45">
        <f t="shared" si="2"/>
        <v>27</v>
      </c>
    </row>
    <row r="87" spans="1:12" ht="15.75" customHeight="1">
      <c r="A87" s="155">
        <v>78</v>
      </c>
      <c r="B87" s="145">
        <v>22210</v>
      </c>
      <c r="C87" s="146" t="s">
        <v>225</v>
      </c>
      <c r="D87" s="61" t="s">
        <v>24</v>
      </c>
      <c r="E87" s="61" t="s">
        <v>24</v>
      </c>
      <c r="F87" s="61" t="s">
        <v>24</v>
      </c>
      <c r="G87" s="61" t="s">
        <v>24</v>
      </c>
      <c r="H87" s="61" t="s">
        <v>24</v>
      </c>
      <c r="I87" s="61" t="s">
        <v>24</v>
      </c>
      <c r="J87" s="61" t="s">
        <v>24</v>
      </c>
      <c r="K87" s="61" t="s">
        <v>24</v>
      </c>
      <c r="L87" s="45">
        <f t="shared" si="2"/>
        <v>0</v>
      </c>
    </row>
    <row r="88" spans="1:12" ht="15.75" customHeight="1">
      <c r="A88" s="155">
        <v>79</v>
      </c>
      <c r="B88" s="145">
        <v>22211</v>
      </c>
      <c r="C88" s="146" t="s">
        <v>226</v>
      </c>
      <c r="D88" s="61">
        <v>5</v>
      </c>
      <c r="E88" s="44">
        <v>3</v>
      </c>
      <c r="F88" s="44">
        <v>4</v>
      </c>
      <c r="G88" s="44">
        <v>5</v>
      </c>
      <c r="H88" s="44">
        <v>4</v>
      </c>
      <c r="I88" s="44">
        <v>3</v>
      </c>
      <c r="J88" s="44">
        <v>3</v>
      </c>
      <c r="K88" s="44">
        <v>4</v>
      </c>
      <c r="L88" s="45">
        <f t="shared" si="2"/>
        <v>31</v>
      </c>
    </row>
    <row r="89" spans="1:12" ht="15.75" customHeight="1">
      <c r="A89" s="155">
        <v>80</v>
      </c>
      <c r="B89" s="145">
        <v>22212</v>
      </c>
      <c r="C89" s="146" t="s">
        <v>227</v>
      </c>
      <c r="D89" s="61">
        <v>4</v>
      </c>
      <c r="E89" s="44">
        <v>4</v>
      </c>
      <c r="F89" s="44">
        <v>4</v>
      </c>
      <c r="G89" s="44">
        <v>4</v>
      </c>
      <c r="H89" s="44">
        <v>4</v>
      </c>
      <c r="I89" s="44">
        <v>3</v>
      </c>
      <c r="J89" s="44">
        <v>4</v>
      </c>
      <c r="K89" s="44">
        <v>4</v>
      </c>
      <c r="L89" s="45">
        <f t="shared" si="2"/>
        <v>31</v>
      </c>
    </row>
    <row r="90" spans="1:12" ht="15.75" customHeight="1">
      <c r="A90" s="155">
        <v>81</v>
      </c>
      <c r="B90" s="145">
        <v>22213</v>
      </c>
      <c r="C90" s="146" t="s">
        <v>228</v>
      </c>
      <c r="D90" s="61">
        <v>3</v>
      </c>
      <c r="E90" s="44">
        <v>3</v>
      </c>
      <c r="F90" s="44">
        <v>3</v>
      </c>
      <c r="G90" s="44">
        <v>4</v>
      </c>
      <c r="H90" s="44">
        <v>4</v>
      </c>
      <c r="I90" s="44">
        <v>4</v>
      </c>
      <c r="J90" s="44">
        <v>3</v>
      </c>
      <c r="K90" s="44">
        <v>4</v>
      </c>
      <c r="L90" s="45">
        <f t="shared" si="2"/>
        <v>28</v>
      </c>
    </row>
    <row r="91" spans="1:12" ht="15.75" customHeight="1">
      <c r="A91" s="155">
        <v>82</v>
      </c>
      <c r="B91" s="145">
        <v>22214</v>
      </c>
      <c r="C91" s="146" t="s">
        <v>229</v>
      </c>
      <c r="D91" s="61" t="s">
        <v>24</v>
      </c>
      <c r="E91" s="61" t="s">
        <v>24</v>
      </c>
      <c r="F91" s="61" t="s">
        <v>24</v>
      </c>
      <c r="G91" s="61" t="s">
        <v>24</v>
      </c>
      <c r="H91" s="61" t="s">
        <v>24</v>
      </c>
      <c r="I91" s="61" t="s">
        <v>24</v>
      </c>
      <c r="J91" s="61" t="s">
        <v>24</v>
      </c>
      <c r="K91" s="61" t="s">
        <v>24</v>
      </c>
      <c r="L91" s="45">
        <f t="shared" si="2"/>
        <v>0</v>
      </c>
    </row>
    <row r="92" spans="1:12" ht="15.75" customHeight="1">
      <c r="A92" s="155">
        <v>83</v>
      </c>
      <c r="B92" s="145">
        <v>22215</v>
      </c>
      <c r="C92" s="146" t="s">
        <v>230</v>
      </c>
      <c r="D92" s="61">
        <v>4</v>
      </c>
      <c r="E92" s="44">
        <v>3</v>
      </c>
      <c r="F92" s="44">
        <v>4</v>
      </c>
      <c r="G92" s="44">
        <v>3</v>
      </c>
      <c r="H92" s="44">
        <v>4</v>
      </c>
      <c r="I92" s="44">
        <v>3</v>
      </c>
      <c r="J92" s="44">
        <v>4</v>
      </c>
      <c r="K92" s="44">
        <v>5</v>
      </c>
      <c r="L92" s="45">
        <f t="shared" si="2"/>
        <v>30</v>
      </c>
    </row>
    <row r="93" spans="1:12" ht="15.75" customHeight="1">
      <c r="A93" s="155">
        <v>84</v>
      </c>
      <c r="B93" s="145">
        <v>22216</v>
      </c>
      <c r="C93" s="146" t="s">
        <v>231</v>
      </c>
      <c r="D93" s="61">
        <v>5</v>
      </c>
      <c r="E93" s="44">
        <v>3</v>
      </c>
      <c r="F93" s="44">
        <v>4</v>
      </c>
      <c r="G93" s="44">
        <v>3</v>
      </c>
      <c r="H93" s="44">
        <v>3</v>
      </c>
      <c r="I93" s="44">
        <v>3</v>
      </c>
      <c r="J93" s="44">
        <v>4</v>
      </c>
      <c r="K93" s="44">
        <v>5</v>
      </c>
      <c r="L93" s="45">
        <f t="shared" si="2"/>
        <v>30</v>
      </c>
    </row>
    <row r="94" spans="1:12" ht="15.75" customHeight="1">
      <c r="A94" s="155">
        <v>85</v>
      </c>
      <c r="B94" s="145">
        <v>22217</v>
      </c>
      <c r="C94" s="146" t="s">
        <v>232</v>
      </c>
      <c r="D94" s="61">
        <v>4</v>
      </c>
      <c r="E94" s="44">
        <v>3</v>
      </c>
      <c r="F94" s="44">
        <v>5</v>
      </c>
      <c r="G94" s="44">
        <v>4</v>
      </c>
      <c r="H94" s="44">
        <v>5</v>
      </c>
      <c r="I94" s="44">
        <v>4</v>
      </c>
      <c r="J94" s="44">
        <v>5</v>
      </c>
      <c r="K94" s="44">
        <v>4</v>
      </c>
      <c r="L94" s="45">
        <f t="shared" si="2"/>
        <v>34</v>
      </c>
    </row>
    <row r="95" spans="1:12" ht="15.75" customHeight="1">
      <c r="A95" s="155">
        <v>86</v>
      </c>
      <c r="B95" s="145">
        <v>22218</v>
      </c>
      <c r="C95" s="146" t="s">
        <v>233</v>
      </c>
      <c r="D95" s="61">
        <v>4</v>
      </c>
      <c r="E95" s="44">
        <v>3</v>
      </c>
      <c r="F95" s="44">
        <v>4</v>
      </c>
      <c r="G95" s="44">
        <v>3</v>
      </c>
      <c r="H95" s="44">
        <v>4</v>
      </c>
      <c r="I95" s="44">
        <v>5</v>
      </c>
      <c r="J95" s="44">
        <v>3</v>
      </c>
      <c r="K95" s="44">
        <v>4</v>
      </c>
      <c r="L95" s="45">
        <f t="shared" si="2"/>
        <v>30</v>
      </c>
    </row>
    <row r="96" spans="1:12" ht="15.75" customHeight="1">
      <c r="A96" s="155">
        <v>87</v>
      </c>
      <c r="B96" s="145">
        <v>22219</v>
      </c>
      <c r="C96" s="146" t="s">
        <v>234</v>
      </c>
      <c r="D96" s="61">
        <v>3</v>
      </c>
      <c r="E96" s="44">
        <v>3</v>
      </c>
      <c r="F96" s="44">
        <v>3</v>
      </c>
      <c r="G96" s="44">
        <v>4</v>
      </c>
      <c r="H96" s="44">
        <v>3</v>
      </c>
      <c r="I96" s="44">
        <v>3</v>
      </c>
      <c r="J96" s="44">
        <v>3</v>
      </c>
      <c r="K96" s="44">
        <v>3</v>
      </c>
      <c r="L96" s="45">
        <f t="shared" si="2"/>
        <v>25</v>
      </c>
    </row>
    <row r="97" spans="1:12" ht="15.75" customHeight="1">
      <c r="A97" s="155">
        <v>88</v>
      </c>
      <c r="B97" s="145">
        <v>22220</v>
      </c>
      <c r="C97" s="146" t="s">
        <v>235</v>
      </c>
      <c r="D97" s="61">
        <v>4</v>
      </c>
      <c r="E97" s="44">
        <v>4</v>
      </c>
      <c r="F97" s="44">
        <v>5</v>
      </c>
      <c r="G97" s="44">
        <v>4</v>
      </c>
      <c r="H97" s="44">
        <v>4</v>
      </c>
      <c r="I97" s="44">
        <v>4</v>
      </c>
      <c r="J97" s="44">
        <v>5</v>
      </c>
      <c r="K97" s="44">
        <v>4</v>
      </c>
      <c r="L97" s="45">
        <f t="shared" si="2"/>
        <v>34</v>
      </c>
    </row>
    <row r="98" spans="1:12" ht="15.75" customHeight="1">
      <c r="A98" s="155">
        <v>89</v>
      </c>
      <c r="B98" s="145">
        <v>22221</v>
      </c>
      <c r="C98" s="146" t="s">
        <v>236</v>
      </c>
      <c r="D98" s="61">
        <v>4</v>
      </c>
      <c r="E98" s="44">
        <v>4</v>
      </c>
      <c r="F98" s="44">
        <v>5</v>
      </c>
      <c r="G98" s="44">
        <v>3</v>
      </c>
      <c r="H98" s="44">
        <v>3</v>
      </c>
      <c r="I98" s="44">
        <v>5</v>
      </c>
      <c r="J98" s="44">
        <v>4</v>
      </c>
      <c r="K98" s="44">
        <v>4</v>
      </c>
      <c r="L98" s="45">
        <f t="shared" si="2"/>
        <v>32</v>
      </c>
    </row>
    <row r="99" spans="1:12" ht="15.75" customHeight="1">
      <c r="A99" s="155">
        <v>90</v>
      </c>
      <c r="B99" s="145">
        <v>22222</v>
      </c>
      <c r="C99" s="146" t="s">
        <v>237</v>
      </c>
      <c r="D99" s="61">
        <v>3</v>
      </c>
      <c r="E99" s="44">
        <v>4</v>
      </c>
      <c r="F99" s="44">
        <v>3</v>
      </c>
      <c r="G99" s="44">
        <v>5</v>
      </c>
      <c r="H99" s="44">
        <v>5</v>
      </c>
      <c r="I99" s="44">
        <v>4</v>
      </c>
      <c r="J99" s="44">
        <v>5</v>
      </c>
      <c r="K99" s="44">
        <v>5</v>
      </c>
      <c r="L99" s="45">
        <f t="shared" si="2"/>
        <v>34</v>
      </c>
    </row>
    <row r="100" spans="1:12" ht="15.75" customHeight="1">
      <c r="A100" s="155">
        <v>91</v>
      </c>
      <c r="B100" s="145">
        <v>22223</v>
      </c>
      <c r="C100" s="146" t="s">
        <v>238</v>
      </c>
      <c r="D100" s="61">
        <v>3</v>
      </c>
      <c r="E100" s="44">
        <v>4</v>
      </c>
      <c r="F100" s="44">
        <v>3</v>
      </c>
      <c r="G100" s="44">
        <v>5</v>
      </c>
      <c r="H100" s="44">
        <v>5</v>
      </c>
      <c r="I100" s="44">
        <v>5</v>
      </c>
      <c r="J100" s="44">
        <v>4</v>
      </c>
      <c r="K100" s="44">
        <v>3</v>
      </c>
      <c r="L100" s="45">
        <f t="shared" si="2"/>
        <v>32</v>
      </c>
    </row>
    <row r="101" spans="1:12" ht="15.75" customHeight="1">
      <c r="A101" s="155">
        <v>92</v>
      </c>
      <c r="B101" s="145">
        <v>22224</v>
      </c>
      <c r="C101" s="146" t="s">
        <v>239</v>
      </c>
      <c r="D101" s="61">
        <v>3</v>
      </c>
      <c r="E101" s="44">
        <v>4</v>
      </c>
      <c r="F101" s="44">
        <v>3</v>
      </c>
      <c r="G101" s="44">
        <v>4</v>
      </c>
      <c r="H101" s="44">
        <v>3</v>
      </c>
      <c r="I101" s="44">
        <v>4</v>
      </c>
      <c r="J101" s="44">
        <v>4</v>
      </c>
      <c r="K101" s="44">
        <v>3</v>
      </c>
      <c r="L101" s="45">
        <f t="shared" si="2"/>
        <v>28</v>
      </c>
    </row>
    <row r="102" spans="1:12" ht="15.75" customHeight="1">
      <c r="A102" s="155">
        <v>93</v>
      </c>
      <c r="B102" s="145">
        <v>22225</v>
      </c>
      <c r="C102" s="146" t="s">
        <v>240</v>
      </c>
      <c r="D102" s="61">
        <v>4</v>
      </c>
      <c r="E102" s="44">
        <v>3</v>
      </c>
      <c r="F102" s="44">
        <v>3</v>
      </c>
      <c r="G102" s="44">
        <v>3</v>
      </c>
      <c r="H102" s="44">
        <v>5</v>
      </c>
      <c r="I102" s="44">
        <v>4</v>
      </c>
      <c r="J102" s="44">
        <v>4</v>
      </c>
      <c r="K102" s="44">
        <v>3</v>
      </c>
      <c r="L102" s="45">
        <f t="shared" si="2"/>
        <v>29</v>
      </c>
    </row>
    <row r="103" spans="1:12" ht="15.75" customHeight="1">
      <c r="A103" s="155">
        <v>94</v>
      </c>
      <c r="B103" s="145">
        <v>22226</v>
      </c>
      <c r="C103" s="146" t="s">
        <v>241</v>
      </c>
      <c r="D103" s="61">
        <v>4</v>
      </c>
      <c r="E103" s="44">
        <v>4</v>
      </c>
      <c r="F103" s="44">
        <v>4</v>
      </c>
      <c r="G103" s="44">
        <v>4</v>
      </c>
      <c r="H103" s="44">
        <v>3</v>
      </c>
      <c r="I103" s="44">
        <v>3</v>
      </c>
      <c r="J103" s="44">
        <v>4</v>
      </c>
      <c r="K103" s="44">
        <v>4</v>
      </c>
      <c r="L103" s="45">
        <f t="shared" si="2"/>
        <v>30</v>
      </c>
    </row>
    <row r="104" spans="1:12" ht="15.75" customHeight="1">
      <c r="A104" s="155">
        <v>95</v>
      </c>
      <c r="B104" s="145">
        <v>22227</v>
      </c>
      <c r="C104" s="146" t="s">
        <v>242</v>
      </c>
      <c r="D104" s="61">
        <v>3</v>
      </c>
      <c r="E104" s="44">
        <v>5</v>
      </c>
      <c r="F104" s="44">
        <v>3</v>
      </c>
      <c r="G104" s="44">
        <v>4</v>
      </c>
      <c r="H104" s="44">
        <v>5</v>
      </c>
      <c r="I104" s="44">
        <v>4</v>
      </c>
      <c r="J104" s="44">
        <v>3</v>
      </c>
      <c r="K104" s="44">
        <v>3</v>
      </c>
      <c r="L104" s="45">
        <f t="shared" si="2"/>
        <v>30</v>
      </c>
    </row>
    <row r="105" spans="1:12" ht="15.75" customHeight="1">
      <c r="A105" s="155">
        <v>96</v>
      </c>
      <c r="B105" s="145">
        <v>22228</v>
      </c>
      <c r="C105" s="146" t="s">
        <v>243</v>
      </c>
      <c r="D105" s="61" t="s">
        <v>24</v>
      </c>
      <c r="E105" s="61" t="s">
        <v>24</v>
      </c>
      <c r="F105" s="61" t="s">
        <v>24</v>
      </c>
      <c r="G105" s="61" t="s">
        <v>24</v>
      </c>
      <c r="H105" s="61" t="s">
        <v>24</v>
      </c>
      <c r="I105" s="61" t="s">
        <v>24</v>
      </c>
      <c r="J105" s="61" t="s">
        <v>24</v>
      </c>
      <c r="K105" s="61" t="s">
        <v>24</v>
      </c>
      <c r="L105" s="45">
        <f t="shared" si="2"/>
        <v>0</v>
      </c>
    </row>
    <row r="106" spans="1:12" ht="15.75" customHeight="1">
      <c r="A106" s="155">
        <v>97</v>
      </c>
      <c r="B106" s="145">
        <v>22229</v>
      </c>
      <c r="C106" s="146" t="s">
        <v>244</v>
      </c>
      <c r="D106" s="61">
        <v>4</v>
      </c>
      <c r="E106" s="44">
        <v>3</v>
      </c>
      <c r="F106" s="44">
        <v>3</v>
      </c>
      <c r="G106" s="44">
        <v>5</v>
      </c>
      <c r="H106" s="44">
        <v>4</v>
      </c>
      <c r="I106" s="44">
        <v>4</v>
      </c>
      <c r="J106" s="44">
        <v>3</v>
      </c>
      <c r="K106" s="44">
        <v>3</v>
      </c>
      <c r="L106" s="45">
        <f t="shared" si="2"/>
        <v>29</v>
      </c>
    </row>
    <row r="107" spans="1:12" ht="15.75" customHeight="1">
      <c r="A107" s="155">
        <v>98</v>
      </c>
      <c r="B107" s="145">
        <v>22230</v>
      </c>
      <c r="C107" s="146" t="s">
        <v>245</v>
      </c>
      <c r="D107" s="44">
        <v>5</v>
      </c>
      <c r="E107" s="44">
        <v>3</v>
      </c>
      <c r="F107" s="44">
        <v>4</v>
      </c>
      <c r="G107" s="44">
        <v>4</v>
      </c>
      <c r="H107" s="44">
        <v>5</v>
      </c>
      <c r="I107" s="44">
        <v>3</v>
      </c>
      <c r="J107" s="44">
        <v>3</v>
      </c>
      <c r="K107" s="44">
        <v>4</v>
      </c>
      <c r="L107" s="45">
        <f t="shared" si="2"/>
        <v>31</v>
      </c>
    </row>
    <row r="108" spans="1:12" ht="15.75" customHeight="1">
      <c r="A108" s="155">
        <v>99</v>
      </c>
      <c r="B108" s="145">
        <v>22231</v>
      </c>
      <c r="C108" s="146" t="s">
        <v>246</v>
      </c>
      <c r="D108" s="44">
        <v>5</v>
      </c>
      <c r="E108" s="44">
        <v>3</v>
      </c>
      <c r="F108" s="44">
        <v>3</v>
      </c>
      <c r="G108" s="44">
        <v>4</v>
      </c>
      <c r="H108" s="44">
        <v>3</v>
      </c>
      <c r="I108" s="44">
        <v>3</v>
      </c>
      <c r="J108" s="44">
        <v>3</v>
      </c>
      <c r="K108" s="44">
        <v>4</v>
      </c>
      <c r="L108" s="45">
        <f t="shared" si="2"/>
        <v>28</v>
      </c>
    </row>
    <row r="109" spans="1:12" ht="15.75" customHeight="1">
      <c r="A109" s="155">
        <v>100</v>
      </c>
      <c r="B109" s="145">
        <v>22232</v>
      </c>
      <c r="C109" s="146" t="s">
        <v>247</v>
      </c>
      <c r="D109" s="44">
        <v>3</v>
      </c>
      <c r="E109" s="44">
        <v>4</v>
      </c>
      <c r="F109" s="44">
        <v>3</v>
      </c>
      <c r="G109" s="44">
        <v>3</v>
      </c>
      <c r="H109" s="44">
        <v>4</v>
      </c>
      <c r="I109" s="44">
        <v>4</v>
      </c>
      <c r="J109" s="44">
        <v>3</v>
      </c>
      <c r="K109" s="44">
        <v>5</v>
      </c>
      <c r="L109" s="45">
        <f t="shared" si="2"/>
        <v>29</v>
      </c>
    </row>
    <row r="110" spans="1:12" ht="15.75" customHeight="1">
      <c r="A110" s="155">
        <v>101</v>
      </c>
      <c r="B110" s="145">
        <v>22233</v>
      </c>
      <c r="C110" s="146" t="s">
        <v>248</v>
      </c>
      <c r="D110" s="44">
        <v>5</v>
      </c>
      <c r="E110" s="44">
        <v>4</v>
      </c>
      <c r="F110" s="44">
        <v>5</v>
      </c>
      <c r="G110" s="44">
        <v>4</v>
      </c>
      <c r="H110" s="44">
        <v>4</v>
      </c>
      <c r="I110" s="44">
        <v>4</v>
      </c>
      <c r="J110" s="44">
        <v>3</v>
      </c>
      <c r="K110" s="44">
        <v>3</v>
      </c>
      <c r="L110" s="45">
        <f t="shared" si="2"/>
        <v>32</v>
      </c>
    </row>
    <row r="111" spans="1:12" ht="15.75" customHeight="1">
      <c r="A111" s="155">
        <v>102</v>
      </c>
      <c r="B111" s="145">
        <v>22234</v>
      </c>
      <c r="C111" s="146" t="s">
        <v>249</v>
      </c>
      <c r="D111" s="44">
        <v>3</v>
      </c>
      <c r="E111" s="44">
        <v>4</v>
      </c>
      <c r="F111" s="44">
        <v>3</v>
      </c>
      <c r="G111" s="44">
        <v>4</v>
      </c>
      <c r="H111" s="44">
        <v>4</v>
      </c>
      <c r="I111" s="44">
        <v>3</v>
      </c>
      <c r="J111" s="44">
        <v>4</v>
      </c>
      <c r="K111" s="44">
        <v>5</v>
      </c>
      <c r="L111" s="45">
        <f t="shared" si="2"/>
        <v>30</v>
      </c>
    </row>
    <row r="112" spans="1:12" ht="15.75" customHeight="1">
      <c r="A112" s="155">
        <v>103</v>
      </c>
      <c r="B112" s="145">
        <v>22235</v>
      </c>
      <c r="C112" s="146" t="s">
        <v>250</v>
      </c>
      <c r="D112" s="44">
        <v>4</v>
      </c>
      <c r="E112" s="44">
        <v>4</v>
      </c>
      <c r="F112" s="44">
        <v>4</v>
      </c>
      <c r="G112" s="44">
        <v>3</v>
      </c>
      <c r="H112" s="44">
        <v>3</v>
      </c>
      <c r="I112" s="44">
        <v>4</v>
      </c>
      <c r="J112" s="44">
        <v>4</v>
      </c>
      <c r="K112" s="44">
        <v>3</v>
      </c>
      <c r="L112" s="45">
        <f t="shared" si="2"/>
        <v>29</v>
      </c>
    </row>
    <row r="113" spans="1:22" ht="15.75" customHeight="1">
      <c r="A113" s="155">
        <v>104</v>
      </c>
      <c r="B113" s="145">
        <v>22236</v>
      </c>
      <c r="C113" s="146" t="s">
        <v>251</v>
      </c>
      <c r="D113" s="44">
        <v>4</v>
      </c>
      <c r="E113" s="44">
        <v>5</v>
      </c>
      <c r="F113" s="44">
        <v>4</v>
      </c>
      <c r="G113" s="44">
        <v>4</v>
      </c>
      <c r="H113" s="44">
        <v>4</v>
      </c>
      <c r="I113" s="44">
        <v>4</v>
      </c>
      <c r="J113" s="44">
        <v>3</v>
      </c>
      <c r="K113" s="44">
        <v>3</v>
      </c>
      <c r="L113" s="45">
        <f t="shared" si="2"/>
        <v>31</v>
      </c>
    </row>
    <row r="114" spans="1:22" ht="15.75" customHeight="1">
      <c r="A114" s="155">
        <v>105</v>
      </c>
      <c r="B114" s="145">
        <v>22237</v>
      </c>
      <c r="C114" s="146" t="s">
        <v>252</v>
      </c>
      <c r="D114" s="44">
        <v>4</v>
      </c>
      <c r="E114" s="44">
        <v>3</v>
      </c>
      <c r="F114" s="44">
        <v>4</v>
      </c>
      <c r="G114" s="44">
        <v>4</v>
      </c>
      <c r="H114" s="44">
        <v>4</v>
      </c>
      <c r="I114" s="44">
        <v>5</v>
      </c>
      <c r="J114" s="44">
        <v>4</v>
      </c>
      <c r="K114" s="44">
        <v>3</v>
      </c>
      <c r="L114" s="45">
        <f t="shared" si="2"/>
        <v>31</v>
      </c>
    </row>
    <row r="115" spans="1:22" ht="15.75" customHeight="1">
      <c r="A115" s="155">
        <v>106</v>
      </c>
      <c r="B115" s="145">
        <v>22238</v>
      </c>
      <c r="C115" s="146" t="s">
        <v>253</v>
      </c>
      <c r="D115" s="44">
        <v>4</v>
      </c>
      <c r="E115" s="44">
        <v>4</v>
      </c>
      <c r="F115" s="44">
        <v>4</v>
      </c>
      <c r="G115" s="44">
        <v>3</v>
      </c>
      <c r="H115" s="44">
        <v>3</v>
      </c>
      <c r="I115" s="44">
        <v>5</v>
      </c>
      <c r="J115" s="44">
        <v>5</v>
      </c>
      <c r="K115" s="44">
        <v>5</v>
      </c>
      <c r="L115" s="45">
        <f t="shared" si="2"/>
        <v>33</v>
      </c>
    </row>
    <row r="116" spans="1:22" ht="15.75" customHeight="1">
      <c r="A116" s="155">
        <v>107</v>
      </c>
      <c r="B116" s="145">
        <v>22239</v>
      </c>
      <c r="C116" s="146" t="s">
        <v>254</v>
      </c>
      <c r="D116" s="44">
        <v>5</v>
      </c>
      <c r="E116" s="44">
        <v>3</v>
      </c>
      <c r="F116" s="44">
        <v>3</v>
      </c>
      <c r="G116" s="44">
        <v>3</v>
      </c>
      <c r="H116" s="44">
        <v>3</v>
      </c>
      <c r="I116" s="44">
        <v>3</v>
      </c>
      <c r="J116" s="44">
        <v>3</v>
      </c>
      <c r="K116" s="44">
        <v>4</v>
      </c>
      <c r="L116" s="45">
        <f t="shared" si="2"/>
        <v>27</v>
      </c>
    </row>
    <row r="117" spans="1:22" ht="15.75" customHeight="1">
      <c r="A117" s="155">
        <v>108</v>
      </c>
      <c r="B117" s="145">
        <v>22240</v>
      </c>
      <c r="C117" s="146" t="s">
        <v>255</v>
      </c>
      <c r="D117" s="44">
        <v>5</v>
      </c>
      <c r="E117" s="44">
        <v>3</v>
      </c>
      <c r="F117" s="44">
        <v>4</v>
      </c>
      <c r="G117" s="44">
        <v>3</v>
      </c>
      <c r="H117" s="44">
        <v>3</v>
      </c>
      <c r="I117" s="44">
        <v>4</v>
      </c>
      <c r="J117" s="44">
        <v>3</v>
      </c>
      <c r="K117" s="44">
        <v>4</v>
      </c>
      <c r="L117" s="45">
        <f t="shared" si="2"/>
        <v>29</v>
      </c>
    </row>
    <row r="118" spans="1:22" ht="15.75" customHeight="1">
      <c r="A118" s="4"/>
      <c r="C118" s="62" t="s">
        <v>23</v>
      </c>
      <c r="D118" s="63">
        <f>AVERAGE(D10:D117)</f>
        <v>3.903225806451613</v>
      </c>
      <c r="E118" s="63">
        <f t="shared" ref="E118:K118" si="3">AVERAGE(E10:E117)</f>
        <v>3.847826086956522</v>
      </c>
      <c r="F118" s="63">
        <f t="shared" si="3"/>
        <v>3.9673913043478262</v>
      </c>
      <c r="G118" s="63">
        <f t="shared" si="3"/>
        <v>3.75</v>
      </c>
      <c r="H118" s="63">
        <f t="shared" si="3"/>
        <v>3.902173913043478</v>
      </c>
      <c r="I118" s="63">
        <f t="shared" si="3"/>
        <v>3.7065217391304346</v>
      </c>
      <c r="J118" s="63">
        <f t="shared" si="3"/>
        <v>3.8913043478260869</v>
      </c>
      <c r="K118" s="63">
        <f t="shared" si="3"/>
        <v>3.902173913043478</v>
      </c>
      <c r="L118" s="63">
        <f>AVERAGE(L10:L70)</f>
        <v>28.851063829787233</v>
      </c>
    </row>
    <row r="119" spans="1:22" ht="15.75" customHeight="1">
      <c r="A119" s="4"/>
      <c r="C119" s="64" t="s">
        <v>58</v>
      </c>
      <c r="D119" s="65">
        <f>D118/5*100</f>
        <v>78.064516129032256</v>
      </c>
      <c r="E119" s="65">
        <f t="shared" ref="E119:K119" si="4">E118/5*100</f>
        <v>76.956521739130437</v>
      </c>
      <c r="F119" s="65">
        <f t="shared" si="4"/>
        <v>79.347826086956516</v>
      </c>
      <c r="G119" s="65">
        <f t="shared" si="4"/>
        <v>75</v>
      </c>
      <c r="H119" s="65">
        <f t="shared" si="4"/>
        <v>78.043478260869563</v>
      </c>
      <c r="I119" s="65">
        <f t="shared" si="4"/>
        <v>74.130434782608688</v>
      </c>
      <c r="J119" s="65">
        <f t="shared" si="4"/>
        <v>77.826086956521735</v>
      </c>
      <c r="K119" s="65">
        <f t="shared" si="4"/>
        <v>78.043478260869563</v>
      </c>
      <c r="L119" s="65"/>
    </row>
    <row r="120" spans="1:22" ht="15.75" customHeight="1">
      <c r="A120" s="4"/>
      <c r="C120" s="5"/>
      <c r="M120" s="376" t="s">
        <v>91</v>
      </c>
      <c r="N120" s="376"/>
    </row>
    <row r="121" spans="1:22" ht="15.75" customHeight="1">
      <c r="A121" s="4" t="s">
        <v>13</v>
      </c>
      <c r="C121" s="5">
        <f>COUNT(A10:A70)</f>
        <v>61</v>
      </c>
      <c r="M121" s="376"/>
      <c r="N121" s="376"/>
    </row>
    <row r="122" spans="1:22" ht="15.75" customHeight="1">
      <c r="A122" s="4"/>
      <c r="C122" s="5"/>
      <c r="M122" s="376"/>
      <c r="N122" s="376"/>
      <c r="O122"/>
      <c r="P122" s="67"/>
      <c r="Q122"/>
      <c r="R122"/>
      <c r="S122"/>
      <c r="T122" s="68"/>
      <c r="U122" s="68"/>
      <c r="V122" s="68"/>
    </row>
    <row r="123" spans="1:22" ht="15.75" customHeight="1">
      <c r="M123" s="376"/>
      <c r="N123" s="376"/>
      <c r="O123"/>
      <c r="P123" s="67"/>
      <c r="Q123"/>
      <c r="R123"/>
      <c r="S123"/>
      <c r="T123"/>
      <c r="U123"/>
      <c r="V123"/>
    </row>
    <row r="124" spans="1:22" ht="15.75" customHeight="1">
      <c r="M124" s="376"/>
      <c r="N124" s="376"/>
      <c r="O124"/>
      <c r="P124" s="67"/>
      <c r="Q124"/>
      <c r="R124"/>
      <c r="S124"/>
      <c r="U124"/>
      <c r="V124"/>
    </row>
    <row r="125" spans="1:22" ht="15.75" customHeight="1">
      <c r="M125" s="376"/>
      <c r="N125" s="376"/>
      <c r="O125"/>
      <c r="P125" s="67"/>
      <c r="Q125"/>
      <c r="R125"/>
      <c r="S125"/>
      <c r="U125"/>
      <c r="V125"/>
    </row>
    <row r="126" spans="1:22" ht="15.75" customHeight="1">
      <c r="A126"/>
      <c r="B126"/>
      <c r="C126"/>
      <c r="D126"/>
      <c r="E126"/>
      <c r="F126"/>
      <c r="G126"/>
      <c r="H126"/>
      <c r="I126"/>
      <c r="J126"/>
      <c r="K126"/>
      <c r="L126"/>
      <c r="M126" s="376"/>
      <c r="N126" s="376"/>
      <c r="O126"/>
      <c r="P126" s="67"/>
      <c r="Q126"/>
      <c r="R126"/>
      <c r="S126"/>
      <c r="T126"/>
      <c r="U126"/>
      <c r="V126"/>
    </row>
    <row r="127" spans="1:22" s="27" customFormat="1">
      <c r="A127" s="1"/>
      <c r="B127" s="375" t="str">
        <f>SubjectDetails!$A$24</f>
        <v>Dr. Ravi Chourasiya</v>
      </c>
      <c r="C127" s="375"/>
      <c r="D127" s="375" t="str">
        <f>SubjectDetails!$E$24</f>
        <v>Dr. Ashwini Chavan</v>
      </c>
      <c r="E127" s="375"/>
      <c r="F127" s="375"/>
      <c r="G127" s="375"/>
      <c r="H127" s="1"/>
      <c r="I127" s="1"/>
      <c r="J127" s="375" t="str">
        <f>SubjectDetails!$H$24</f>
        <v>Dr. Priyanka Singh</v>
      </c>
      <c r="K127" s="375"/>
      <c r="L127" s="375"/>
      <c r="M127" s="1"/>
    </row>
    <row r="128" spans="1:22" s="27" customFormat="1">
      <c r="A128" s="70"/>
      <c r="B128" s="224" t="str">
        <f>SubjectDetails!$A$25</f>
        <v>(College Examination Officer)</v>
      </c>
      <c r="C128" s="224"/>
      <c r="D128" s="221" t="str">
        <f>SubjectDetails!$E$25</f>
        <v>HOD (MCA)</v>
      </c>
      <c r="E128" s="221"/>
      <c r="F128" s="221"/>
      <c r="G128" s="221"/>
      <c r="H128" s="2"/>
      <c r="I128" s="224" t="str">
        <f>SubjectDetails!$H$25</f>
        <v>Director</v>
      </c>
      <c r="J128" s="224"/>
      <c r="K128" s="224"/>
      <c r="L128" s="224"/>
      <c r="M128" s="1"/>
    </row>
    <row r="129" spans="1:22" ht="15.75" customHeight="1">
      <c r="A129" s="70"/>
      <c r="B129" s="70"/>
      <c r="C129" s="88"/>
      <c r="D129" s="88"/>
      <c r="E129" s="88"/>
      <c r="F129" s="88"/>
      <c r="G129" s="1"/>
      <c r="I129" s="224"/>
      <c r="J129" s="224"/>
      <c r="K129" s="70"/>
      <c r="L129" s="87"/>
      <c r="M129" s="70"/>
      <c r="N129" s="68"/>
      <c r="O129"/>
      <c r="P129" s="67"/>
      <c r="Q129" s="69"/>
      <c r="R129" s="69"/>
      <c r="S129" s="69"/>
      <c r="T129" s="68"/>
      <c r="U129" s="68"/>
      <c r="V129" s="68"/>
    </row>
    <row r="130" spans="1:22" ht="15.75" customHeight="1">
      <c r="D130" s="1"/>
      <c r="E130" s="1"/>
      <c r="F130" s="1"/>
      <c r="G130" s="1"/>
      <c r="H130" s="1"/>
      <c r="K130" s="1"/>
      <c r="M130" s="1"/>
    </row>
    <row r="131" spans="1:22" ht="15.75" customHeight="1">
      <c r="A131" s="221"/>
      <c r="B131" s="221"/>
      <c r="C131" s="221"/>
      <c r="D131" s="224"/>
      <c r="E131" s="224"/>
      <c r="F131" s="224"/>
      <c r="G131" s="224"/>
      <c r="H131" s="222"/>
      <c r="I131" s="222"/>
      <c r="J131" s="222"/>
      <c r="K131" s="222"/>
      <c r="L131" s="39"/>
      <c r="M131" s="1"/>
    </row>
    <row r="132" spans="1:22" ht="15.75" customHeight="1">
      <c r="A132" s="371"/>
      <c r="B132" s="371"/>
      <c r="C132" s="371"/>
      <c r="D132" s="372"/>
      <c r="E132" s="372"/>
      <c r="F132" s="372"/>
      <c r="G132" s="372"/>
      <c r="H132" s="374"/>
      <c r="I132" s="374"/>
      <c r="J132" s="374"/>
      <c r="K132" s="68"/>
      <c r="L132" s="39"/>
    </row>
    <row r="133" spans="1:22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/>
    </row>
  </sheetData>
  <mergeCells count="26">
    <mergeCell ref="A1:L1"/>
    <mergeCell ref="A2:L2"/>
    <mergeCell ref="A3:L3"/>
    <mergeCell ref="A4:L4"/>
    <mergeCell ref="B127:C127"/>
    <mergeCell ref="D127:G127"/>
    <mergeCell ref="J127:L127"/>
    <mergeCell ref="A131:C131"/>
    <mergeCell ref="A132:C132"/>
    <mergeCell ref="D131:G131"/>
    <mergeCell ref="D132:G132"/>
    <mergeCell ref="H131:K131"/>
    <mergeCell ref="H132:J132"/>
    <mergeCell ref="M120:N126"/>
    <mergeCell ref="I129:J129"/>
    <mergeCell ref="A5:L5"/>
    <mergeCell ref="A6:C6"/>
    <mergeCell ref="D6:L6"/>
    <mergeCell ref="A7:A9"/>
    <mergeCell ref="B7:B9"/>
    <mergeCell ref="C7:C9"/>
    <mergeCell ref="D7:K7"/>
    <mergeCell ref="L7:L8"/>
    <mergeCell ref="B128:C128"/>
    <mergeCell ref="D128:G128"/>
    <mergeCell ref="I128:L128"/>
  </mergeCells>
  <hyperlinks>
    <hyperlink ref="M120:N126" r:id="rId1" display="Overall  Semester wise  Attainment"/>
  </hyperlinks>
  <pageMargins left="0.7" right="0.7" top="0.75" bottom="0.75" header="0.3" footer="0.3"/>
  <pageSetup scale="7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SubjectDetails</vt:lpstr>
      <vt:lpstr>Rubrics</vt:lpstr>
      <vt:lpstr>CO Mapping PO </vt:lpstr>
      <vt:lpstr>CCE1</vt:lpstr>
      <vt:lpstr>CCE2</vt:lpstr>
      <vt:lpstr>CCE3</vt:lpstr>
      <vt:lpstr>CCE</vt:lpstr>
      <vt:lpstr>CO Int. Attn</vt:lpstr>
      <vt:lpstr>CO Ext. Attn</vt:lpstr>
      <vt:lpstr>OverallCO Attainment</vt:lpstr>
      <vt:lpstr>CO PO Attainment</vt:lpstr>
      <vt:lpstr>Course Exit</vt:lpstr>
      <vt:lpstr>In Direct</vt:lpstr>
      <vt:lpstr>Class</vt:lpstr>
      <vt:lpstr>Class_AY</vt:lpstr>
      <vt:lpstr>Designation</vt:lpstr>
      <vt:lpstr>dir_wt</vt:lpstr>
      <vt:lpstr>ext_wt</vt:lpstr>
      <vt:lpstr>Faculty</vt:lpstr>
      <vt:lpstr>ind_wt</vt:lpstr>
      <vt:lpstr>int_wt</vt:lpstr>
      <vt:lpstr>spl</vt:lpstr>
      <vt:lpstr>Sub_Code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Lalbeg</dc:creator>
  <cp:lastModifiedBy>user</cp:lastModifiedBy>
  <cp:lastPrinted>2026-02-22T09:40:40Z</cp:lastPrinted>
  <dcterms:created xsi:type="dcterms:W3CDTF">2024-11-30T04:33:13Z</dcterms:created>
  <dcterms:modified xsi:type="dcterms:W3CDTF">2026-02-26T05:19:43Z</dcterms:modified>
</cp:coreProperties>
</file>