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YPIMED\2023-25\SEM I\"/>
    </mc:Choice>
  </mc:AlternateContent>
  <bookViews>
    <workbookView xWindow="0" yWindow="0" windowWidth="20490" windowHeight="7650" tabRatio="853" firstSheet="1" activeTab="7"/>
  </bookViews>
  <sheets>
    <sheet name="SubjectDetails" sheetId="25" r:id="rId1"/>
    <sheet name="Rubrics" sheetId="31" r:id="rId2"/>
    <sheet name="CO Mapping PO " sheetId="21" r:id="rId3"/>
    <sheet name="CCE1" sheetId="15" r:id="rId4"/>
    <sheet name="CCE2" sheetId="18" r:id="rId5"/>
    <sheet name="CCE3" sheetId="28" r:id="rId6"/>
    <sheet name="CCE" sheetId="19" r:id="rId7"/>
    <sheet name="CO Int. Attn" sheetId="24" r:id="rId8"/>
    <sheet name="CO Ext. Attn" sheetId="26" r:id="rId9"/>
    <sheet name="OverallCO Attainment" sheetId="20" r:id="rId10"/>
    <sheet name="CO PO Attainment" sheetId="23" r:id="rId11"/>
    <sheet name="Sheet1" sheetId="32" r:id="rId12"/>
  </sheets>
  <externalReferences>
    <externalReference r:id="rId13"/>
  </externalReferences>
  <definedNames>
    <definedName name="_xlnm._FilterDatabase" localSheetId="5" hidden="1">'CCE3'!$A$72:$N$118</definedName>
    <definedName name="_xlnm._FilterDatabase" localSheetId="8" hidden="1">'CO Ext. Attn'!$A$14:$P$121</definedName>
    <definedName name="_xlnm._FilterDatabase" localSheetId="7" hidden="1">'CO Int. Attn'!$A$90:$X$121</definedName>
    <definedName name="Class">SubjectDetails!$B$10</definedName>
    <definedName name="Class_AY">SubjectDetails!$B$10</definedName>
    <definedName name="Designation">SubjectDetails!$B$7</definedName>
    <definedName name="dir_wt">SubjectDetails!$B$17</definedName>
    <definedName name="ext_wt">SubjectDetails!$B$15</definedName>
    <definedName name="Faculty">SubjectDetails!$B$6</definedName>
    <definedName name="ind_wt">SubjectDetails!$B$18</definedName>
    <definedName name="int_wt">SubjectDetails!$B$14</definedName>
    <definedName name="spl">SubjectDetails!$B$11</definedName>
    <definedName name="Sub_Code">SubjectDetails!$B$8</definedName>
    <definedName name="Target">60%</definedName>
    <definedName name="Type">SubjectDetails!$B$9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23" l="1"/>
  <c r="F17" i="23"/>
  <c r="E17" i="23"/>
  <c r="D17" i="23"/>
  <c r="K17" i="23"/>
  <c r="K18" i="23" s="1"/>
  <c r="J17" i="23"/>
  <c r="J18" i="23" s="1"/>
  <c r="I17" i="23"/>
  <c r="I18" i="23" s="1"/>
  <c r="H17" i="23"/>
  <c r="H18" i="23" s="1"/>
  <c r="G18" i="23"/>
  <c r="F18" i="23"/>
  <c r="E18" i="23"/>
  <c r="D18" i="23"/>
  <c r="D15" i="20" l="1"/>
  <c r="E15" i="20"/>
  <c r="F15" i="20"/>
  <c r="G15" i="20"/>
  <c r="C15" i="20"/>
  <c r="D14" i="20"/>
  <c r="E14" i="20"/>
  <c r="F14" i="20"/>
  <c r="G14" i="20"/>
  <c r="C14" i="20"/>
  <c r="N15" i="24" l="1"/>
  <c r="O15" i="24"/>
  <c r="P15" i="24"/>
  <c r="Q15" i="24"/>
  <c r="R15" i="24"/>
  <c r="N16" i="24"/>
  <c r="O16" i="24"/>
  <c r="P16" i="24"/>
  <c r="Q16" i="24"/>
  <c r="R16" i="24"/>
  <c r="N17" i="24"/>
  <c r="O17" i="24"/>
  <c r="P17" i="24"/>
  <c r="Q17" i="24"/>
  <c r="R17" i="24"/>
  <c r="N18" i="24"/>
  <c r="O18" i="24"/>
  <c r="P18" i="24"/>
  <c r="Q18" i="24"/>
  <c r="R18" i="24"/>
  <c r="N19" i="24"/>
  <c r="O19" i="24"/>
  <c r="P19" i="24"/>
  <c r="Q19" i="24"/>
  <c r="R19" i="24"/>
  <c r="N20" i="24"/>
  <c r="O20" i="24"/>
  <c r="P20" i="24"/>
  <c r="Q20" i="24"/>
  <c r="R20" i="24"/>
  <c r="N21" i="24"/>
  <c r="O21" i="24"/>
  <c r="P21" i="24"/>
  <c r="Q21" i="24"/>
  <c r="R21" i="24"/>
  <c r="N22" i="24"/>
  <c r="O22" i="24"/>
  <c r="P22" i="24"/>
  <c r="Q22" i="24"/>
  <c r="R22" i="24"/>
  <c r="N23" i="24"/>
  <c r="O23" i="24"/>
  <c r="P23" i="24"/>
  <c r="Q23" i="24"/>
  <c r="R23" i="24"/>
  <c r="N24" i="24"/>
  <c r="O24" i="24"/>
  <c r="P24" i="24"/>
  <c r="Q24" i="24"/>
  <c r="R24" i="24"/>
  <c r="N25" i="24"/>
  <c r="O25" i="24"/>
  <c r="P25" i="24"/>
  <c r="Q25" i="24"/>
  <c r="R25" i="24"/>
  <c r="N26" i="24"/>
  <c r="O26" i="24"/>
  <c r="P26" i="24"/>
  <c r="Q26" i="24"/>
  <c r="R26" i="24"/>
  <c r="N27" i="24"/>
  <c r="O27" i="24"/>
  <c r="P27" i="24"/>
  <c r="Q27" i="24"/>
  <c r="R27" i="24"/>
  <c r="N28" i="24"/>
  <c r="O28" i="24"/>
  <c r="P28" i="24"/>
  <c r="Q28" i="24"/>
  <c r="R28" i="24"/>
  <c r="N29" i="24"/>
  <c r="O29" i="24"/>
  <c r="P29" i="24"/>
  <c r="Q29" i="24"/>
  <c r="R29" i="24"/>
  <c r="N30" i="24"/>
  <c r="O30" i="24"/>
  <c r="P30" i="24"/>
  <c r="Q30" i="24"/>
  <c r="R30" i="24"/>
  <c r="N31" i="24"/>
  <c r="O31" i="24"/>
  <c r="P31" i="24"/>
  <c r="Q31" i="24"/>
  <c r="R31" i="24"/>
  <c r="N32" i="24"/>
  <c r="O32" i="24"/>
  <c r="P32" i="24"/>
  <c r="Q32" i="24"/>
  <c r="R32" i="24"/>
  <c r="N33" i="24"/>
  <c r="O33" i="24"/>
  <c r="P33" i="24"/>
  <c r="Q33" i="24"/>
  <c r="R33" i="24"/>
  <c r="N34" i="24"/>
  <c r="O34" i="24"/>
  <c r="P34" i="24"/>
  <c r="Q34" i="24"/>
  <c r="R34" i="24"/>
  <c r="N35" i="24"/>
  <c r="O35" i="24"/>
  <c r="P35" i="24"/>
  <c r="Q35" i="24"/>
  <c r="R35" i="24"/>
  <c r="N36" i="24"/>
  <c r="O36" i="24"/>
  <c r="P36" i="24"/>
  <c r="Q36" i="24"/>
  <c r="R36" i="24"/>
  <c r="N37" i="24"/>
  <c r="O37" i="24"/>
  <c r="P37" i="24"/>
  <c r="Q37" i="24"/>
  <c r="R37" i="24"/>
  <c r="N38" i="24"/>
  <c r="O38" i="24"/>
  <c r="P38" i="24"/>
  <c r="Q38" i="24"/>
  <c r="R38" i="24"/>
  <c r="N39" i="24"/>
  <c r="O39" i="24"/>
  <c r="P39" i="24"/>
  <c r="Q39" i="24"/>
  <c r="R39" i="24"/>
  <c r="N40" i="24"/>
  <c r="O40" i="24"/>
  <c r="P40" i="24"/>
  <c r="Q40" i="24"/>
  <c r="R40" i="24"/>
  <c r="N41" i="24"/>
  <c r="O41" i="24"/>
  <c r="P41" i="24"/>
  <c r="Q41" i="24"/>
  <c r="R41" i="24"/>
  <c r="N42" i="24"/>
  <c r="O42" i="24"/>
  <c r="P42" i="24"/>
  <c r="Q42" i="24"/>
  <c r="R42" i="24"/>
  <c r="N43" i="24"/>
  <c r="O43" i="24"/>
  <c r="P43" i="24"/>
  <c r="Q43" i="24"/>
  <c r="R43" i="24"/>
  <c r="N44" i="24"/>
  <c r="O44" i="24"/>
  <c r="P44" i="24"/>
  <c r="Q44" i="24"/>
  <c r="R44" i="24"/>
  <c r="N45" i="24"/>
  <c r="O45" i="24"/>
  <c r="P45" i="24"/>
  <c r="Q45" i="24"/>
  <c r="R45" i="24"/>
  <c r="N46" i="24"/>
  <c r="O46" i="24"/>
  <c r="P46" i="24"/>
  <c r="Q46" i="24"/>
  <c r="R46" i="24"/>
  <c r="N47" i="24"/>
  <c r="O47" i="24"/>
  <c r="P47" i="24"/>
  <c r="Q47" i="24"/>
  <c r="R47" i="24"/>
  <c r="N48" i="24"/>
  <c r="O48" i="24"/>
  <c r="P48" i="24"/>
  <c r="Q48" i="24"/>
  <c r="R48" i="24"/>
  <c r="N49" i="24"/>
  <c r="O49" i="24"/>
  <c r="P49" i="24"/>
  <c r="Q49" i="24"/>
  <c r="R49" i="24"/>
  <c r="N50" i="24"/>
  <c r="O50" i="24"/>
  <c r="P50" i="24"/>
  <c r="Q50" i="24"/>
  <c r="R50" i="24"/>
  <c r="N51" i="24"/>
  <c r="O51" i="24"/>
  <c r="P51" i="24"/>
  <c r="Q51" i="24"/>
  <c r="R51" i="24"/>
  <c r="N52" i="24"/>
  <c r="O52" i="24"/>
  <c r="P52" i="24"/>
  <c r="Q52" i="24"/>
  <c r="R52" i="24"/>
  <c r="N53" i="24"/>
  <c r="O53" i="24"/>
  <c r="P53" i="24"/>
  <c r="Q53" i="24"/>
  <c r="R53" i="24"/>
  <c r="N54" i="24"/>
  <c r="O54" i="24"/>
  <c r="P54" i="24"/>
  <c r="Q54" i="24"/>
  <c r="R54" i="24"/>
  <c r="N55" i="24"/>
  <c r="O55" i="24"/>
  <c r="P55" i="24"/>
  <c r="Q55" i="24"/>
  <c r="R55" i="24"/>
  <c r="N56" i="24"/>
  <c r="O56" i="24"/>
  <c r="P56" i="24"/>
  <c r="Q56" i="24"/>
  <c r="R56" i="24"/>
  <c r="N57" i="24"/>
  <c r="O57" i="24"/>
  <c r="P57" i="24"/>
  <c r="Q57" i="24"/>
  <c r="R57" i="24"/>
  <c r="N58" i="24"/>
  <c r="O58" i="24"/>
  <c r="P58" i="24"/>
  <c r="Q58" i="24"/>
  <c r="R58" i="24"/>
  <c r="N59" i="24"/>
  <c r="O59" i="24"/>
  <c r="P59" i="24"/>
  <c r="Q59" i="24"/>
  <c r="R59" i="24"/>
  <c r="N60" i="24"/>
  <c r="O60" i="24"/>
  <c r="P60" i="24"/>
  <c r="Q60" i="24"/>
  <c r="R60" i="24"/>
  <c r="N61" i="24"/>
  <c r="O61" i="24"/>
  <c r="P61" i="24"/>
  <c r="Q61" i="24"/>
  <c r="R61" i="24"/>
  <c r="N62" i="24"/>
  <c r="O62" i="24"/>
  <c r="P62" i="24"/>
  <c r="Q62" i="24"/>
  <c r="R62" i="24"/>
  <c r="N63" i="24"/>
  <c r="O63" i="24"/>
  <c r="P63" i="24"/>
  <c r="Q63" i="24"/>
  <c r="R63" i="24"/>
  <c r="N64" i="24"/>
  <c r="O64" i="24"/>
  <c r="P64" i="24"/>
  <c r="Q64" i="24"/>
  <c r="R64" i="24"/>
  <c r="N65" i="24"/>
  <c r="O65" i="24"/>
  <c r="P65" i="24"/>
  <c r="Q65" i="24"/>
  <c r="R65" i="24"/>
  <c r="N66" i="24"/>
  <c r="O66" i="24"/>
  <c r="P66" i="24"/>
  <c r="Q66" i="24"/>
  <c r="R66" i="24"/>
  <c r="N67" i="24"/>
  <c r="O67" i="24"/>
  <c r="P67" i="24"/>
  <c r="Q67" i="24"/>
  <c r="R67" i="24"/>
  <c r="N68" i="24"/>
  <c r="O68" i="24"/>
  <c r="P68" i="24"/>
  <c r="Q68" i="24"/>
  <c r="R68" i="24"/>
  <c r="N69" i="24"/>
  <c r="O69" i="24"/>
  <c r="P69" i="24"/>
  <c r="Q69" i="24"/>
  <c r="R69" i="24"/>
  <c r="N70" i="24"/>
  <c r="O70" i="24"/>
  <c r="P70" i="24"/>
  <c r="Q70" i="24"/>
  <c r="R70" i="24"/>
  <c r="N71" i="24"/>
  <c r="O71" i="24"/>
  <c r="P71" i="24"/>
  <c r="Q71" i="24"/>
  <c r="R71" i="24"/>
  <c r="N72" i="24"/>
  <c r="O72" i="24"/>
  <c r="P72" i="24"/>
  <c r="Q72" i="24"/>
  <c r="R72" i="24"/>
  <c r="N73" i="24"/>
  <c r="O73" i="24"/>
  <c r="P73" i="24"/>
  <c r="Q73" i="24"/>
  <c r="R73" i="24"/>
  <c r="N74" i="24"/>
  <c r="O74" i="24"/>
  <c r="P74" i="24"/>
  <c r="Q74" i="24"/>
  <c r="R74" i="24"/>
  <c r="N75" i="24"/>
  <c r="O75" i="24"/>
  <c r="P75" i="24"/>
  <c r="Q75" i="24"/>
  <c r="R75" i="24"/>
  <c r="N76" i="24"/>
  <c r="O76" i="24"/>
  <c r="P76" i="24"/>
  <c r="Q76" i="24"/>
  <c r="R76" i="24"/>
  <c r="N77" i="24"/>
  <c r="O77" i="24"/>
  <c r="P77" i="24"/>
  <c r="Q77" i="24"/>
  <c r="R77" i="24"/>
  <c r="N78" i="24"/>
  <c r="O78" i="24"/>
  <c r="P78" i="24"/>
  <c r="Q78" i="24"/>
  <c r="R78" i="24"/>
  <c r="N79" i="24"/>
  <c r="O79" i="24"/>
  <c r="P79" i="24"/>
  <c r="Q79" i="24"/>
  <c r="R79" i="24"/>
  <c r="N80" i="24"/>
  <c r="O80" i="24"/>
  <c r="P80" i="24"/>
  <c r="Q80" i="24"/>
  <c r="R80" i="24"/>
  <c r="N81" i="24"/>
  <c r="O81" i="24"/>
  <c r="P81" i="24"/>
  <c r="Q81" i="24"/>
  <c r="R81" i="24"/>
  <c r="N82" i="24"/>
  <c r="O82" i="24"/>
  <c r="P82" i="24"/>
  <c r="Q82" i="24"/>
  <c r="R82" i="24"/>
  <c r="N83" i="24"/>
  <c r="O83" i="24"/>
  <c r="P83" i="24"/>
  <c r="Q83" i="24"/>
  <c r="R83" i="24"/>
  <c r="N84" i="24"/>
  <c r="O84" i="24"/>
  <c r="P84" i="24"/>
  <c r="Q84" i="24"/>
  <c r="R84" i="24"/>
  <c r="N85" i="24"/>
  <c r="O85" i="24"/>
  <c r="P85" i="24"/>
  <c r="Q85" i="24"/>
  <c r="R85" i="24"/>
  <c r="N86" i="24"/>
  <c r="O86" i="24"/>
  <c r="P86" i="24"/>
  <c r="Q86" i="24"/>
  <c r="R86" i="24"/>
  <c r="N87" i="24"/>
  <c r="O87" i="24"/>
  <c r="P87" i="24"/>
  <c r="Q87" i="24"/>
  <c r="R87" i="24"/>
  <c r="N88" i="24"/>
  <c r="O88" i="24"/>
  <c r="P88" i="24"/>
  <c r="Q88" i="24"/>
  <c r="R88" i="24"/>
  <c r="N89" i="24"/>
  <c r="O89" i="24"/>
  <c r="P89" i="24"/>
  <c r="Q89" i="24"/>
  <c r="R89" i="24"/>
  <c r="N90" i="24"/>
  <c r="O90" i="24"/>
  <c r="P90" i="24"/>
  <c r="Q90" i="24"/>
  <c r="R90" i="24"/>
  <c r="N91" i="24"/>
  <c r="O91" i="24"/>
  <c r="P91" i="24"/>
  <c r="Q91" i="24"/>
  <c r="R91" i="24"/>
  <c r="N92" i="24"/>
  <c r="O92" i="24"/>
  <c r="P92" i="24"/>
  <c r="Q92" i="24"/>
  <c r="R92" i="24"/>
  <c r="N93" i="24"/>
  <c r="O93" i="24"/>
  <c r="P93" i="24"/>
  <c r="Q93" i="24"/>
  <c r="R93" i="24"/>
  <c r="N94" i="24"/>
  <c r="O94" i="24"/>
  <c r="P94" i="24"/>
  <c r="Q94" i="24"/>
  <c r="R94" i="24"/>
  <c r="N95" i="24"/>
  <c r="O95" i="24"/>
  <c r="P95" i="24"/>
  <c r="Q95" i="24"/>
  <c r="R95" i="24"/>
  <c r="N96" i="24"/>
  <c r="O96" i="24"/>
  <c r="P96" i="24"/>
  <c r="Q96" i="24"/>
  <c r="R96" i="24"/>
  <c r="N97" i="24"/>
  <c r="O97" i="24"/>
  <c r="P97" i="24"/>
  <c r="Q97" i="24"/>
  <c r="R97" i="24"/>
  <c r="N98" i="24"/>
  <c r="O98" i="24"/>
  <c r="P98" i="24"/>
  <c r="Q98" i="24"/>
  <c r="R98" i="24"/>
  <c r="N99" i="24"/>
  <c r="O99" i="24"/>
  <c r="P99" i="24"/>
  <c r="Q99" i="24"/>
  <c r="R99" i="24"/>
  <c r="N100" i="24"/>
  <c r="O100" i="24"/>
  <c r="P100" i="24"/>
  <c r="Q100" i="24"/>
  <c r="R100" i="24"/>
  <c r="N101" i="24"/>
  <c r="O101" i="24"/>
  <c r="P101" i="24"/>
  <c r="Q101" i="24"/>
  <c r="R101" i="24"/>
  <c r="N102" i="24"/>
  <c r="O102" i="24"/>
  <c r="P102" i="24"/>
  <c r="Q102" i="24"/>
  <c r="R102" i="24"/>
  <c r="N103" i="24"/>
  <c r="O103" i="24"/>
  <c r="P103" i="24"/>
  <c r="Q103" i="24"/>
  <c r="R103" i="24"/>
  <c r="N104" i="24"/>
  <c r="O104" i="24"/>
  <c r="P104" i="24"/>
  <c r="Q104" i="24"/>
  <c r="R104" i="24"/>
  <c r="N105" i="24"/>
  <c r="O105" i="24"/>
  <c r="P105" i="24"/>
  <c r="Q105" i="24"/>
  <c r="R105" i="24"/>
  <c r="N106" i="24"/>
  <c r="O106" i="24"/>
  <c r="P106" i="24"/>
  <c r="Q106" i="24"/>
  <c r="R106" i="24"/>
  <c r="N107" i="24"/>
  <c r="O107" i="24"/>
  <c r="P107" i="24"/>
  <c r="Q107" i="24"/>
  <c r="R107" i="24"/>
  <c r="N108" i="24"/>
  <c r="O108" i="24"/>
  <c r="P108" i="24"/>
  <c r="Q108" i="24"/>
  <c r="R108" i="24"/>
  <c r="N109" i="24"/>
  <c r="O109" i="24"/>
  <c r="P109" i="24"/>
  <c r="Q109" i="24"/>
  <c r="R109" i="24"/>
  <c r="N110" i="24"/>
  <c r="O110" i="24"/>
  <c r="P110" i="24"/>
  <c r="Q110" i="24"/>
  <c r="R110" i="24"/>
  <c r="N111" i="24"/>
  <c r="O111" i="24"/>
  <c r="P111" i="24"/>
  <c r="Q111" i="24"/>
  <c r="R111" i="24"/>
  <c r="N112" i="24"/>
  <c r="O112" i="24"/>
  <c r="P112" i="24"/>
  <c r="Q112" i="24"/>
  <c r="R112" i="24"/>
  <c r="N113" i="24"/>
  <c r="O113" i="24"/>
  <c r="P113" i="24"/>
  <c r="Q113" i="24"/>
  <c r="R113" i="24"/>
  <c r="N114" i="24"/>
  <c r="O114" i="24"/>
  <c r="P114" i="24"/>
  <c r="Q114" i="24"/>
  <c r="R114" i="24"/>
  <c r="N115" i="24"/>
  <c r="O115" i="24"/>
  <c r="P115" i="24"/>
  <c r="Q115" i="24"/>
  <c r="R115" i="24"/>
  <c r="N116" i="24"/>
  <c r="O116" i="24"/>
  <c r="P116" i="24"/>
  <c r="Q116" i="24"/>
  <c r="R116" i="24"/>
  <c r="N117" i="24"/>
  <c r="O117" i="24"/>
  <c r="P117" i="24"/>
  <c r="Q117" i="24"/>
  <c r="R117" i="24"/>
  <c r="N118" i="24"/>
  <c r="O118" i="24"/>
  <c r="P118" i="24"/>
  <c r="Q118" i="24"/>
  <c r="R118" i="24"/>
  <c r="N119" i="24"/>
  <c r="O119" i="24"/>
  <c r="P119" i="24"/>
  <c r="Q119" i="24"/>
  <c r="R119" i="24"/>
  <c r="N120" i="24"/>
  <c r="O120" i="24"/>
  <c r="P120" i="24"/>
  <c r="Q120" i="24"/>
  <c r="R120" i="24"/>
  <c r="N121" i="24"/>
  <c r="O121" i="24"/>
  <c r="P121" i="24"/>
  <c r="Q121" i="24"/>
  <c r="R121" i="24"/>
  <c r="O14" i="24"/>
  <c r="P14" i="24"/>
  <c r="Q14" i="24"/>
  <c r="R14" i="24"/>
  <c r="N14" i="24"/>
  <c r="I128" i="32" l="1"/>
  <c r="D128" i="32"/>
  <c r="B128" i="32"/>
  <c r="J127" i="32"/>
  <c r="D127" i="32"/>
  <c r="B127" i="32"/>
  <c r="C121" i="32"/>
  <c r="H118" i="32"/>
  <c r="H119" i="32" s="1"/>
  <c r="G118" i="32"/>
  <c r="G119" i="32" s="1"/>
  <c r="F118" i="32"/>
  <c r="F119" i="32" s="1"/>
  <c r="E118" i="32"/>
  <c r="E119" i="32" s="1"/>
  <c r="D118" i="32"/>
  <c r="D119" i="32" s="1"/>
  <c r="L117" i="32"/>
  <c r="L116" i="32"/>
  <c r="L115" i="32"/>
  <c r="L114" i="32"/>
  <c r="L113" i="32"/>
  <c r="L112" i="32"/>
  <c r="L111" i="32"/>
  <c r="L110" i="32"/>
  <c r="L109" i="32"/>
  <c r="L108" i="32"/>
  <c r="L107" i="32"/>
  <c r="L106" i="32"/>
  <c r="L105" i="32"/>
  <c r="L104" i="32"/>
  <c r="L103" i="32"/>
  <c r="L102" i="32"/>
  <c r="L101" i="32"/>
  <c r="L100" i="32"/>
  <c r="L99" i="32"/>
  <c r="L98" i="32"/>
  <c r="L97" i="32"/>
  <c r="L96" i="32"/>
  <c r="L95" i="32"/>
  <c r="L94" i="32"/>
  <c r="L93" i="32"/>
  <c r="L92" i="32"/>
  <c r="L91" i="32"/>
  <c r="L90" i="32"/>
  <c r="L89" i="32"/>
  <c r="L88" i="32"/>
  <c r="L87" i="32"/>
  <c r="L86" i="32"/>
  <c r="L85" i="32"/>
  <c r="L84" i="32"/>
  <c r="L83" i="32"/>
  <c r="L82" i="32"/>
  <c r="L81" i="32"/>
  <c r="L80" i="32"/>
  <c r="L79" i="32"/>
  <c r="L78" i="32"/>
  <c r="L77" i="32"/>
  <c r="L76" i="32"/>
  <c r="L75" i="32"/>
  <c r="L74" i="32"/>
  <c r="L73" i="32"/>
  <c r="L72" i="32"/>
  <c r="L71" i="32"/>
  <c r="L70" i="32"/>
  <c r="L69" i="32"/>
  <c r="L68" i="32"/>
  <c r="L67" i="32"/>
  <c r="L66" i="32"/>
  <c r="L65" i="32"/>
  <c r="L64" i="32"/>
  <c r="L63" i="32"/>
  <c r="L62" i="32"/>
  <c r="L61" i="32"/>
  <c r="L60" i="32"/>
  <c r="L59" i="32"/>
  <c r="L58" i="32"/>
  <c r="L57" i="32"/>
  <c r="L56" i="32"/>
  <c r="L55" i="32"/>
  <c r="L54" i="32"/>
  <c r="L53" i="32"/>
  <c r="L52" i="32"/>
  <c r="L51" i="32"/>
  <c r="L50" i="32"/>
  <c r="L49" i="32"/>
  <c r="L48" i="32"/>
  <c r="L47" i="32"/>
  <c r="L46" i="32"/>
  <c r="L45" i="32"/>
  <c r="L44" i="32"/>
  <c r="L43" i="32"/>
  <c r="L42" i="32"/>
  <c r="L41" i="32"/>
  <c r="L40" i="32"/>
  <c r="L39" i="32"/>
  <c r="L38" i="32"/>
  <c r="L37" i="32"/>
  <c r="L36" i="32"/>
  <c r="L35" i="32"/>
  <c r="L34" i="32"/>
  <c r="L33" i="32"/>
  <c r="L32" i="32"/>
  <c r="L31" i="32"/>
  <c r="L30" i="32"/>
  <c r="L29" i="32"/>
  <c r="L28" i="32"/>
  <c r="L27" i="32"/>
  <c r="L26" i="32"/>
  <c r="L25" i="32"/>
  <c r="L24" i="32"/>
  <c r="L23" i="32"/>
  <c r="L22" i="32"/>
  <c r="L21" i="32"/>
  <c r="L20" i="32"/>
  <c r="L19" i="32"/>
  <c r="L18" i="32"/>
  <c r="L17" i="32"/>
  <c r="L16" i="32"/>
  <c r="L15" i="32"/>
  <c r="L14" i="32"/>
  <c r="L13" i="32"/>
  <c r="L12" i="32"/>
  <c r="L11" i="32"/>
  <c r="L10" i="32"/>
  <c r="L9" i="32"/>
  <c r="A6" i="32"/>
  <c r="L118" i="32" l="1"/>
  <c r="L119" i="32" s="1"/>
  <c r="L12" i="18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L51" i="18"/>
  <c r="L52" i="18"/>
  <c r="L53" i="18"/>
  <c r="L54" i="18"/>
  <c r="L55" i="18"/>
  <c r="L56" i="18"/>
  <c r="L57" i="18"/>
  <c r="L58" i="18"/>
  <c r="L59" i="18"/>
  <c r="L60" i="18"/>
  <c r="L61" i="18"/>
  <c r="L62" i="18"/>
  <c r="L63" i="18"/>
  <c r="L64" i="18"/>
  <c r="L65" i="18"/>
  <c r="L66" i="18"/>
  <c r="L67" i="18"/>
  <c r="L68" i="18"/>
  <c r="L69" i="18"/>
  <c r="L70" i="18"/>
  <c r="L71" i="18"/>
  <c r="L72" i="18"/>
  <c r="L73" i="18"/>
  <c r="L74" i="18"/>
  <c r="L75" i="18"/>
  <c r="L76" i="18"/>
  <c r="L77" i="18"/>
  <c r="L78" i="18"/>
  <c r="L79" i="18"/>
  <c r="L80" i="18"/>
  <c r="L81" i="18"/>
  <c r="L82" i="18"/>
  <c r="L83" i="18"/>
  <c r="L84" i="18"/>
  <c r="L85" i="18"/>
  <c r="L86" i="18"/>
  <c r="L87" i="18"/>
  <c r="L88" i="18"/>
  <c r="L89" i="18"/>
  <c r="L90" i="18"/>
  <c r="L91" i="18"/>
  <c r="L92" i="18"/>
  <c r="L93" i="18"/>
  <c r="L94" i="18"/>
  <c r="L95" i="18"/>
  <c r="L96" i="18"/>
  <c r="L97" i="18"/>
  <c r="L98" i="18"/>
  <c r="L99" i="18"/>
  <c r="L100" i="18"/>
  <c r="L101" i="18"/>
  <c r="L102" i="18"/>
  <c r="L103" i="18"/>
  <c r="L104" i="18"/>
  <c r="L105" i="18"/>
  <c r="L106" i="18"/>
  <c r="L107" i="18"/>
  <c r="L108" i="18"/>
  <c r="L109" i="18"/>
  <c r="L110" i="18"/>
  <c r="L111" i="18"/>
  <c r="L112" i="18"/>
  <c r="L113" i="18"/>
  <c r="L114" i="18"/>
  <c r="L115" i="18"/>
  <c r="L116" i="18"/>
  <c r="L117" i="18"/>
  <c r="L118" i="18"/>
  <c r="L11" i="18"/>
  <c r="L9" i="18"/>
  <c r="W15" i="24" l="1"/>
  <c r="W16" i="24"/>
  <c r="W17" i="24"/>
  <c r="W18" i="24"/>
  <c r="W19" i="24"/>
  <c r="W20" i="24"/>
  <c r="W21" i="24"/>
  <c r="W22" i="24"/>
  <c r="W23" i="24"/>
  <c r="W24" i="24"/>
  <c r="W25" i="24"/>
  <c r="W26" i="24"/>
  <c r="W27" i="24"/>
  <c r="W28" i="24"/>
  <c r="W29" i="24"/>
  <c r="W30" i="24"/>
  <c r="W31" i="24"/>
  <c r="W32" i="24"/>
  <c r="W33" i="24"/>
  <c r="W34" i="24"/>
  <c r="W35" i="24"/>
  <c r="W36" i="24"/>
  <c r="W37" i="24"/>
  <c r="W38" i="24"/>
  <c r="W39" i="24"/>
  <c r="W40" i="24"/>
  <c r="W41" i="24"/>
  <c r="W42" i="24"/>
  <c r="W43" i="24"/>
  <c r="W44" i="24"/>
  <c r="W45" i="24"/>
  <c r="W46" i="24"/>
  <c r="W47" i="24"/>
  <c r="W48" i="24"/>
  <c r="W49" i="24"/>
  <c r="W50" i="24"/>
  <c r="W51" i="24"/>
  <c r="W52" i="24"/>
  <c r="W53" i="24"/>
  <c r="W54" i="24"/>
  <c r="W55" i="24"/>
  <c r="W56" i="24"/>
  <c r="W57" i="24"/>
  <c r="W58" i="24"/>
  <c r="W59" i="24"/>
  <c r="W60" i="24"/>
  <c r="W61" i="24"/>
  <c r="W62" i="24"/>
  <c r="W63" i="24"/>
  <c r="W64" i="24"/>
  <c r="W65" i="24"/>
  <c r="W66" i="24"/>
  <c r="W67" i="24"/>
  <c r="W68" i="24"/>
  <c r="W69" i="24"/>
  <c r="W70" i="24"/>
  <c r="W71" i="24"/>
  <c r="W72" i="24"/>
  <c r="W73" i="24"/>
  <c r="W74" i="24"/>
  <c r="W75" i="24"/>
  <c r="W76" i="24"/>
  <c r="W77" i="24"/>
  <c r="W78" i="24"/>
  <c r="W79" i="24"/>
  <c r="W80" i="24"/>
  <c r="W81" i="24"/>
  <c r="W82" i="24"/>
  <c r="W83" i="24"/>
  <c r="W84" i="24"/>
  <c r="W85" i="24"/>
  <c r="W86" i="24"/>
  <c r="W87" i="24"/>
  <c r="W88" i="24"/>
  <c r="W89" i="24"/>
  <c r="W90" i="24"/>
  <c r="W91" i="24"/>
  <c r="W92" i="24"/>
  <c r="W93" i="24"/>
  <c r="W94" i="24"/>
  <c r="W95" i="24"/>
  <c r="W96" i="24"/>
  <c r="W97" i="24"/>
  <c r="W98" i="24"/>
  <c r="W99" i="24"/>
  <c r="W100" i="24"/>
  <c r="W101" i="24"/>
  <c r="W102" i="24"/>
  <c r="W103" i="24"/>
  <c r="W104" i="24"/>
  <c r="W105" i="24"/>
  <c r="W106" i="24"/>
  <c r="W107" i="24"/>
  <c r="W108" i="24"/>
  <c r="W109" i="24"/>
  <c r="W110" i="24"/>
  <c r="W111" i="24"/>
  <c r="W112" i="24"/>
  <c r="W113" i="24"/>
  <c r="W114" i="24"/>
  <c r="W115" i="24"/>
  <c r="W116" i="24"/>
  <c r="W117" i="24"/>
  <c r="W118" i="24"/>
  <c r="W119" i="24"/>
  <c r="W120" i="24"/>
  <c r="W121" i="24"/>
  <c r="W14" i="24"/>
  <c r="G123" i="24"/>
  <c r="H123" i="24"/>
  <c r="K123" i="24"/>
  <c r="L123" i="24"/>
  <c r="M123" i="24"/>
  <c r="V15" i="24"/>
  <c r="V16" i="24"/>
  <c r="V17" i="24"/>
  <c r="V18" i="24"/>
  <c r="V19" i="24"/>
  <c r="V20" i="24"/>
  <c r="V21" i="24"/>
  <c r="V22" i="24"/>
  <c r="V23" i="24"/>
  <c r="V24" i="24"/>
  <c r="V25" i="24"/>
  <c r="V26" i="24"/>
  <c r="V27" i="24"/>
  <c r="V28" i="24"/>
  <c r="V29" i="24"/>
  <c r="V30" i="24"/>
  <c r="V31" i="24"/>
  <c r="V32" i="24"/>
  <c r="V33" i="24"/>
  <c r="V34" i="24"/>
  <c r="V35" i="24"/>
  <c r="V36" i="24"/>
  <c r="V37" i="24"/>
  <c r="V38" i="24"/>
  <c r="V39" i="24"/>
  <c r="V40" i="24"/>
  <c r="V41" i="24"/>
  <c r="V42" i="24"/>
  <c r="V43" i="24"/>
  <c r="V44" i="24"/>
  <c r="V45" i="24"/>
  <c r="V46" i="24"/>
  <c r="V47" i="24"/>
  <c r="V48" i="24"/>
  <c r="V49" i="24"/>
  <c r="V50" i="24"/>
  <c r="V51" i="24"/>
  <c r="V52" i="24"/>
  <c r="V53" i="24"/>
  <c r="V54" i="24"/>
  <c r="V55" i="24"/>
  <c r="V56" i="24"/>
  <c r="V57" i="24"/>
  <c r="V58" i="24"/>
  <c r="V59" i="24"/>
  <c r="V60" i="24"/>
  <c r="V61" i="24"/>
  <c r="V62" i="24"/>
  <c r="V63" i="24"/>
  <c r="V64" i="24"/>
  <c r="V65" i="24"/>
  <c r="V66" i="24"/>
  <c r="V67" i="24"/>
  <c r="V68" i="24"/>
  <c r="V69" i="24"/>
  <c r="V70" i="24"/>
  <c r="V71" i="24"/>
  <c r="V72" i="24"/>
  <c r="V73" i="24"/>
  <c r="V74" i="24"/>
  <c r="V75" i="24"/>
  <c r="V76" i="24"/>
  <c r="V77" i="24"/>
  <c r="V78" i="24"/>
  <c r="V79" i="24"/>
  <c r="V80" i="24"/>
  <c r="V81" i="24"/>
  <c r="V82" i="24"/>
  <c r="V83" i="24"/>
  <c r="V84" i="24"/>
  <c r="V85" i="24"/>
  <c r="V86" i="24"/>
  <c r="V87" i="24"/>
  <c r="V88" i="24"/>
  <c r="V89" i="24"/>
  <c r="V90" i="24"/>
  <c r="V91" i="24"/>
  <c r="V92" i="24"/>
  <c r="V93" i="24"/>
  <c r="V94" i="24"/>
  <c r="V95" i="24"/>
  <c r="V96" i="24"/>
  <c r="V97" i="24"/>
  <c r="V98" i="24"/>
  <c r="V99" i="24"/>
  <c r="V100" i="24"/>
  <c r="V101" i="24"/>
  <c r="V102" i="24"/>
  <c r="V103" i="24"/>
  <c r="V104" i="24"/>
  <c r="V105" i="24"/>
  <c r="V106" i="24"/>
  <c r="V107" i="24"/>
  <c r="V108" i="24"/>
  <c r="V109" i="24"/>
  <c r="V110" i="24"/>
  <c r="V111" i="24"/>
  <c r="V112" i="24"/>
  <c r="V113" i="24"/>
  <c r="V114" i="24"/>
  <c r="V115" i="24"/>
  <c r="V116" i="24"/>
  <c r="V117" i="24"/>
  <c r="V118" i="24"/>
  <c r="V119" i="24"/>
  <c r="V120" i="24"/>
  <c r="V121" i="24"/>
  <c r="J15" i="24"/>
  <c r="J16" i="24"/>
  <c r="J17" i="24"/>
  <c r="J18" i="24"/>
  <c r="J19" i="24"/>
  <c r="J20" i="24"/>
  <c r="J21" i="24"/>
  <c r="J22" i="24"/>
  <c r="J23" i="24"/>
  <c r="J24" i="24"/>
  <c r="J25" i="24"/>
  <c r="J26" i="24"/>
  <c r="J27" i="24"/>
  <c r="J28" i="24"/>
  <c r="J29" i="24"/>
  <c r="J30" i="24"/>
  <c r="J31" i="24"/>
  <c r="J32" i="24"/>
  <c r="J33" i="24"/>
  <c r="J34" i="24"/>
  <c r="J35" i="24"/>
  <c r="J36" i="24"/>
  <c r="J37" i="24"/>
  <c r="J38" i="24"/>
  <c r="J39" i="24"/>
  <c r="J40" i="24"/>
  <c r="J41" i="24"/>
  <c r="J42" i="24"/>
  <c r="J43" i="24"/>
  <c r="J44" i="24"/>
  <c r="J45" i="24"/>
  <c r="J46" i="24"/>
  <c r="J47" i="24"/>
  <c r="J48" i="24"/>
  <c r="J49" i="24"/>
  <c r="J50" i="24"/>
  <c r="J51" i="24"/>
  <c r="J52" i="24"/>
  <c r="J53" i="24"/>
  <c r="J54" i="24"/>
  <c r="J55" i="24"/>
  <c r="J56" i="24"/>
  <c r="J57" i="24"/>
  <c r="J58" i="24"/>
  <c r="J59" i="24"/>
  <c r="J60" i="24"/>
  <c r="J61" i="24"/>
  <c r="J62" i="24"/>
  <c r="J63" i="24"/>
  <c r="J64" i="24"/>
  <c r="J65" i="24"/>
  <c r="J66" i="24"/>
  <c r="J67" i="24"/>
  <c r="J68" i="24"/>
  <c r="J69" i="24"/>
  <c r="J70" i="24"/>
  <c r="J71" i="24"/>
  <c r="J72" i="24"/>
  <c r="J73" i="24"/>
  <c r="J74" i="24"/>
  <c r="J75" i="24"/>
  <c r="J76" i="24"/>
  <c r="J77" i="24"/>
  <c r="J78" i="24"/>
  <c r="J79" i="24"/>
  <c r="J80" i="24"/>
  <c r="J81" i="24"/>
  <c r="J82" i="24"/>
  <c r="J83" i="24"/>
  <c r="J84" i="24"/>
  <c r="J85" i="24"/>
  <c r="J86" i="24"/>
  <c r="J87" i="24"/>
  <c r="J88" i="24"/>
  <c r="J89" i="24"/>
  <c r="J90" i="24"/>
  <c r="J91" i="24"/>
  <c r="J92" i="24"/>
  <c r="J93" i="24"/>
  <c r="J94" i="24"/>
  <c r="J95" i="24"/>
  <c r="J96" i="24"/>
  <c r="J97" i="24"/>
  <c r="J98" i="24"/>
  <c r="J99" i="24"/>
  <c r="J100" i="24"/>
  <c r="J101" i="24"/>
  <c r="J102" i="24"/>
  <c r="J103" i="24"/>
  <c r="J104" i="24"/>
  <c r="J105" i="24"/>
  <c r="J106" i="24"/>
  <c r="J107" i="24"/>
  <c r="J108" i="24"/>
  <c r="J109" i="24"/>
  <c r="J110" i="24"/>
  <c r="J111" i="24"/>
  <c r="J112" i="24"/>
  <c r="J113" i="24"/>
  <c r="J114" i="24"/>
  <c r="J115" i="24"/>
  <c r="J116" i="24"/>
  <c r="J117" i="24"/>
  <c r="J118" i="24"/>
  <c r="J119" i="24"/>
  <c r="J120" i="24"/>
  <c r="J121" i="24"/>
  <c r="J14" i="24"/>
  <c r="I19" i="24"/>
  <c r="I20" i="24"/>
  <c r="I21" i="24"/>
  <c r="I22" i="24"/>
  <c r="I23" i="24"/>
  <c r="I24" i="24"/>
  <c r="I25" i="24"/>
  <c r="I26" i="24"/>
  <c r="I27" i="24"/>
  <c r="I28" i="24"/>
  <c r="I29" i="24"/>
  <c r="I30" i="24"/>
  <c r="I31" i="24"/>
  <c r="I32" i="24"/>
  <c r="I33" i="24"/>
  <c r="I34" i="24"/>
  <c r="I35" i="24"/>
  <c r="I36" i="24"/>
  <c r="I37" i="24"/>
  <c r="I38" i="24"/>
  <c r="I39" i="24"/>
  <c r="I40" i="24"/>
  <c r="I41" i="24"/>
  <c r="I42" i="24"/>
  <c r="I43" i="24"/>
  <c r="I44" i="24"/>
  <c r="I45" i="24"/>
  <c r="I46" i="24"/>
  <c r="I47" i="24"/>
  <c r="I48" i="24"/>
  <c r="I49" i="24"/>
  <c r="I50" i="24"/>
  <c r="I51" i="24"/>
  <c r="I52" i="24"/>
  <c r="I53" i="24"/>
  <c r="I54" i="24"/>
  <c r="I55" i="24"/>
  <c r="I56" i="24"/>
  <c r="I57" i="24"/>
  <c r="I58" i="24"/>
  <c r="I59" i="24"/>
  <c r="I60" i="24"/>
  <c r="I61" i="24"/>
  <c r="I62" i="24"/>
  <c r="I63" i="24"/>
  <c r="I64" i="24"/>
  <c r="I65" i="24"/>
  <c r="I66" i="24"/>
  <c r="I67" i="24"/>
  <c r="I68" i="24"/>
  <c r="I69" i="24"/>
  <c r="I70" i="24"/>
  <c r="I71" i="24"/>
  <c r="I72" i="24"/>
  <c r="I73" i="24"/>
  <c r="I74" i="24"/>
  <c r="I75" i="24"/>
  <c r="I76" i="24"/>
  <c r="I77" i="24"/>
  <c r="I78" i="24"/>
  <c r="I79" i="24"/>
  <c r="I80" i="24"/>
  <c r="I81" i="24"/>
  <c r="I82" i="24"/>
  <c r="I83" i="24"/>
  <c r="I84" i="24"/>
  <c r="I85" i="24"/>
  <c r="I86" i="24"/>
  <c r="I87" i="24"/>
  <c r="I88" i="24"/>
  <c r="I89" i="24"/>
  <c r="I90" i="24"/>
  <c r="I91" i="24"/>
  <c r="I92" i="24"/>
  <c r="I93" i="24"/>
  <c r="I94" i="24"/>
  <c r="I95" i="24"/>
  <c r="I96" i="24"/>
  <c r="I97" i="24"/>
  <c r="I98" i="24"/>
  <c r="I99" i="24"/>
  <c r="I100" i="24"/>
  <c r="I101" i="24"/>
  <c r="I102" i="24"/>
  <c r="I103" i="24"/>
  <c r="I104" i="24"/>
  <c r="I105" i="24"/>
  <c r="I106" i="24"/>
  <c r="I107" i="24"/>
  <c r="I108" i="24"/>
  <c r="I109" i="24"/>
  <c r="I110" i="24"/>
  <c r="I111" i="24"/>
  <c r="I112" i="24"/>
  <c r="I113" i="24"/>
  <c r="I114" i="24"/>
  <c r="I115" i="24"/>
  <c r="I116" i="24"/>
  <c r="I117" i="24"/>
  <c r="I118" i="24"/>
  <c r="I119" i="24"/>
  <c r="I120" i="24"/>
  <c r="I121" i="24"/>
  <c r="I15" i="24"/>
  <c r="I16" i="24"/>
  <c r="I17" i="24"/>
  <c r="I18" i="24"/>
  <c r="I14" i="24"/>
  <c r="F15" i="24"/>
  <c r="F16" i="24"/>
  <c r="U16" i="24" s="1"/>
  <c r="F17" i="24"/>
  <c r="U17" i="24" s="1"/>
  <c r="F18" i="24"/>
  <c r="F19" i="24"/>
  <c r="F20" i="24"/>
  <c r="U20" i="24" s="1"/>
  <c r="F21" i="24"/>
  <c r="U21" i="24" s="1"/>
  <c r="F22" i="24"/>
  <c r="F23" i="24"/>
  <c r="F24" i="24"/>
  <c r="U24" i="24" s="1"/>
  <c r="F25" i="24"/>
  <c r="U25" i="24" s="1"/>
  <c r="F26" i="24"/>
  <c r="F27" i="24"/>
  <c r="F28" i="24"/>
  <c r="U28" i="24" s="1"/>
  <c r="F29" i="24"/>
  <c r="U29" i="24" s="1"/>
  <c r="F30" i="24"/>
  <c r="U30" i="24" s="1"/>
  <c r="F31" i="24"/>
  <c r="F32" i="24"/>
  <c r="U32" i="24" s="1"/>
  <c r="F33" i="24"/>
  <c r="U33" i="24" s="1"/>
  <c r="F34" i="24"/>
  <c r="U34" i="24" s="1"/>
  <c r="F35" i="24"/>
  <c r="F36" i="24"/>
  <c r="U36" i="24" s="1"/>
  <c r="F37" i="24"/>
  <c r="U37" i="24" s="1"/>
  <c r="F38" i="24"/>
  <c r="U38" i="24" s="1"/>
  <c r="F39" i="24"/>
  <c r="F40" i="24"/>
  <c r="U40" i="24" s="1"/>
  <c r="F41" i="24"/>
  <c r="U41" i="24" s="1"/>
  <c r="F42" i="24"/>
  <c r="U42" i="24" s="1"/>
  <c r="F43" i="24"/>
  <c r="F44" i="24"/>
  <c r="U44" i="24" s="1"/>
  <c r="F45" i="24"/>
  <c r="U45" i="24" s="1"/>
  <c r="F46" i="24"/>
  <c r="U46" i="24" s="1"/>
  <c r="F47" i="24"/>
  <c r="F48" i="24"/>
  <c r="U48" i="24" s="1"/>
  <c r="F49" i="24"/>
  <c r="U49" i="24" s="1"/>
  <c r="F50" i="24"/>
  <c r="U50" i="24" s="1"/>
  <c r="F51" i="24"/>
  <c r="F52" i="24"/>
  <c r="U52" i="24" s="1"/>
  <c r="F53" i="24"/>
  <c r="U53" i="24" s="1"/>
  <c r="F54" i="24"/>
  <c r="U54" i="24" s="1"/>
  <c r="F55" i="24"/>
  <c r="F56" i="24"/>
  <c r="U56" i="24" s="1"/>
  <c r="F57" i="24"/>
  <c r="F58" i="24"/>
  <c r="U58" i="24" s="1"/>
  <c r="F59" i="24"/>
  <c r="F60" i="24"/>
  <c r="U60" i="24" s="1"/>
  <c r="F61" i="24"/>
  <c r="U61" i="24" s="1"/>
  <c r="F62" i="24"/>
  <c r="U62" i="24" s="1"/>
  <c r="F63" i="24"/>
  <c r="F64" i="24"/>
  <c r="U64" i="24" s="1"/>
  <c r="F65" i="24"/>
  <c r="U65" i="24" s="1"/>
  <c r="F66" i="24"/>
  <c r="U66" i="24" s="1"/>
  <c r="F67" i="24"/>
  <c r="F68" i="24"/>
  <c r="U68" i="24" s="1"/>
  <c r="F69" i="24"/>
  <c r="U69" i="24" s="1"/>
  <c r="F70" i="24"/>
  <c r="U70" i="24" s="1"/>
  <c r="F71" i="24"/>
  <c r="F72" i="24"/>
  <c r="U72" i="24" s="1"/>
  <c r="F73" i="24"/>
  <c r="U73" i="24" s="1"/>
  <c r="F74" i="24"/>
  <c r="U74" i="24" s="1"/>
  <c r="F75" i="24"/>
  <c r="F76" i="24"/>
  <c r="U76" i="24" s="1"/>
  <c r="F77" i="24"/>
  <c r="U77" i="24" s="1"/>
  <c r="F78" i="24"/>
  <c r="U78" i="24" s="1"/>
  <c r="F79" i="24"/>
  <c r="F80" i="24"/>
  <c r="U80" i="24" s="1"/>
  <c r="F81" i="24"/>
  <c r="U81" i="24" s="1"/>
  <c r="F82" i="24"/>
  <c r="U82" i="24" s="1"/>
  <c r="F83" i="24"/>
  <c r="F84" i="24"/>
  <c r="U84" i="24" s="1"/>
  <c r="F85" i="24"/>
  <c r="U85" i="24" s="1"/>
  <c r="F86" i="24"/>
  <c r="U86" i="24" s="1"/>
  <c r="F87" i="24"/>
  <c r="F88" i="24"/>
  <c r="U88" i="24" s="1"/>
  <c r="F89" i="24"/>
  <c r="U89" i="24" s="1"/>
  <c r="F90" i="24"/>
  <c r="U90" i="24" s="1"/>
  <c r="F91" i="24"/>
  <c r="F92" i="24"/>
  <c r="U92" i="24" s="1"/>
  <c r="F93" i="24"/>
  <c r="U93" i="24" s="1"/>
  <c r="F94" i="24"/>
  <c r="U94" i="24" s="1"/>
  <c r="F95" i="24"/>
  <c r="F96" i="24"/>
  <c r="U96" i="24" s="1"/>
  <c r="F97" i="24"/>
  <c r="U97" i="24" s="1"/>
  <c r="F98" i="24"/>
  <c r="U98" i="24" s="1"/>
  <c r="F99" i="24"/>
  <c r="F100" i="24"/>
  <c r="U100" i="24" s="1"/>
  <c r="F101" i="24"/>
  <c r="U101" i="24" s="1"/>
  <c r="F102" i="24"/>
  <c r="U102" i="24" s="1"/>
  <c r="F103" i="24"/>
  <c r="F104" i="24"/>
  <c r="U104" i="24" s="1"/>
  <c r="F105" i="24"/>
  <c r="U105" i="24" s="1"/>
  <c r="F106" i="24"/>
  <c r="U106" i="24" s="1"/>
  <c r="F107" i="24"/>
  <c r="F108" i="24"/>
  <c r="U108" i="24" s="1"/>
  <c r="F109" i="24"/>
  <c r="U109" i="24" s="1"/>
  <c r="F110" i="24"/>
  <c r="U110" i="24" s="1"/>
  <c r="F111" i="24"/>
  <c r="F112" i="24"/>
  <c r="U112" i="24" s="1"/>
  <c r="F113" i="24"/>
  <c r="U113" i="24" s="1"/>
  <c r="F114" i="24"/>
  <c r="U114" i="24" s="1"/>
  <c r="F115" i="24"/>
  <c r="F116" i="24"/>
  <c r="U116" i="24" s="1"/>
  <c r="F117" i="24"/>
  <c r="U117" i="24" s="1"/>
  <c r="F118" i="24"/>
  <c r="U118" i="24" s="1"/>
  <c r="F119" i="24"/>
  <c r="F120" i="24"/>
  <c r="U120" i="24" s="1"/>
  <c r="F121" i="24"/>
  <c r="U121" i="24" s="1"/>
  <c r="F14" i="24"/>
  <c r="U14" i="24" s="1"/>
  <c r="G125" i="24"/>
  <c r="H125" i="24"/>
  <c r="K125" i="24"/>
  <c r="L125" i="24"/>
  <c r="M125" i="24"/>
  <c r="U57" i="24" l="1"/>
  <c r="N123" i="24"/>
  <c r="U111" i="24"/>
  <c r="U99" i="24"/>
  <c r="U87" i="24"/>
  <c r="U75" i="24"/>
  <c r="U63" i="24"/>
  <c r="U51" i="24"/>
  <c r="U43" i="24"/>
  <c r="U31" i="24"/>
  <c r="U15" i="24"/>
  <c r="U115" i="24"/>
  <c r="U103" i="24"/>
  <c r="U91" i="24"/>
  <c r="U79" i="24"/>
  <c r="U67" i="24"/>
  <c r="U55" i="24"/>
  <c r="U39" i="24"/>
  <c r="U23" i="24"/>
  <c r="U26" i="24"/>
  <c r="U22" i="24"/>
  <c r="U18" i="24"/>
  <c r="U119" i="24"/>
  <c r="U107" i="24"/>
  <c r="U95" i="24"/>
  <c r="U83" i="24"/>
  <c r="U71" i="24"/>
  <c r="U59" i="24"/>
  <c r="U47" i="24"/>
  <c r="U35" i="24"/>
  <c r="U27" i="24"/>
  <c r="U19" i="24"/>
  <c r="O123" i="24"/>
  <c r="J123" i="24"/>
  <c r="I123" i="24"/>
  <c r="F123" i="24"/>
  <c r="V14" i="24"/>
  <c r="V123" i="24" s="1"/>
  <c r="Q123" i="24"/>
  <c r="P123" i="24"/>
  <c r="R123" i="24"/>
  <c r="U123" i="24" l="1"/>
  <c r="D52" i="24"/>
  <c r="S52" i="24" s="1"/>
  <c r="D53" i="24"/>
  <c r="S53" i="24" s="1"/>
  <c r="D54" i="24"/>
  <c r="S54" i="24" s="1"/>
  <c r="D55" i="24"/>
  <c r="S55" i="24" s="1"/>
  <c r="D56" i="24"/>
  <c r="S56" i="24" s="1"/>
  <c r="D57" i="24"/>
  <c r="S57" i="24" s="1"/>
  <c r="D58" i="24"/>
  <c r="S58" i="24" s="1"/>
  <c r="D59" i="24"/>
  <c r="S59" i="24" s="1"/>
  <c r="D60" i="24"/>
  <c r="S60" i="24" s="1"/>
  <c r="D61" i="24"/>
  <c r="S61" i="24" s="1"/>
  <c r="D62" i="24"/>
  <c r="S62" i="24" s="1"/>
  <c r="D63" i="24"/>
  <c r="S63" i="24" s="1"/>
  <c r="D64" i="24"/>
  <c r="S64" i="24" s="1"/>
  <c r="D65" i="24"/>
  <c r="S65" i="24" s="1"/>
  <c r="D66" i="24"/>
  <c r="S66" i="24" s="1"/>
  <c r="D67" i="24"/>
  <c r="S67" i="24" s="1"/>
  <c r="D68" i="24"/>
  <c r="S68" i="24" s="1"/>
  <c r="D69" i="24"/>
  <c r="S69" i="24" s="1"/>
  <c r="D70" i="24"/>
  <c r="S70" i="24" s="1"/>
  <c r="D71" i="24"/>
  <c r="S71" i="24" s="1"/>
  <c r="D72" i="24"/>
  <c r="S72" i="24" s="1"/>
  <c r="D73" i="24"/>
  <c r="S73" i="24" s="1"/>
  <c r="D74" i="24"/>
  <c r="S74" i="24" s="1"/>
  <c r="D75" i="24"/>
  <c r="S75" i="24" s="1"/>
  <c r="D76" i="24"/>
  <c r="S76" i="24" s="1"/>
  <c r="D77" i="24"/>
  <c r="S77" i="24" s="1"/>
  <c r="D78" i="24"/>
  <c r="S78" i="24" s="1"/>
  <c r="D79" i="24"/>
  <c r="S79" i="24" s="1"/>
  <c r="D80" i="24"/>
  <c r="S80" i="24" s="1"/>
  <c r="D81" i="24"/>
  <c r="S81" i="24" s="1"/>
  <c r="D82" i="24"/>
  <c r="S82" i="24" s="1"/>
  <c r="D83" i="24"/>
  <c r="S83" i="24" s="1"/>
  <c r="D84" i="24"/>
  <c r="S84" i="24" s="1"/>
  <c r="D85" i="24"/>
  <c r="S85" i="24" s="1"/>
  <c r="D86" i="24"/>
  <c r="S86" i="24" s="1"/>
  <c r="D87" i="24"/>
  <c r="S87" i="24" s="1"/>
  <c r="D88" i="24"/>
  <c r="S88" i="24" s="1"/>
  <c r="D89" i="24"/>
  <c r="S89" i="24" s="1"/>
  <c r="D90" i="24"/>
  <c r="S90" i="24" s="1"/>
  <c r="D91" i="24"/>
  <c r="S91" i="24" s="1"/>
  <c r="D92" i="24"/>
  <c r="S92" i="24" s="1"/>
  <c r="D93" i="24"/>
  <c r="S93" i="24" s="1"/>
  <c r="D94" i="24"/>
  <c r="S94" i="24" s="1"/>
  <c r="D95" i="24"/>
  <c r="S95" i="24" s="1"/>
  <c r="D96" i="24"/>
  <c r="S96" i="24" s="1"/>
  <c r="D97" i="24"/>
  <c r="S97" i="24" s="1"/>
  <c r="D98" i="24"/>
  <c r="S98" i="24" s="1"/>
  <c r="D99" i="24"/>
  <c r="S99" i="24" s="1"/>
  <c r="D100" i="24"/>
  <c r="S100" i="24" s="1"/>
  <c r="D101" i="24"/>
  <c r="S101" i="24" s="1"/>
  <c r="D102" i="24"/>
  <c r="S102" i="24" s="1"/>
  <c r="D103" i="24"/>
  <c r="S103" i="24" s="1"/>
  <c r="D104" i="24"/>
  <c r="S104" i="24" s="1"/>
  <c r="D105" i="24"/>
  <c r="S105" i="24" s="1"/>
  <c r="D106" i="24"/>
  <c r="S106" i="24" s="1"/>
  <c r="D107" i="24"/>
  <c r="S107" i="24" s="1"/>
  <c r="D108" i="24"/>
  <c r="S108" i="24" s="1"/>
  <c r="D109" i="24"/>
  <c r="S109" i="24" s="1"/>
  <c r="D110" i="24"/>
  <c r="S110" i="24" s="1"/>
  <c r="D111" i="24"/>
  <c r="S111" i="24" s="1"/>
  <c r="D112" i="24"/>
  <c r="S112" i="24" s="1"/>
  <c r="D113" i="24"/>
  <c r="S113" i="24" s="1"/>
  <c r="D114" i="24"/>
  <c r="S114" i="24" s="1"/>
  <c r="D115" i="24"/>
  <c r="S115" i="24" s="1"/>
  <c r="D116" i="24"/>
  <c r="S116" i="24" s="1"/>
  <c r="D117" i="24"/>
  <c r="S117" i="24" s="1"/>
  <c r="D118" i="24"/>
  <c r="S118" i="24" s="1"/>
  <c r="D119" i="24"/>
  <c r="S119" i="24" s="1"/>
  <c r="D120" i="24"/>
  <c r="S120" i="24" s="1"/>
  <c r="D121" i="24"/>
  <c r="S121" i="24" s="1"/>
  <c r="D47" i="24"/>
  <c r="S47" i="24" s="1"/>
  <c r="D48" i="24"/>
  <c r="S48" i="24" s="1"/>
  <c r="D49" i="24"/>
  <c r="S49" i="24" s="1"/>
  <c r="D50" i="24"/>
  <c r="S50" i="24" s="1"/>
  <c r="D51" i="24"/>
  <c r="S51" i="24" s="1"/>
  <c r="E15" i="24"/>
  <c r="T15" i="24" s="1"/>
  <c r="E16" i="24"/>
  <c r="T16" i="24" s="1"/>
  <c r="E17" i="24"/>
  <c r="T17" i="24" s="1"/>
  <c r="E18" i="24"/>
  <c r="T18" i="24" s="1"/>
  <c r="E19" i="24"/>
  <c r="T19" i="24" s="1"/>
  <c r="E20" i="24"/>
  <c r="T20" i="24" s="1"/>
  <c r="E21" i="24"/>
  <c r="T21" i="24" s="1"/>
  <c r="E22" i="24"/>
  <c r="T22" i="24" s="1"/>
  <c r="E23" i="24"/>
  <c r="T23" i="24" s="1"/>
  <c r="E24" i="24"/>
  <c r="T24" i="24" s="1"/>
  <c r="E25" i="24"/>
  <c r="T25" i="24" s="1"/>
  <c r="E26" i="24"/>
  <c r="T26" i="24" s="1"/>
  <c r="E27" i="24"/>
  <c r="T27" i="24" s="1"/>
  <c r="E28" i="24"/>
  <c r="T28" i="24" s="1"/>
  <c r="E29" i="24"/>
  <c r="T29" i="24" s="1"/>
  <c r="E30" i="24"/>
  <c r="T30" i="24" s="1"/>
  <c r="E31" i="24"/>
  <c r="T31" i="24" s="1"/>
  <c r="E32" i="24"/>
  <c r="T32" i="24" s="1"/>
  <c r="E33" i="24"/>
  <c r="T33" i="24" s="1"/>
  <c r="E34" i="24"/>
  <c r="T34" i="24" s="1"/>
  <c r="E35" i="24"/>
  <c r="T35" i="24" s="1"/>
  <c r="E36" i="24"/>
  <c r="T36" i="24" s="1"/>
  <c r="E37" i="24"/>
  <c r="T37" i="24" s="1"/>
  <c r="E38" i="24"/>
  <c r="T38" i="24" s="1"/>
  <c r="E39" i="24"/>
  <c r="T39" i="24" s="1"/>
  <c r="E40" i="24"/>
  <c r="T40" i="24" s="1"/>
  <c r="E41" i="24"/>
  <c r="T41" i="24" s="1"/>
  <c r="E42" i="24"/>
  <c r="T42" i="24" s="1"/>
  <c r="E43" i="24"/>
  <c r="T43" i="24" s="1"/>
  <c r="E44" i="24"/>
  <c r="T44" i="24" s="1"/>
  <c r="E45" i="24"/>
  <c r="T45" i="24" s="1"/>
  <c r="E46" i="24"/>
  <c r="T46" i="24" s="1"/>
  <c r="E47" i="24"/>
  <c r="T47" i="24" s="1"/>
  <c r="E48" i="24"/>
  <c r="T48" i="24" s="1"/>
  <c r="E49" i="24"/>
  <c r="T49" i="24" s="1"/>
  <c r="E50" i="24"/>
  <c r="T50" i="24" s="1"/>
  <c r="E51" i="24"/>
  <c r="T51" i="24" s="1"/>
  <c r="E52" i="24"/>
  <c r="T52" i="24" s="1"/>
  <c r="E53" i="24"/>
  <c r="T53" i="24" s="1"/>
  <c r="E54" i="24"/>
  <c r="T54" i="24" s="1"/>
  <c r="E55" i="24"/>
  <c r="T55" i="24" s="1"/>
  <c r="E56" i="24"/>
  <c r="T56" i="24" s="1"/>
  <c r="E57" i="24"/>
  <c r="T57" i="24" s="1"/>
  <c r="E58" i="24"/>
  <c r="T58" i="24" s="1"/>
  <c r="E59" i="24"/>
  <c r="T59" i="24" s="1"/>
  <c r="E60" i="24"/>
  <c r="T60" i="24" s="1"/>
  <c r="E61" i="24"/>
  <c r="T61" i="24" s="1"/>
  <c r="E62" i="24"/>
  <c r="T62" i="24" s="1"/>
  <c r="E63" i="24"/>
  <c r="T63" i="24" s="1"/>
  <c r="E64" i="24"/>
  <c r="T64" i="24" s="1"/>
  <c r="E65" i="24"/>
  <c r="T65" i="24" s="1"/>
  <c r="E66" i="24"/>
  <c r="T66" i="24" s="1"/>
  <c r="E67" i="24"/>
  <c r="T67" i="24" s="1"/>
  <c r="E68" i="24"/>
  <c r="T68" i="24" s="1"/>
  <c r="E69" i="24"/>
  <c r="T69" i="24" s="1"/>
  <c r="E70" i="24"/>
  <c r="T70" i="24" s="1"/>
  <c r="E71" i="24"/>
  <c r="T71" i="24" s="1"/>
  <c r="E72" i="24"/>
  <c r="T72" i="24" s="1"/>
  <c r="E73" i="24"/>
  <c r="T73" i="24" s="1"/>
  <c r="E74" i="24"/>
  <c r="T74" i="24" s="1"/>
  <c r="E75" i="24"/>
  <c r="T75" i="24" s="1"/>
  <c r="E76" i="24"/>
  <c r="T76" i="24" s="1"/>
  <c r="E77" i="24"/>
  <c r="T77" i="24" s="1"/>
  <c r="E78" i="24"/>
  <c r="T78" i="24" s="1"/>
  <c r="E79" i="24"/>
  <c r="T79" i="24" s="1"/>
  <c r="E80" i="24"/>
  <c r="T80" i="24" s="1"/>
  <c r="E81" i="24"/>
  <c r="T81" i="24" s="1"/>
  <c r="E82" i="24"/>
  <c r="T82" i="24" s="1"/>
  <c r="E83" i="24"/>
  <c r="T83" i="24" s="1"/>
  <c r="E84" i="24"/>
  <c r="T84" i="24" s="1"/>
  <c r="E85" i="24"/>
  <c r="T85" i="24" s="1"/>
  <c r="E86" i="24"/>
  <c r="T86" i="24" s="1"/>
  <c r="E87" i="24"/>
  <c r="T87" i="24" s="1"/>
  <c r="E88" i="24"/>
  <c r="T88" i="24" s="1"/>
  <c r="E89" i="24"/>
  <c r="T89" i="24" s="1"/>
  <c r="E90" i="24"/>
  <c r="T90" i="24" s="1"/>
  <c r="E91" i="24"/>
  <c r="T91" i="24" s="1"/>
  <c r="E92" i="24"/>
  <c r="T92" i="24" s="1"/>
  <c r="E93" i="24"/>
  <c r="T93" i="24" s="1"/>
  <c r="E94" i="24"/>
  <c r="T94" i="24" s="1"/>
  <c r="E95" i="24"/>
  <c r="T95" i="24" s="1"/>
  <c r="E96" i="24"/>
  <c r="T96" i="24" s="1"/>
  <c r="E97" i="24"/>
  <c r="T97" i="24" s="1"/>
  <c r="E98" i="24"/>
  <c r="T98" i="24" s="1"/>
  <c r="E99" i="24"/>
  <c r="T99" i="24" s="1"/>
  <c r="E100" i="24"/>
  <c r="T100" i="24" s="1"/>
  <c r="E101" i="24"/>
  <c r="T101" i="24" s="1"/>
  <c r="E102" i="24"/>
  <c r="T102" i="24" s="1"/>
  <c r="E103" i="24"/>
  <c r="T103" i="24" s="1"/>
  <c r="E104" i="24"/>
  <c r="T104" i="24" s="1"/>
  <c r="E105" i="24"/>
  <c r="T105" i="24" s="1"/>
  <c r="E106" i="24"/>
  <c r="T106" i="24" s="1"/>
  <c r="E107" i="24"/>
  <c r="T107" i="24" s="1"/>
  <c r="E108" i="24"/>
  <c r="T108" i="24" s="1"/>
  <c r="E109" i="24"/>
  <c r="T109" i="24" s="1"/>
  <c r="E110" i="24"/>
  <c r="T110" i="24" s="1"/>
  <c r="E111" i="24"/>
  <c r="T111" i="24" s="1"/>
  <c r="E112" i="24"/>
  <c r="T112" i="24" s="1"/>
  <c r="E113" i="24"/>
  <c r="T113" i="24" s="1"/>
  <c r="E114" i="24"/>
  <c r="T114" i="24" s="1"/>
  <c r="E115" i="24"/>
  <c r="T115" i="24" s="1"/>
  <c r="E116" i="24"/>
  <c r="T116" i="24" s="1"/>
  <c r="E117" i="24"/>
  <c r="T117" i="24" s="1"/>
  <c r="E118" i="24"/>
  <c r="T118" i="24" s="1"/>
  <c r="E119" i="24"/>
  <c r="T119" i="24" s="1"/>
  <c r="E120" i="24"/>
  <c r="T120" i="24" s="1"/>
  <c r="E121" i="24"/>
  <c r="T121" i="24" s="1"/>
  <c r="E14" i="24"/>
  <c r="D24" i="24"/>
  <c r="S24" i="24" s="1"/>
  <c r="D25" i="24"/>
  <c r="S25" i="24" s="1"/>
  <c r="D26" i="24"/>
  <c r="S26" i="24" s="1"/>
  <c r="D27" i="24"/>
  <c r="S27" i="24" s="1"/>
  <c r="D28" i="24"/>
  <c r="S28" i="24" s="1"/>
  <c r="D29" i="24"/>
  <c r="S29" i="24" s="1"/>
  <c r="D30" i="24"/>
  <c r="S30" i="24" s="1"/>
  <c r="D31" i="24"/>
  <c r="S31" i="24" s="1"/>
  <c r="D32" i="24"/>
  <c r="S32" i="24" s="1"/>
  <c r="D33" i="24"/>
  <c r="S33" i="24" s="1"/>
  <c r="D34" i="24"/>
  <c r="S34" i="24" s="1"/>
  <c r="D35" i="24"/>
  <c r="S35" i="24" s="1"/>
  <c r="D36" i="24"/>
  <c r="S36" i="24" s="1"/>
  <c r="D37" i="24"/>
  <c r="S37" i="24" s="1"/>
  <c r="D38" i="24"/>
  <c r="S38" i="24" s="1"/>
  <c r="D39" i="24"/>
  <c r="S39" i="24" s="1"/>
  <c r="D40" i="24"/>
  <c r="S40" i="24" s="1"/>
  <c r="D41" i="24"/>
  <c r="S41" i="24" s="1"/>
  <c r="D42" i="24"/>
  <c r="S42" i="24" s="1"/>
  <c r="D43" i="24"/>
  <c r="S43" i="24" s="1"/>
  <c r="D44" i="24"/>
  <c r="S44" i="24" s="1"/>
  <c r="D45" i="24"/>
  <c r="S45" i="24" s="1"/>
  <c r="D46" i="24"/>
  <c r="S46" i="24" s="1"/>
  <c r="D17" i="24"/>
  <c r="S17" i="24" s="1"/>
  <c r="D18" i="24"/>
  <c r="S18" i="24" s="1"/>
  <c r="D19" i="24"/>
  <c r="S19" i="24" s="1"/>
  <c r="X19" i="24" s="1"/>
  <c r="D20" i="24"/>
  <c r="S20" i="24" s="1"/>
  <c r="D21" i="24"/>
  <c r="S21" i="24" s="1"/>
  <c r="D22" i="24"/>
  <c r="S22" i="24" s="1"/>
  <c r="D23" i="24"/>
  <c r="S23" i="24" s="1"/>
  <c r="D15" i="24"/>
  <c r="S15" i="24" s="1"/>
  <c r="D16" i="24"/>
  <c r="S16" i="24" s="1"/>
  <c r="D14" i="24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01" i="19"/>
  <c r="E80" i="19"/>
  <c r="E81" i="19"/>
  <c r="E82" i="19"/>
  <c r="E84" i="19"/>
  <c r="E85" i="19"/>
  <c r="E86" i="19"/>
  <c r="E87" i="19"/>
  <c r="E88" i="19"/>
  <c r="E89" i="19"/>
  <c r="E90" i="19"/>
  <c r="E92" i="19"/>
  <c r="E93" i="19"/>
  <c r="E94" i="19"/>
  <c r="E96" i="19"/>
  <c r="E97" i="19"/>
  <c r="E98" i="19"/>
  <c r="E99" i="19"/>
  <c r="E100" i="19"/>
  <c r="E65" i="19"/>
  <c r="E66" i="19"/>
  <c r="E68" i="19"/>
  <c r="E69" i="19"/>
  <c r="E70" i="19"/>
  <c r="E72" i="19"/>
  <c r="E76" i="19"/>
  <c r="E77" i="19"/>
  <c r="E78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7" i="19"/>
  <c r="E71" i="19"/>
  <c r="E73" i="19"/>
  <c r="E74" i="19"/>
  <c r="E75" i="19"/>
  <c r="E79" i="19"/>
  <c r="E83" i="19"/>
  <c r="E91" i="19"/>
  <c r="E95" i="19"/>
  <c r="N72" i="28"/>
  <c r="F69" i="19" s="1"/>
  <c r="N73" i="28"/>
  <c r="F70" i="19" s="1"/>
  <c r="N74" i="28"/>
  <c r="F71" i="19" s="1"/>
  <c r="N75" i="28"/>
  <c r="F72" i="19" s="1"/>
  <c r="N76" i="28"/>
  <c r="F73" i="19" s="1"/>
  <c r="N77" i="28"/>
  <c r="F74" i="19" s="1"/>
  <c r="N78" i="28"/>
  <c r="F75" i="19" s="1"/>
  <c r="N79" i="28"/>
  <c r="F76" i="19" s="1"/>
  <c r="N80" i="28"/>
  <c r="F77" i="19" s="1"/>
  <c r="N81" i="28"/>
  <c r="F78" i="19" s="1"/>
  <c r="N82" i="28"/>
  <c r="F79" i="19" s="1"/>
  <c r="N83" i="28"/>
  <c r="F80" i="19" s="1"/>
  <c r="N84" i="28"/>
  <c r="F81" i="19" s="1"/>
  <c r="N85" i="28"/>
  <c r="F82" i="19" s="1"/>
  <c r="N86" i="28"/>
  <c r="F83" i="19" s="1"/>
  <c r="N87" i="28"/>
  <c r="F84" i="19" s="1"/>
  <c r="N88" i="28"/>
  <c r="F85" i="19" s="1"/>
  <c r="N89" i="28"/>
  <c r="F86" i="19" s="1"/>
  <c r="N90" i="28"/>
  <c r="F87" i="19" s="1"/>
  <c r="N91" i="28"/>
  <c r="F88" i="19" s="1"/>
  <c r="N92" i="28"/>
  <c r="F89" i="19" s="1"/>
  <c r="N93" i="28"/>
  <c r="F90" i="19" s="1"/>
  <c r="N94" i="28"/>
  <c r="F91" i="19" s="1"/>
  <c r="N95" i="28"/>
  <c r="F92" i="19" s="1"/>
  <c r="N96" i="28"/>
  <c r="F93" i="19" s="1"/>
  <c r="N97" i="28"/>
  <c r="F94" i="19" s="1"/>
  <c r="N98" i="28"/>
  <c r="F95" i="19" s="1"/>
  <c r="N99" i="28"/>
  <c r="F96" i="19" s="1"/>
  <c r="N100" i="28"/>
  <c r="F97" i="19" s="1"/>
  <c r="N101" i="28"/>
  <c r="F98" i="19" s="1"/>
  <c r="N102" i="28"/>
  <c r="F99" i="19" s="1"/>
  <c r="N103" i="28"/>
  <c r="F100" i="19" s="1"/>
  <c r="N104" i="28"/>
  <c r="F101" i="19" s="1"/>
  <c r="N105" i="28"/>
  <c r="F102" i="19" s="1"/>
  <c r="N106" i="28"/>
  <c r="F103" i="19" s="1"/>
  <c r="N107" i="28"/>
  <c r="F104" i="19" s="1"/>
  <c r="N108" i="28"/>
  <c r="F105" i="19" s="1"/>
  <c r="N109" i="28"/>
  <c r="F106" i="19" s="1"/>
  <c r="N110" i="28"/>
  <c r="F107" i="19" s="1"/>
  <c r="N111" i="28"/>
  <c r="F108" i="19" s="1"/>
  <c r="N112" i="28"/>
  <c r="F109" i="19" s="1"/>
  <c r="N113" i="28"/>
  <c r="F110" i="19" s="1"/>
  <c r="N114" i="28"/>
  <c r="F111" i="19" s="1"/>
  <c r="N115" i="28"/>
  <c r="F112" i="19" s="1"/>
  <c r="N116" i="28"/>
  <c r="F113" i="19" s="1"/>
  <c r="N117" i="28"/>
  <c r="F114" i="19" s="1"/>
  <c r="N118" i="28"/>
  <c r="F115" i="19" s="1"/>
  <c r="N12" i="28"/>
  <c r="F9" i="19" s="1"/>
  <c r="N13" i="28"/>
  <c r="F10" i="19" s="1"/>
  <c r="N14" i="28"/>
  <c r="F11" i="19" s="1"/>
  <c r="N15" i="28"/>
  <c r="F12" i="19" s="1"/>
  <c r="N16" i="28"/>
  <c r="F13" i="19" s="1"/>
  <c r="N17" i="28"/>
  <c r="F14" i="19" s="1"/>
  <c r="N18" i="28"/>
  <c r="F15" i="19" s="1"/>
  <c r="N19" i="28"/>
  <c r="F16" i="19" s="1"/>
  <c r="N20" i="28"/>
  <c r="F17" i="19" s="1"/>
  <c r="N21" i="28"/>
  <c r="F18" i="19" s="1"/>
  <c r="N22" i="28"/>
  <c r="F19" i="19" s="1"/>
  <c r="N23" i="28"/>
  <c r="F20" i="19" s="1"/>
  <c r="N24" i="28"/>
  <c r="F21" i="19" s="1"/>
  <c r="N25" i="28"/>
  <c r="F22" i="19" s="1"/>
  <c r="N26" i="28"/>
  <c r="F23" i="19" s="1"/>
  <c r="N27" i="28"/>
  <c r="F24" i="19" s="1"/>
  <c r="N28" i="28"/>
  <c r="F25" i="19" s="1"/>
  <c r="N29" i="28"/>
  <c r="F26" i="19" s="1"/>
  <c r="N30" i="28"/>
  <c r="F27" i="19" s="1"/>
  <c r="N31" i="28"/>
  <c r="F28" i="19" s="1"/>
  <c r="N32" i="28"/>
  <c r="F29" i="19" s="1"/>
  <c r="N33" i="28"/>
  <c r="F30" i="19" s="1"/>
  <c r="N34" i="28"/>
  <c r="F31" i="19" s="1"/>
  <c r="N35" i="28"/>
  <c r="F32" i="19" s="1"/>
  <c r="N36" i="28"/>
  <c r="F33" i="19" s="1"/>
  <c r="N37" i="28"/>
  <c r="F34" i="19" s="1"/>
  <c r="N38" i="28"/>
  <c r="F35" i="19" s="1"/>
  <c r="N39" i="28"/>
  <c r="F36" i="19" s="1"/>
  <c r="N40" i="28"/>
  <c r="F37" i="19" s="1"/>
  <c r="N41" i="28"/>
  <c r="F38" i="19" s="1"/>
  <c r="N42" i="28"/>
  <c r="F39" i="19" s="1"/>
  <c r="N43" i="28"/>
  <c r="F40" i="19" s="1"/>
  <c r="N44" i="28"/>
  <c r="F41" i="19" s="1"/>
  <c r="N45" i="28"/>
  <c r="F42" i="19" s="1"/>
  <c r="N46" i="28"/>
  <c r="F43" i="19" s="1"/>
  <c r="N47" i="28"/>
  <c r="F44" i="19" s="1"/>
  <c r="N48" i="28"/>
  <c r="F45" i="19" s="1"/>
  <c r="N49" i="28"/>
  <c r="F46" i="19" s="1"/>
  <c r="N50" i="28"/>
  <c r="F47" i="19" s="1"/>
  <c r="N51" i="28"/>
  <c r="F48" i="19" s="1"/>
  <c r="N52" i="28"/>
  <c r="F49" i="19" s="1"/>
  <c r="N53" i="28"/>
  <c r="F50" i="19" s="1"/>
  <c r="N54" i="28"/>
  <c r="F51" i="19" s="1"/>
  <c r="N55" i="28"/>
  <c r="F52" i="19" s="1"/>
  <c r="N56" i="28"/>
  <c r="F53" i="19" s="1"/>
  <c r="N57" i="28"/>
  <c r="F54" i="19" s="1"/>
  <c r="N58" i="28"/>
  <c r="F55" i="19" s="1"/>
  <c r="N59" i="28"/>
  <c r="F56" i="19" s="1"/>
  <c r="N60" i="28"/>
  <c r="F57" i="19" s="1"/>
  <c r="N61" i="28"/>
  <c r="F58" i="19" s="1"/>
  <c r="N62" i="28"/>
  <c r="F59" i="19" s="1"/>
  <c r="N63" i="28"/>
  <c r="F60" i="19" s="1"/>
  <c r="N64" i="28"/>
  <c r="F61" i="19" s="1"/>
  <c r="N65" i="28"/>
  <c r="F62" i="19" s="1"/>
  <c r="N66" i="28"/>
  <c r="F63" i="19" s="1"/>
  <c r="N67" i="28"/>
  <c r="F64" i="19" s="1"/>
  <c r="N68" i="28"/>
  <c r="F65" i="19" s="1"/>
  <c r="N69" i="28"/>
  <c r="F66" i="19" s="1"/>
  <c r="N70" i="28"/>
  <c r="F67" i="19" s="1"/>
  <c r="N71" i="28"/>
  <c r="F68" i="19" s="1"/>
  <c r="N11" i="28"/>
  <c r="F8" i="19" s="1"/>
  <c r="C119" i="28"/>
  <c r="J44" i="15"/>
  <c r="D59" i="19" s="1"/>
  <c r="J45" i="15"/>
  <c r="D60" i="19" s="1"/>
  <c r="J46" i="15"/>
  <c r="D61" i="19" s="1"/>
  <c r="G61" i="19" s="1"/>
  <c r="J47" i="15"/>
  <c r="D62" i="19" s="1"/>
  <c r="G62" i="19" s="1"/>
  <c r="J48" i="15"/>
  <c r="D63" i="19" s="1"/>
  <c r="J49" i="15"/>
  <c r="D64" i="19" s="1"/>
  <c r="J50" i="15"/>
  <c r="D65" i="19" s="1"/>
  <c r="J51" i="15"/>
  <c r="D66" i="19" s="1"/>
  <c r="J52" i="15"/>
  <c r="D67" i="19" s="1"/>
  <c r="J53" i="15"/>
  <c r="D68" i="19" s="1"/>
  <c r="J54" i="15"/>
  <c r="D69" i="19" s="1"/>
  <c r="J55" i="15"/>
  <c r="D70" i="19" s="1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D44" i="19" s="1"/>
  <c r="J30" i="15"/>
  <c r="D45" i="19" s="1"/>
  <c r="G45" i="19" s="1"/>
  <c r="J31" i="15"/>
  <c r="D46" i="19" s="1"/>
  <c r="G46" i="19" s="1"/>
  <c r="J32" i="15"/>
  <c r="D47" i="19" s="1"/>
  <c r="J33" i="15"/>
  <c r="D48" i="19" s="1"/>
  <c r="J34" i="15"/>
  <c r="D49" i="19" s="1"/>
  <c r="G49" i="19" s="1"/>
  <c r="J35" i="15"/>
  <c r="D50" i="19" s="1"/>
  <c r="G50" i="19" s="1"/>
  <c r="J36" i="15"/>
  <c r="D51" i="19" s="1"/>
  <c r="J37" i="15"/>
  <c r="D52" i="19" s="1"/>
  <c r="J38" i="15"/>
  <c r="D53" i="19" s="1"/>
  <c r="G53" i="19" s="1"/>
  <c r="J39" i="15"/>
  <c r="D54" i="19" s="1"/>
  <c r="G54" i="19" s="1"/>
  <c r="J40" i="15"/>
  <c r="D55" i="19" s="1"/>
  <c r="J41" i="15"/>
  <c r="D56" i="19" s="1"/>
  <c r="J42" i="15"/>
  <c r="D57" i="19" s="1"/>
  <c r="G57" i="19" s="1"/>
  <c r="J43" i="15"/>
  <c r="D58" i="19" s="1"/>
  <c r="G58" i="19" s="1"/>
  <c r="J70" i="15"/>
  <c r="D85" i="19" s="1"/>
  <c r="J71" i="15"/>
  <c r="D86" i="19" s="1"/>
  <c r="J72" i="15"/>
  <c r="J73" i="15"/>
  <c r="J74" i="15"/>
  <c r="J75" i="15"/>
  <c r="J76" i="15"/>
  <c r="J77" i="15"/>
  <c r="J78" i="15"/>
  <c r="J79" i="15"/>
  <c r="J80" i="15"/>
  <c r="J81" i="15"/>
  <c r="J82" i="15"/>
  <c r="J83" i="15"/>
  <c r="J84" i="15"/>
  <c r="J85" i="15"/>
  <c r="J86" i="15"/>
  <c r="J87" i="15"/>
  <c r="J88" i="15"/>
  <c r="J89" i="15"/>
  <c r="J90" i="15"/>
  <c r="J91" i="15"/>
  <c r="J92" i="15"/>
  <c r="J93" i="15"/>
  <c r="J94" i="15"/>
  <c r="J95" i="15"/>
  <c r="J96" i="15"/>
  <c r="J97" i="15"/>
  <c r="J98" i="15"/>
  <c r="J99" i="15"/>
  <c r="J100" i="15"/>
  <c r="J101" i="15"/>
  <c r="J102" i="15"/>
  <c r="J103" i="15"/>
  <c r="J104" i="15"/>
  <c r="J105" i="15"/>
  <c r="J106" i="15"/>
  <c r="J107" i="15"/>
  <c r="J108" i="15"/>
  <c r="J109" i="15"/>
  <c r="J110" i="15"/>
  <c r="J111" i="15"/>
  <c r="J112" i="15"/>
  <c r="J113" i="15"/>
  <c r="J114" i="15"/>
  <c r="J115" i="15"/>
  <c r="J116" i="15"/>
  <c r="J117" i="15"/>
  <c r="J118" i="15"/>
  <c r="X15" i="24" l="1"/>
  <c r="X20" i="24"/>
  <c r="X23" i="24"/>
  <c r="X21" i="24"/>
  <c r="X17" i="24"/>
  <c r="X45" i="24"/>
  <c r="X41" i="24"/>
  <c r="X37" i="24"/>
  <c r="X33" i="24"/>
  <c r="X29" i="24"/>
  <c r="X25" i="24"/>
  <c r="X46" i="24"/>
  <c r="X42" i="24"/>
  <c r="X38" i="24"/>
  <c r="X34" i="24"/>
  <c r="X30" i="24"/>
  <c r="X26" i="24"/>
  <c r="X22" i="24"/>
  <c r="G47" i="19"/>
  <c r="G63" i="19"/>
  <c r="G70" i="19"/>
  <c r="G66" i="19"/>
  <c r="G69" i="19"/>
  <c r="G65" i="19"/>
  <c r="X44" i="24"/>
  <c r="X40" i="24"/>
  <c r="X36" i="24"/>
  <c r="X32" i="24"/>
  <c r="X28" i="24"/>
  <c r="X24" i="24"/>
  <c r="X16" i="24"/>
  <c r="X43" i="24"/>
  <c r="X39" i="24"/>
  <c r="X35" i="24"/>
  <c r="X31" i="24"/>
  <c r="X27" i="24"/>
  <c r="D24" i="19"/>
  <c r="D42" i="19"/>
  <c r="G42" i="19" s="1"/>
  <c r="D20" i="19"/>
  <c r="D38" i="19"/>
  <c r="G38" i="19" s="1"/>
  <c r="D16" i="19"/>
  <c r="D34" i="19"/>
  <c r="D12" i="19"/>
  <c r="D30" i="19"/>
  <c r="D23" i="19"/>
  <c r="D41" i="19"/>
  <c r="G41" i="19" s="1"/>
  <c r="D19" i="19"/>
  <c r="D37" i="19"/>
  <c r="G37" i="19" s="1"/>
  <c r="D15" i="19"/>
  <c r="D33" i="19"/>
  <c r="D11" i="19"/>
  <c r="D29" i="19"/>
  <c r="D22" i="19"/>
  <c r="D40" i="19"/>
  <c r="D18" i="19"/>
  <c r="D36" i="19"/>
  <c r="D14" i="19"/>
  <c r="D32" i="19"/>
  <c r="D10" i="19"/>
  <c r="D28" i="19"/>
  <c r="D25" i="19"/>
  <c r="D43" i="19"/>
  <c r="G43" i="19" s="1"/>
  <c r="D21" i="19"/>
  <c r="D39" i="19"/>
  <c r="G39" i="19" s="1"/>
  <c r="D17" i="19"/>
  <c r="D35" i="19"/>
  <c r="D13" i="19"/>
  <c r="D31" i="19"/>
  <c r="D9" i="19"/>
  <c r="D27" i="19"/>
  <c r="X49" i="24"/>
  <c r="X119" i="24"/>
  <c r="X115" i="24"/>
  <c r="X111" i="24"/>
  <c r="X107" i="24"/>
  <c r="X103" i="24"/>
  <c r="X99" i="24"/>
  <c r="X95" i="24"/>
  <c r="X91" i="24"/>
  <c r="X87" i="24"/>
  <c r="X83" i="24"/>
  <c r="X79" i="24"/>
  <c r="X75" i="24"/>
  <c r="X71" i="24"/>
  <c r="X67" i="24"/>
  <c r="X63" i="24"/>
  <c r="X59" i="24"/>
  <c r="X55" i="24"/>
  <c r="X48" i="24"/>
  <c r="X118" i="24"/>
  <c r="X114" i="24"/>
  <c r="X110" i="24"/>
  <c r="X106" i="24"/>
  <c r="X102" i="24"/>
  <c r="X98" i="24"/>
  <c r="X94" i="24"/>
  <c r="X90" i="24"/>
  <c r="X86" i="24"/>
  <c r="X82" i="24"/>
  <c r="X78" i="24"/>
  <c r="X74" i="24"/>
  <c r="X70" i="24"/>
  <c r="X66" i="24"/>
  <c r="X62" i="24"/>
  <c r="X58" i="24"/>
  <c r="X54" i="24"/>
  <c r="S14" i="24"/>
  <c r="S123" i="24" s="1"/>
  <c r="D123" i="24"/>
  <c r="X18" i="24"/>
  <c r="X51" i="24"/>
  <c r="X47" i="24"/>
  <c r="X121" i="24"/>
  <c r="X117" i="24"/>
  <c r="X113" i="24"/>
  <c r="X109" i="24"/>
  <c r="X105" i="24"/>
  <c r="X101" i="24"/>
  <c r="X97" i="24"/>
  <c r="X93" i="24"/>
  <c r="X89" i="24"/>
  <c r="X85" i="24"/>
  <c r="X81" i="24"/>
  <c r="X77" i="24"/>
  <c r="X73" i="24"/>
  <c r="X69" i="24"/>
  <c r="X65" i="24"/>
  <c r="X61" i="24"/>
  <c r="X57" i="24"/>
  <c r="X53" i="24"/>
  <c r="T14" i="24"/>
  <c r="T123" i="24" s="1"/>
  <c r="E123" i="24"/>
  <c r="X50" i="24"/>
  <c r="X120" i="24"/>
  <c r="X116" i="24"/>
  <c r="X112" i="24"/>
  <c r="X108" i="24"/>
  <c r="X104" i="24"/>
  <c r="X100" i="24"/>
  <c r="X96" i="24"/>
  <c r="X92" i="24"/>
  <c r="X88" i="24"/>
  <c r="X84" i="24"/>
  <c r="X80" i="24"/>
  <c r="X76" i="24"/>
  <c r="X72" i="24"/>
  <c r="X68" i="24"/>
  <c r="X64" i="24"/>
  <c r="X60" i="24"/>
  <c r="X56" i="24"/>
  <c r="X52" i="24"/>
  <c r="G68" i="19"/>
  <c r="G48" i="19"/>
  <c r="G86" i="19"/>
  <c r="G60" i="19"/>
  <c r="G64" i="19"/>
  <c r="G56" i="19"/>
  <c r="G52" i="19"/>
  <c r="G44" i="19"/>
  <c r="G40" i="19"/>
  <c r="G67" i="19"/>
  <c r="G59" i="19"/>
  <c r="G55" i="19"/>
  <c r="G51" i="19"/>
  <c r="G85" i="19"/>
  <c r="I32" i="23"/>
  <c r="I31" i="23"/>
  <c r="E32" i="23"/>
  <c r="E31" i="23"/>
  <c r="B32" i="23"/>
  <c r="B31" i="23"/>
  <c r="H34" i="20"/>
  <c r="H33" i="20"/>
  <c r="D34" i="20"/>
  <c r="D33" i="20"/>
  <c r="A34" i="20"/>
  <c r="A33" i="20"/>
  <c r="B28" i="20"/>
  <c r="I138" i="26"/>
  <c r="I137" i="26"/>
  <c r="D138" i="26"/>
  <c r="D137" i="26"/>
  <c r="A138" i="26"/>
  <c r="A137" i="26"/>
  <c r="C122" i="24"/>
  <c r="X14" i="24" l="1"/>
  <c r="N139" i="24"/>
  <c r="N138" i="24"/>
  <c r="D139" i="24"/>
  <c r="D138" i="24"/>
  <c r="A139" i="24"/>
  <c r="A138" i="24"/>
  <c r="Q122" i="24"/>
  <c r="P122" i="24"/>
  <c r="O122" i="24"/>
  <c r="N122" i="24"/>
  <c r="J13" i="24"/>
  <c r="J122" i="24" s="1"/>
  <c r="I13" i="24"/>
  <c r="I122" i="24" s="1"/>
  <c r="F13" i="24"/>
  <c r="F122" i="24" s="1"/>
  <c r="E13" i="24"/>
  <c r="E122" i="24" s="1"/>
  <c r="D13" i="24"/>
  <c r="G127" i="19"/>
  <c r="G126" i="19"/>
  <c r="D127" i="19"/>
  <c r="D126" i="19"/>
  <c r="A127" i="19"/>
  <c r="A126" i="19"/>
  <c r="B122" i="19"/>
  <c r="N9" i="28"/>
  <c r="K130" i="18"/>
  <c r="K129" i="18"/>
  <c r="D130" i="18"/>
  <c r="D129" i="18"/>
  <c r="A130" i="18"/>
  <c r="A129" i="18"/>
  <c r="C125" i="18"/>
  <c r="C124" i="28"/>
  <c r="H127" i="28"/>
  <c r="H126" i="28"/>
  <c r="D127" i="28"/>
  <c r="D126" i="28"/>
  <c r="A127" i="28"/>
  <c r="A126" i="28"/>
  <c r="I128" i="15"/>
  <c r="I127" i="15"/>
  <c r="D128" i="15"/>
  <c r="D127" i="15"/>
  <c r="A128" i="15"/>
  <c r="A127" i="15"/>
  <c r="A124" i="15"/>
  <c r="A25" i="21"/>
  <c r="I29" i="21"/>
  <c r="I28" i="21"/>
  <c r="E29" i="21"/>
  <c r="E28" i="21"/>
  <c r="A29" i="21"/>
  <c r="A28" i="21"/>
  <c r="I25" i="31"/>
  <c r="I24" i="31"/>
  <c r="E25" i="31"/>
  <c r="E24" i="31"/>
  <c r="A25" i="31"/>
  <c r="A24" i="31"/>
  <c r="L122" i="24" l="1"/>
  <c r="G122" i="24"/>
  <c r="M122" i="24"/>
  <c r="H122" i="24"/>
  <c r="D122" i="24"/>
  <c r="D124" i="24" s="1"/>
  <c r="K122" i="24"/>
  <c r="W13" i="24"/>
  <c r="W122" i="24" s="1"/>
  <c r="R122" i="24"/>
  <c r="R124" i="24" s="1"/>
  <c r="H132" i="24" s="1"/>
  <c r="V13" i="24"/>
  <c r="V122" i="24" s="1"/>
  <c r="U13" i="24"/>
  <c r="U122" i="24" s="1"/>
  <c r="N124" i="24"/>
  <c r="N125" i="24" s="1"/>
  <c r="T13" i="24"/>
  <c r="T122" i="24" s="1"/>
  <c r="J124" i="24"/>
  <c r="J125" i="24" s="1"/>
  <c r="S13" i="24"/>
  <c r="S122" i="24" s="1"/>
  <c r="I124" i="24"/>
  <c r="I125" i="24" s="1"/>
  <c r="A18" i="31"/>
  <c r="R125" i="24" l="1"/>
  <c r="G11" i="20"/>
  <c r="D125" i="24"/>
  <c r="H128" i="24"/>
  <c r="C11" i="20" s="1"/>
  <c r="O124" i="24"/>
  <c r="O125" i="24" s="1"/>
  <c r="Q124" i="24"/>
  <c r="H131" i="24" s="1"/>
  <c r="P124" i="24"/>
  <c r="P125" i="24" s="1"/>
  <c r="F124" i="24"/>
  <c r="E124" i="24"/>
  <c r="B27" i="20"/>
  <c r="B132" i="26"/>
  <c r="B132" i="24"/>
  <c r="B121" i="19"/>
  <c r="C123" i="28"/>
  <c r="C124" i="18"/>
  <c r="A123" i="15"/>
  <c r="E16" i="25"/>
  <c r="A24" i="21" s="1"/>
  <c r="H130" i="24" l="1"/>
  <c r="E11" i="20" s="1"/>
  <c r="F125" i="24"/>
  <c r="Q125" i="24"/>
  <c r="F11" i="20"/>
  <c r="E125" i="24"/>
  <c r="H129" i="24"/>
  <c r="D11" i="20" s="1"/>
  <c r="A7" i="31"/>
  <c r="A6" i="31"/>
  <c r="A5" i="31"/>
  <c r="E9" i="19" l="1"/>
  <c r="G9" i="19" s="1"/>
  <c r="E10" i="19"/>
  <c r="G10" i="19" s="1"/>
  <c r="E11" i="19"/>
  <c r="G11" i="19" s="1"/>
  <c r="E12" i="19"/>
  <c r="G12" i="19" s="1"/>
  <c r="E13" i="19"/>
  <c r="G13" i="19" s="1"/>
  <c r="E14" i="19"/>
  <c r="G14" i="19" s="1"/>
  <c r="E15" i="19"/>
  <c r="G15" i="19" s="1"/>
  <c r="E16" i="19"/>
  <c r="G16" i="19" s="1"/>
  <c r="E17" i="19"/>
  <c r="G17" i="19" s="1"/>
  <c r="E18" i="19"/>
  <c r="G18" i="19" s="1"/>
  <c r="E19" i="19"/>
  <c r="G19" i="19" s="1"/>
  <c r="E20" i="19"/>
  <c r="G20" i="19" s="1"/>
  <c r="E21" i="19"/>
  <c r="G21" i="19" s="1"/>
  <c r="E22" i="19"/>
  <c r="G22" i="19" s="1"/>
  <c r="E23" i="19"/>
  <c r="G23" i="19" s="1"/>
  <c r="E24" i="19"/>
  <c r="G24" i="19" s="1"/>
  <c r="E25" i="19"/>
  <c r="G25" i="19" s="1"/>
  <c r="E26" i="19"/>
  <c r="E27" i="19"/>
  <c r="G27" i="19" s="1"/>
  <c r="E28" i="19"/>
  <c r="G28" i="19" s="1"/>
  <c r="E29" i="19"/>
  <c r="G29" i="19" s="1"/>
  <c r="E30" i="19"/>
  <c r="G30" i="19" s="1"/>
  <c r="E31" i="19"/>
  <c r="G31" i="19" s="1"/>
  <c r="E32" i="19"/>
  <c r="G32" i="19" s="1"/>
  <c r="E33" i="19"/>
  <c r="G33" i="19" s="1"/>
  <c r="E34" i="19"/>
  <c r="G34" i="19" s="1"/>
  <c r="E35" i="19"/>
  <c r="G35" i="19" s="1"/>
  <c r="E36" i="19"/>
  <c r="G36" i="19" s="1"/>
  <c r="E8" i="19"/>
  <c r="C119" i="18"/>
  <c r="C119" i="15"/>
  <c r="D6" i="28" l="1"/>
  <c r="C6" i="28"/>
  <c r="A6" i="28"/>
  <c r="J56" i="15"/>
  <c r="D71" i="19" s="1"/>
  <c r="G71" i="19" s="1"/>
  <c r="J57" i="15"/>
  <c r="D72" i="19" s="1"/>
  <c r="G72" i="19" s="1"/>
  <c r="J58" i="15"/>
  <c r="D73" i="19" s="1"/>
  <c r="G73" i="19" s="1"/>
  <c r="J59" i="15"/>
  <c r="D74" i="19" s="1"/>
  <c r="G74" i="19" s="1"/>
  <c r="J60" i="15"/>
  <c r="D75" i="19" s="1"/>
  <c r="G75" i="19" s="1"/>
  <c r="J61" i="15"/>
  <c r="D76" i="19" s="1"/>
  <c r="G76" i="19" s="1"/>
  <c r="J62" i="15"/>
  <c r="D77" i="19" s="1"/>
  <c r="G77" i="19" s="1"/>
  <c r="J63" i="15"/>
  <c r="D78" i="19" s="1"/>
  <c r="G78" i="19" s="1"/>
  <c r="J64" i="15"/>
  <c r="D79" i="19" s="1"/>
  <c r="G79" i="19" s="1"/>
  <c r="J65" i="15"/>
  <c r="D80" i="19" s="1"/>
  <c r="G80" i="19" s="1"/>
  <c r="J66" i="15"/>
  <c r="D81" i="19" s="1"/>
  <c r="G81" i="19" s="1"/>
  <c r="J67" i="15"/>
  <c r="D82" i="19" s="1"/>
  <c r="G82" i="19" s="1"/>
  <c r="J68" i="15"/>
  <c r="D83" i="19" s="1"/>
  <c r="G83" i="19" s="1"/>
  <c r="J69" i="15"/>
  <c r="D84" i="19" s="1"/>
  <c r="G84" i="19" s="1"/>
  <c r="J11" i="15"/>
  <c r="J9" i="15"/>
  <c r="H32" i="19" s="1"/>
  <c r="H82" i="19" l="1"/>
  <c r="D8" i="19"/>
  <c r="G8" i="19" s="1"/>
  <c r="H8" i="19" s="1"/>
  <c r="D26" i="19"/>
  <c r="G26" i="19" s="1"/>
  <c r="H26" i="19" s="1"/>
  <c r="H84" i="19"/>
  <c r="H76" i="19"/>
  <c r="H72" i="19"/>
  <c r="H21" i="19"/>
  <c r="H10" i="19"/>
  <c r="H30" i="19"/>
  <c r="H15" i="19"/>
  <c r="H31" i="19"/>
  <c r="H24" i="19"/>
  <c r="H81" i="19"/>
  <c r="H80" i="19"/>
  <c r="H83" i="19"/>
  <c r="H79" i="19"/>
  <c r="H75" i="19"/>
  <c r="H71" i="19"/>
  <c r="H9" i="19"/>
  <c r="H25" i="19"/>
  <c r="H14" i="19"/>
  <c r="H34" i="19"/>
  <c r="H19" i="19"/>
  <c r="H12" i="19"/>
  <c r="H28" i="19"/>
  <c r="H78" i="19"/>
  <c r="H74" i="19"/>
  <c r="H13" i="19"/>
  <c r="H29" i="19"/>
  <c r="H18" i="19"/>
  <c r="H35" i="19"/>
  <c r="H23" i="19"/>
  <c r="H16" i="19"/>
  <c r="H58" i="19"/>
  <c r="H70" i="19"/>
  <c r="H53" i="19"/>
  <c r="H65" i="19"/>
  <c r="H46" i="19"/>
  <c r="H66" i="19"/>
  <c r="H49" i="19"/>
  <c r="H61" i="19"/>
  <c r="H63" i="19"/>
  <c r="H54" i="19"/>
  <c r="H62" i="19"/>
  <c r="H45" i="19"/>
  <c r="H47" i="19"/>
  <c r="H50" i="19"/>
  <c r="H57" i="19"/>
  <c r="H69" i="19"/>
  <c r="H39" i="19"/>
  <c r="H43" i="19"/>
  <c r="H68" i="19"/>
  <c r="H40" i="19"/>
  <c r="H55" i="19"/>
  <c r="H59" i="19"/>
  <c r="H67" i="19"/>
  <c r="H64" i="19"/>
  <c r="H44" i="19"/>
  <c r="H52" i="19"/>
  <c r="H38" i="19"/>
  <c r="H56" i="19"/>
  <c r="H37" i="19"/>
  <c r="H86" i="19"/>
  <c r="H41" i="19"/>
  <c r="H48" i="19"/>
  <c r="H85" i="19"/>
  <c r="H60" i="19"/>
  <c r="H51" i="19"/>
  <c r="H42" i="19"/>
  <c r="H77" i="19"/>
  <c r="H73" i="19"/>
  <c r="H17" i="19"/>
  <c r="H33" i="19"/>
  <c r="H22" i="19"/>
  <c r="H11" i="19"/>
  <c r="H27" i="19"/>
  <c r="H20" i="19"/>
  <c r="H36" i="19"/>
  <c r="D114" i="19"/>
  <c r="G114" i="19" s="1"/>
  <c r="H114" i="19" s="1"/>
  <c r="D110" i="19"/>
  <c r="G110" i="19" s="1"/>
  <c r="H110" i="19" s="1"/>
  <c r="D106" i="19"/>
  <c r="G106" i="19" s="1"/>
  <c r="H106" i="19" s="1"/>
  <c r="D102" i="19"/>
  <c r="G102" i="19" s="1"/>
  <c r="H102" i="19" s="1"/>
  <c r="D98" i="19"/>
  <c r="G98" i="19" s="1"/>
  <c r="H98" i="19" s="1"/>
  <c r="D94" i="19"/>
  <c r="G94" i="19" s="1"/>
  <c r="H94" i="19" s="1"/>
  <c r="D90" i="19"/>
  <c r="G90" i="19" s="1"/>
  <c r="H90" i="19" s="1"/>
  <c r="D113" i="19"/>
  <c r="G113" i="19" s="1"/>
  <c r="H113" i="19" s="1"/>
  <c r="D109" i="19"/>
  <c r="G109" i="19" s="1"/>
  <c r="H109" i="19" s="1"/>
  <c r="D105" i="19"/>
  <c r="G105" i="19" s="1"/>
  <c r="H105" i="19" s="1"/>
  <c r="D101" i="19"/>
  <c r="G101" i="19" s="1"/>
  <c r="H101" i="19" s="1"/>
  <c r="D97" i="19"/>
  <c r="G97" i="19" s="1"/>
  <c r="H97" i="19" s="1"/>
  <c r="D93" i="19"/>
  <c r="G93" i="19" s="1"/>
  <c r="H93" i="19" s="1"/>
  <c r="D89" i="19"/>
  <c r="G89" i="19" s="1"/>
  <c r="H89" i="19" s="1"/>
  <c r="D112" i="19"/>
  <c r="G112" i="19" s="1"/>
  <c r="H112" i="19" s="1"/>
  <c r="D108" i="19"/>
  <c r="G108" i="19" s="1"/>
  <c r="H108" i="19" s="1"/>
  <c r="D104" i="19"/>
  <c r="G104" i="19" s="1"/>
  <c r="H104" i="19" s="1"/>
  <c r="D100" i="19"/>
  <c r="G100" i="19" s="1"/>
  <c r="H100" i="19" s="1"/>
  <c r="D96" i="19"/>
  <c r="G96" i="19" s="1"/>
  <c r="H96" i="19" s="1"/>
  <c r="D92" i="19"/>
  <c r="G92" i="19" s="1"/>
  <c r="H92" i="19" s="1"/>
  <c r="D88" i="19"/>
  <c r="G88" i="19" s="1"/>
  <c r="H88" i="19" s="1"/>
  <c r="D87" i="19"/>
  <c r="G87" i="19" s="1"/>
  <c r="H87" i="19" s="1"/>
  <c r="D115" i="19"/>
  <c r="G115" i="19" s="1"/>
  <c r="H115" i="19" s="1"/>
  <c r="D111" i="19"/>
  <c r="G111" i="19" s="1"/>
  <c r="H111" i="19" s="1"/>
  <c r="D107" i="19"/>
  <c r="G107" i="19" s="1"/>
  <c r="H107" i="19" s="1"/>
  <c r="D103" i="19"/>
  <c r="G103" i="19" s="1"/>
  <c r="H103" i="19" s="1"/>
  <c r="D99" i="19"/>
  <c r="G99" i="19" s="1"/>
  <c r="H99" i="19" s="1"/>
  <c r="D95" i="19"/>
  <c r="G95" i="19" s="1"/>
  <c r="H95" i="19" s="1"/>
  <c r="D91" i="19"/>
  <c r="G91" i="19" s="1"/>
  <c r="H91" i="19" s="1"/>
  <c r="W123" i="24" l="1"/>
  <c r="V124" i="24" l="1"/>
  <c r="V125" i="24" s="1"/>
  <c r="W124" i="24"/>
  <c r="W125" i="24" s="1"/>
  <c r="T124" i="24"/>
  <c r="T125" i="24" s="1"/>
  <c r="U124" i="24"/>
  <c r="U125" i="24" s="1"/>
  <c r="B25" i="23" l="1"/>
  <c r="B24" i="23"/>
  <c r="C18" i="21"/>
  <c r="D18" i="21"/>
  <c r="E18" i="21"/>
  <c r="F18" i="21"/>
  <c r="G18" i="21"/>
  <c r="H18" i="21"/>
  <c r="I18" i="21"/>
  <c r="B18" i="21"/>
  <c r="B8" i="23"/>
  <c r="B7" i="23"/>
  <c r="B6" i="23"/>
  <c r="D6" i="18"/>
  <c r="C6" i="18"/>
  <c r="A6" i="18"/>
  <c r="D6" i="15"/>
  <c r="C6" i="15"/>
  <c r="A6" i="15"/>
  <c r="D6" i="19"/>
  <c r="A6" i="19"/>
  <c r="C6" i="19"/>
  <c r="B7" i="20"/>
  <c r="B6" i="20"/>
  <c r="B5" i="20"/>
  <c r="A8" i="26"/>
  <c r="A7" i="26"/>
  <c r="A6" i="26"/>
  <c r="A8" i="24"/>
  <c r="A7" i="24"/>
  <c r="A6" i="24"/>
  <c r="A8" i="21"/>
  <c r="A7" i="21"/>
  <c r="A6" i="21"/>
  <c r="C122" i="26"/>
  <c r="X123" i="24" l="1"/>
  <c r="S124" i="24"/>
  <c r="S125" i="24" s="1"/>
  <c r="D122" i="26"/>
  <c r="D124" i="26" l="1"/>
  <c r="D125" i="26" l="1"/>
  <c r="D127" i="26" s="1"/>
  <c r="D12" i="20"/>
  <c r="D13" i="20" s="1"/>
  <c r="C12" i="20"/>
  <c r="E12" i="20"/>
  <c r="E13" i="20" s="1"/>
  <c r="F12" i="20"/>
  <c r="F13" i="20" s="1"/>
  <c r="G12" i="20"/>
  <c r="G13" i="20" s="1"/>
  <c r="K11" i="23"/>
  <c r="J11" i="23"/>
  <c r="I11" i="23"/>
  <c r="H11" i="23"/>
  <c r="G11" i="23"/>
  <c r="F11" i="23"/>
  <c r="E11" i="23"/>
  <c r="D11" i="23"/>
  <c r="C13" i="20" l="1"/>
  <c r="C15" i="23"/>
  <c r="C14" i="23"/>
  <c r="E16" i="20"/>
  <c r="C16" i="23"/>
  <c r="G16" i="20"/>
  <c r="D127" i="24"/>
  <c r="F16" i="20" l="1"/>
  <c r="C13" i="23"/>
  <c r="D16" i="20"/>
  <c r="C12" i="23"/>
  <c r="C16" i="20"/>
  <c r="X13" i="24" l="1"/>
  <c r="X122" i="24" s="1"/>
  <c r="X124" i="24" s="1"/>
  <c r="X125" i="24" l="1"/>
  <c r="E127" i="24"/>
  <c r="F127" i="24" s="1"/>
</calcChain>
</file>

<file path=xl/sharedStrings.xml><?xml version="1.0" encoding="utf-8"?>
<sst xmlns="http://schemas.openxmlformats.org/spreadsheetml/2006/main" count="1116" uniqueCount="242">
  <si>
    <t>Roll No.</t>
  </si>
  <si>
    <t>Name of the Student</t>
  </si>
  <si>
    <t>CO1</t>
  </si>
  <si>
    <t>CO2</t>
  </si>
  <si>
    <t>CO3</t>
  </si>
  <si>
    <t xml:space="preserve">Comprehensive Concurrent Evaluation (CCE) Sheet </t>
  </si>
  <si>
    <t>Seat No.</t>
  </si>
  <si>
    <t>Name</t>
  </si>
  <si>
    <t>(College Examination Officer)</t>
  </si>
  <si>
    <t>Approved by AICTE, Recognized under 2 (f) &amp; 12 (b) sections of UGC Act)</t>
  </si>
  <si>
    <t>CO4</t>
  </si>
  <si>
    <t>Total Marks Obtained (25)</t>
  </si>
  <si>
    <t>CO5</t>
  </si>
  <si>
    <t>Total No. of Students:</t>
  </si>
  <si>
    <t>PO1</t>
  </si>
  <si>
    <t>PO2</t>
  </si>
  <si>
    <t>PO3</t>
  </si>
  <si>
    <t>PO4</t>
  </si>
  <si>
    <t>PO5</t>
  </si>
  <si>
    <t>PO6</t>
  </si>
  <si>
    <t>PO7</t>
  </si>
  <si>
    <t>PO8</t>
  </si>
  <si>
    <t>Average</t>
  </si>
  <si>
    <t>-</t>
  </si>
  <si>
    <t>Average Mapping (M)</t>
  </si>
  <si>
    <t>No of Students (y)</t>
  </si>
  <si>
    <t>CO Attainment Level</t>
  </si>
  <si>
    <t>% of Students to get</t>
  </si>
  <si>
    <t>CO Attainment Percentage</t>
  </si>
  <si>
    <t>Course Outcome Attainment Calculations - External Assessment (SPPU)</t>
  </si>
  <si>
    <t>Equal Weightage to all COs</t>
  </si>
  <si>
    <t>Percentage of Students to get</t>
  </si>
  <si>
    <t>Particulars</t>
  </si>
  <si>
    <t>OVERALL CO ATTAINMENT FOR COURSE</t>
  </si>
  <si>
    <t>Name of the faculty:</t>
  </si>
  <si>
    <t>Subject &amp; Code:</t>
  </si>
  <si>
    <t>Class &amp; A.Y.:</t>
  </si>
  <si>
    <t>Type of Course:</t>
  </si>
  <si>
    <t>Subject Core</t>
  </si>
  <si>
    <t>Specialization:</t>
  </si>
  <si>
    <t>Internal Assessment Weightage</t>
  </si>
  <si>
    <t>External Assessment Weightage</t>
  </si>
  <si>
    <t>Direct Assessment Weightage</t>
  </si>
  <si>
    <t>Indirect Assessment Weightage</t>
  </si>
  <si>
    <t>CO ATTAINMENT PERCENTAGE - DIRECT ASSESSMENT 
Direct Attainment=(Int. Weightage X A1) + ( Ext. Weightage X A2)</t>
  </si>
  <si>
    <t>CO ATTAINMENT PERCENTAGE - INDIRECT (SURVEY)</t>
  </si>
  <si>
    <t>CO ATTAINMENT PERCENTAGE - 
INTERNAL ASSESSMENT (A1)</t>
  </si>
  <si>
    <t>CO ATTAINMENT PERCENTAGE - 
EXTERNAL ASSESSMENT (SPPU) (A2)</t>
  </si>
  <si>
    <t>Designation:</t>
  </si>
  <si>
    <t>Total Marks Obtained</t>
  </si>
  <si>
    <t>Overall CO Attainment %</t>
  </si>
  <si>
    <t>CO-PO Attainment Calculations</t>
  </si>
  <si>
    <t>CO ATTAINMENT LEVEL</t>
  </si>
  <si>
    <t>Attainment based on External Evaluation = Avg. of all COs</t>
  </si>
  <si>
    <t>Attainment based on Comprehensive Concurrent Evaluation (CCE) = Avg. of all COs</t>
  </si>
  <si>
    <t>Percentage of Students to get 60% of Marks</t>
  </si>
  <si>
    <t xml:space="preserve"> </t>
  </si>
  <si>
    <t>Attainment</t>
  </si>
  <si>
    <t>Perecentage</t>
  </si>
  <si>
    <t>Rubrics</t>
  </si>
  <si>
    <t>Criteria</t>
  </si>
  <si>
    <t>Understanding of Concepts</t>
  </si>
  <si>
    <t>Application of Tools</t>
  </si>
  <si>
    <t>Interpretation &amp; Decision-Making</t>
  </si>
  <si>
    <t>Structure &amp; Clarity</t>
  </si>
  <si>
    <t>References &amp; Format</t>
  </si>
  <si>
    <t>Excellent (100%)</t>
  </si>
  <si>
    <t>Good (80%)</t>
  </si>
  <si>
    <t>Satisfactory (60%)</t>
  </si>
  <si>
    <t>Needs Improvement (&lt;60%)</t>
  </si>
  <si>
    <t>Overall  Semester wise  Attainment</t>
  </si>
  <si>
    <t>Director</t>
  </si>
  <si>
    <r>
      <t xml:space="preserve">Max Marks </t>
    </r>
    <r>
      <rPr>
        <b/>
        <sz val="16"/>
        <color rgb="FF000000"/>
        <rFont val="Times New Roman"/>
        <family val="1"/>
      </rPr>
      <t xml:space="preserve"> →</t>
    </r>
    <r>
      <rPr>
        <b/>
        <sz val="11"/>
        <color rgb="FF000000"/>
        <rFont val="Times New Roman"/>
        <family val="1"/>
      </rPr>
      <t xml:space="preserve"> </t>
    </r>
  </si>
  <si>
    <t>Dr. D.Y. Patil Educational Federation's</t>
  </si>
  <si>
    <t>Dr. D. Y. Patil Institute of Management and Entreprenuer Development, Varale, Pune</t>
  </si>
  <si>
    <t>(Permanently affiliated to Savitribai Phule Pune University, Accredited by NAAC 'A'</t>
  </si>
  <si>
    <t>%</t>
  </si>
  <si>
    <t>Marks</t>
  </si>
  <si>
    <t>Subject Faculty</t>
  </si>
  <si>
    <t>Dr. Ashwini Chavan</t>
  </si>
  <si>
    <t>Dr. Priyanka Singh</t>
  </si>
  <si>
    <t xml:space="preserve">COURSE OUTCOMES (CO) MAPPING WITH PROGRAM OUTCOMES (PO) </t>
  </si>
  <si>
    <t>Program OutComes</t>
  </si>
  <si>
    <t>Course OutComes</t>
  </si>
  <si>
    <r>
      <rPr>
        <b/>
        <sz val="14"/>
        <color rgb="FFC00000"/>
        <rFont val="Times New Roman"/>
        <family val="1"/>
      </rPr>
      <t>3-HIGH (corresponds to a high correlation)</t>
    </r>
    <r>
      <rPr>
        <b/>
        <sz val="14"/>
        <color theme="1"/>
        <rFont val="Times New Roman"/>
        <family val="1"/>
      </rPr>
      <t xml:space="preserve">                                                                                                     </t>
    </r>
    <r>
      <rPr>
        <b/>
        <sz val="14"/>
        <color rgb="FF002060"/>
        <rFont val="Times New Roman"/>
        <family val="1"/>
      </rPr>
      <t xml:space="preserve">2-MEDIUM (corresponds to a medium correlation) </t>
    </r>
    <r>
      <rPr>
        <b/>
        <sz val="14"/>
        <color theme="1"/>
        <rFont val="Times New Roman"/>
        <family val="1"/>
      </rPr>
      <t xml:space="preserve">  
</t>
    </r>
    <r>
      <rPr>
        <b/>
        <sz val="14"/>
        <color theme="9" tint="-0.499984740745262"/>
        <rFont val="Times New Roman"/>
        <family val="1"/>
      </rPr>
      <t>1-LOW (corresponds to a low correlation)</t>
    </r>
    <r>
      <rPr>
        <b/>
        <sz val="14"/>
        <color theme="1"/>
        <rFont val="Times New Roman"/>
        <family val="1"/>
      </rPr>
      <t xml:space="preserve"> between CO and PO/PSO</t>
    </r>
  </si>
  <si>
    <t>Assistant Professor</t>
  </si>
  <si>
    <t>Dr. Ravi Chourasiya</t>
  </si>
  <si>
    <t>HOD (MCA)</t>
  </si>
  <si>
    <r>
      <rPr>
        <b/>
        <sz val="14"/>
        <color theme="1"/>
        <rFont val="Times New Roman"/>
        <family val="1"/>
      </rPr>
      <t>PO1 (Foundation Knowledge):</t>
    </r>
    <r>
      <rPr>
        <sz val="14"/>
        <color theme="1"/>
        <rFont val="Times New Roman"/>
        <family val="1"/>
      </rPr>
      <t xml:space="preserve"> Apply knowledge of mathematics, programming logic and coding fundamentals for solution architecture and problem solving.</t>
    </r>
  </si>
  <si>
    <r>
      <rPr>
        <b/>
        <sz val="14"/>
        <color theme="1"/>
        <rFont val="Times New Roman"/>
        <family val="1"/>
      </rPr>
      <t>PO2 (Problem Analysis):</t>
    </r>
    <r>
      <rPr>
        <sz val="14"/>
        <color theme="1"/>
        <rFont val="Times New Roman"/>
        <family val="1"/>
      </rPr>
      <t xml:space="preserve"> Identify, review, formulate and analyze problems for primarily focussing on customer requirements using critical thinking frameworks.</t>
    </r>
  </si>
  <si>
    <r>
      <rPr>
        <b/>
        <sz val="14"/>
        <color theme="1"/>
        <rFont val="Times New Roman"/>
        <family val="1"/>
      </rPr>
      <t>PO3 (Development of Solutions)</t>
    </r>
    <r>
      <rPr>
        <sz val="14"/>
        <color theme="1"/>
        <rFont val="Times New Roman"/>
        <family val="1"/>
      </rPr>
      <t>: Design, develop and investigate problems with as an innovative approach for solutions incorporating ESG/SDG goals.</t>
    </r>
  </si>
  <si>
    <r>
      <rPr>
        <b/>
        <sz val="14"/>
        <color theme="1"/>
        <rFont val="Times New Roman"/>
        <family val="1"/>
      </rPr>
      <t>PO4 (Modern Tool Usage):</t>
    </r>
    <r>
      <rPr>
        <sz val="14"/>
        <color theme="1"/>
        <rFont val="Times New Roman"/>
        <family val="1"/>
      </rPr>
      <t xml:space="preserve"> Select, adapt and apply modern computational tools such as development of algorithms with an understanding of the limitations including human  biases.</t>
    </r>
  </si>
  <si>
    <r>
      <rPr>
        <b/>
        <sz val="14"/>
        <color theme="1"/>
        <rFont val="Times New Roman"/>
        <family val="1"/>
      </rPr>
      <t>PO5 (Individual and Teamwork):</t>
    </r>
    <r>
      <rPr>
        <sz val="14"/>
        <color theme="1"/>
        <rFont val="Times New Roman"/>
        <family val="1"/>
      </rPr>
      <t xml:space="preserve"> Function and communicate effectively as an individual or a team leader in diverse and multidisciplinary groups. Use methodologies such as agile.</t>
    </r>
  </si>
  <si>
    <r>
      <rPr>
        <b/>
        <sz val="14"/>
        <color theme="1"/>
        <rFont val="Times New Roman"/>
        <family val="1"/>
      </rPr>
      <t>PO6 (Project Management and Finance):</t>
    </r>
    <r>
      <rPr>
        <sz val="14"/>
        <color theme="1"/>
        <rFont val="Times New Roman"/>
        <family val="1"/>
      </rPr>
      <t xml:space="preserve"> Use the principles of project management such as scheduling, work breakdown structure and be conversant with the principles of Finance for profitable project management.</t>
    </r>
  </si>
  <si>
    <r>
      <rPr>
        <b/>
        <sz val="14"/>
        <color theme="1"/>
        <rFont val="Times New Roman"/>
        <family val="1"/>
      </rPr>
      <t>PO7 (Ethics)</t>
    </r>
    <r>
      <rPr>
        <sz val="14"/>
        <color theme="1"/>
        <rFont val="Times New Roman"/>
        <family val="1"/>
      </rPr>
      <t xml:space="preserve">: Commit to professional ethics in managing software projects with financial aspects. Learn to use new technologies for cyber security and insulate customers from malware </t>
    </r>
  </si>
  <si>
    <r>
      <rPr>
        <b/>
        <sz val="14"/>
        <color theme="1"/>
        <rFont val="Times New Roman"/>
        <family val="1"/>
      </rPr>
      <t>PO8 (Life-long learning)</t>
    </r>
    <r>
      <rPr>
        <sz val="14"/>
        <color theme="1"/>
        <rFont val="Times New Roman"/>
        <family val="1"/>
      </rPr>
      <t>: Change management skills and the ability to learn, keep up with contemporary technologies and ways of working.</t>
    </r>
  </si>
  <si>
    <t>CCE-I (Mid Term 1)</t>
  </si>
  <si>
    <t>CCE-II (Assignment)</t>
  </si>
  <si>
    <t>CCE-III (End Term)</t>
  </si>
  <si>
    <t>CCE#1  (30)</t>
  </si>
  <si>
    <t>CCE#2 (20)</t>
  </si>
  <si>
    <t>CCE#3 (50)</t>
  </si>
  <si>
    <t>Total (100)</t>
  </si>
  <si>
    <t>Final
(25)</t>
  </si>
  <si>
    <t>CCE1 (Mid Term: 30)</t>
  </si>
  <si>
    <t>CCE3 (End term:50)</t>
  </si>
  <si>
    <t>Q1</t>
  </si>
  <si>
    <t>Q2</t>
  </si>
  <si>
    <t>Q3</t>
  </si>
  <si>
    <t>Q4</t>
  </si>
  <si>
    <t>Q5</t>
  </si>
  <si>
    <t>Q6</t>
  </si>
  <si>
    <r>
      <t xml:space="preserve">CO Mapping </t>
    </r>
    <r>
      <rPr>
        <b/>
        <sz val="16"/>
        <color rgb="FF000000"/>
        <rFont val="Times New Roman"/>
        <family val="1"/>
      </rPr>
      <t xml:space="preserve"> →</t>
    </r>
    <r>
      <rPr>
        <b/>
        <sz val="11"/>
        <color rgb="FF000000"/>
        <rFont val="Times New Roman"/>
        <family val="1"/>
      </rPr>
      <t xml:space="preserve"> </t>
    </r>
  </si>
  <si>
    <t>Q7</t>
  </si>
  <si>
    <t>Q8</t>
  </si>
  <si>
    <t>CCE2 (Assignment :20)</t>
  </si>
  <si>
    <t>Combined Assessment Marks for COs (100)</t>
  </si>
  <si>
    <t>Benchmark</t>
  </si>
  <si>
    <t>NA</t>
  </si>
  <si>
    <t>Indirect  Attainment</t>
  </si>
  <si>
    <t>Benchmarks</t>
  </si>
  <si>
    <t>Total</t>
  </si>
  <si>
    <t>Sr. No</t>
  </si>
  <si>
    <t>MCA I SEM I AY 2023-24</t>
  </si>
  <si>
    <t>NAIK ANKIT JIVAN</t>
  </si>
  <si>
    <t>ARGADE RAVISHANKAR UTTAM</t>
  </si>
  <si>
    <t>ANERAO ONKAR RANGNATH</t>
  </si>
  <si>
    <t>MORE KIRAN SUNIL</t>
  </si>
  <si>
    <t>KSHIRSAGAR GAURAV SHRIKANT</t>
  </si>
  <si>
    <t>SHIRSAT MEGHA SHARAD</t>
  </si>
  <si>
    <t>INGALE RAHUL SUNIL</t>
  </si>
  <si>
    <t>MD TABISH ANWAR</t>
  </si>
  <si>
    <t>PUND SUYOG BHARAT</t>
  </si>
  <si>
    <t>JAGTAP DNYANESHWAR RAGHUNATH</t>
  </si>
  <si>
    <t>MAHAJAN PRATHAMESH JAGDISH</t>
  </si>
  <si>
    <t>PATHAN ALIZABEE AKHTAR KHAN</t>
  </si>
  <si>
    <t>MUNDLOD PRUTHVI BALAJI</t>
  </si>
  <si>
    <t>CHANNE VIJAY SAKHARAM</t>
  </si>
  <si>
    <t>SHAIKH AYUB SIKANDAR</t>
  </si>
  <si>
    <t>SONGIRE VAIBHAV SANTOSH</t>
  </si>
  <si>
    <t>KARDILE GAURAV NANASAHEB</t>
  </si>
  <si>
    <t>SHINDE MAHESH DHANAJI</t>
  </si>
  <si>
    <t>BHISE DIPAK VETALA</t>
  </si>
  <si>
    <t>BHAGWAT SHREYAS RAVINDRA</t>
  </si>
  <si>
    <t>RAHUL VILAS THORAT</t>
  </si>
  <si>
    <t>AVINASH BAPU MANE</t>
  </si>
  <si>
    <t>SHELKE VAIBHAV MACHHINDRA</t>
  </si>
  <si>
    <t>VIJAY SUDHAKAR LOKARE</t>
  </si>
  <si>
    <t>CHANDANKHEDE SEJAL ASHOK</t>
  </si>
  <si>
    <t>VAISHNAVI SAYAJI PINGAT</t>
  </si>
  <si>
    <t>BORSE NIKITA BHALERAO</t>
  </si>
  <si>
    <t>RADHIKA NARAYAN SHELAR</t>
  </si>
  <si>
    <t>BRAMHANE DIPAK LAXMAN</t>
  </si>
  <si>
    <t>PHATKE SAKSHI SANTOSH</t>
  </si>
  <si>
    <t>RAUT NIKHIL DINKAR</t>
  </si>
  <si>
    <t>AKHARE PRATIK RAJENDRA</t>
  </si>
  <si>
    <t>MANATKAR SHREYASH VIJAY</t>
  </si>
  <si>
    <t>VEDANT NILKANTH THATE</t>
  </si>
  <si>
    <t>SALUNKHE SANIYA SANTOSH</t>
  </si>
  <si>
    <t>NAIK BHAKTI ANIL</t>
  </si>
  <si>
    <t>RANDAVE SURAJ SHIVAJI</t>
  </si>
  <si>
    <t>PRAJWAL KISHOR SATPUTE</t>
  </si>
  <si>
    <t>KAPIL MAHENDRA MOON</t>
  </si>
  <si>
    <t>MAYURI TANAJI PATIL</t>
  </si>
  <si>
    <t>BHOSALE SHIVAJI SANTOSH</t>
  </si>
  <si>
    <t>MANE SHARVI MAHENDRA</t>
  </si>
  <si>
    <t>OMKAR SURESH JADHAV</t>
  </si>
  <si>
    <t>SANKET SUBHASH MORE</t>
  </si>
  <si>
    <t>JADHAV AKASH AMAR</t>
  </si>
  <si>
    <t>NINAD KAILAS SHEWALE</t>
  </si>
  <si>
    <t>WAHATULE PAVAN RAOSAHEB</t>
  </si>
  <si>
    <t>BHOGE AKASH PRAVINRAO</t>
  </si>
  <si>
    <t>BHAGAT DHANANJAY JAIRAM</t>
  </si>
  <si>
    <t>KUNDGIR PRATIBHA VASANT</t>
  </si>
  <si>
    <t>SAYYAD TARNUM ISMAIL</t>
  </si>
  <si>
    <t>SHRIKRISHNA SHIWAJI UBHALE</t>
  </si>
  <si>
    <t>JAGTAP PRATHAMESH BHAUSAHEB</t>
  </si>
  <si>
    <t>GHODKI RENUKA DILIP</t>
  </si>
  <si>
    <t>RELEKAR ABHISHEK RAJENDRA</t>
  </si>
  <si>
    <t>CHAUHAN ASHUTOSH SANJAYSINGH</t>
  </si>
  <si>
    <t>ATRE PANKAJ GANESH</t>
  </si>
  <si>
    <t>SUTAR VAIBHAVI VIKAS</t>
  </si>
  <si>
    <t>BHAGWAT PRATIK ANIL</t>
  </si>
  <si>
    <t>THATHAGAR VAIBHAV DHARMENDRA</t>
  </si>
  <si>
    <t>NAIKWADI ADINATH BHIMRAO</t>
  </si>
  <si>
    <t>JATHAR PRADNYA JALINDAR</t>
  </si>
  <si>
    <t>SANJIVANI SUNIL RAUT</t>
  </si>
  <si>
    <t>CHAVAN PAWAN SANTOSH</t>
  </si>
  <si>
    <t>KOLTE PRAJAKTA ANIL</t>
  </si>
  <si>
    <t>PRATIKSHA VISHWASRAO JAWARE</t>
  </si>
  <si>
    <t>JAGDHANE GAYATRI BABASAHEB</t>
  </si>
  <si>
    <t>SONAR PRERANA GAJANAN</t>
  </si>
  <si>
    <t>BHAVIK ANAND SHASHIKANT</t>
  </si>
  <si>
    <t>JADHAV SIDDHARTH SURYAKANT</t>
  </si>
  <si>
    <t>MANE VINAY TANAJI</t>
  </si>
  <si>
    <t>GAIKWAD MANGESH VISHNU</t>
  </si>
  <si>
    <t>GAIKWAD ROHAN RAJENDRA</t>
  </si>
  <si>
    <t>JAGTAP VAISHNAVI VILAS</t>
  </si>
  <si>
    <t>CHINDHE PRATIKSHA BALU</t>
  </si>
  <si>
    <t>SAKSHI SAGAR PARDESHI</t>
  </si>
  <si>
    <t>GHULE AKSHATA ADINATH</t>
  </si>
  <si>
    <t>BHAGAT SANIKA SATISH</t>
  </si>
  <si>
    <t>GANDAGE GANPATI DAYANAND</t>
  </si>
  <si>
    <t>SURYAWANSHI DIVYA BAJRANG</t>
  </si>
  <si>
    <t>KAMBLE YOGESH ARJUN</t>
  </si>
  <si>
    <t>CHAUHAN MANAV JIGAR KUMAR</t>
  </si>
  <si>
    <t>AJAY SATISH MANE</t>
  </si>
  <si>
    <t>CHOUDHARI SIDDHESH MURALIDHAR</t>
  </si>
  <si>
    <t>VARGANTI AARTI YALLAPPA</t>
  </si>
  <si>
    <t>KHAIRE PRATIKSHA KAILAS</t>
  </si>
  <si>
    <t>AJAYKUMAR PHAD</t>
  </si>
  <si>
    <t>CHAUDHARY AKHILESH JEEVAN</t>
  </si>
  <si>
    <t>TAYADE SUMEDH RAJESH</t>
  </si>
  <si>
    <t>GHULE SANKET BHANUDAS</t>
  </si>
  <si>
    <t>BAVISKAR SUMEDH ARVIND</t>
  </si>
  <si>
    <t>VAISHNAVI SANJAY YELMATE</t>
  </si>
  <si>
    <t>DHAGE SIDDHESH SUNIL</t>
  </si>
  <si>
    <t>ASHUTOSH KAMLESH DONGRE</t>
  </si>
  <si>
    <t>INGLE AKANKSHA SANJAY</t>
  </si>
  <si>
    <t>MANTRI PIYUSH DHANRAJ</t>
  </si>
  <si>
    <t>KALE ARCHAND NANDKISHOR</t>
  </si>
  <si>
    <t>BODHE GAURAV MAHESH</t>
  </si>
  <si>
    <t>THORKAR ANURAG RAJESH</t>
  </si>
  <si>
    <t>BHANDE SAKSHI GOPAL</t>
  </si>
  <si>
    <t>PATIL SNEHAL SUBHASH</t>
  </si>
  <si>
    <t>DONGAPURE AARTI SHIVRAJ</t>
  </si>
  <si>
    <t>RAVTALE RUSHIKESH AMBADAS</t>
  </si>
  <si>
    <t>VIVEK RAJVILAS SHAMKULE</t>
  </si>
  <si>
    <t>JISHAN VAHED SHAIKH</t>
  </si>
  <si>
    <t>MORE RUTUJA MADHUKAR</t>
  </si>
  <si>
    <t>ABHISHEK ARGADE</t>
  </si>
  <si>
    <t>KISHOR LAXMAN HAKE</t>
  </si>
  <si>
    <t xml:space="preserve">Dr. Ashwini Chavan, </t>
  </si>
  <si>
    <t>Network Technologies</t>
  </si>
  <si>
    <t>Course Exit Survey</t>
  </si>
  <si>
    <t>221-1</t>
  </si>
  <si>
    <t>Understand the basic concepts of Computer Network, and principle of layering</t>
  </si>
  <si>
    <t>Apply the error detection and correction techniques used in data transmission</t>
  </si>
  <si>
    <t>Apply IP addressing schemes and sub netting</t>
  </si>
  <si>
    <t>Understand the concept of routing protocols, Application layer protocols and Network Security</t>
  </si>
  <si>
    <t>Apply the socket programming basics to create a simple chat application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</si>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</sst>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5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4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2060"/>
      <name val="Times New Roman"/>
      <family val="1"/>
    </font>
    <font>
      <sz val="10"/>
      <color rgb="FF000000"/>
      <name val="Arial"/>
      <family val="2"/>
      <scheme val="minor"/>
    </font>
    <font>
      <sz val="10"/>
      <color rgb="FF00000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Arial"/>
      <family val="2"/>
      <scheme val="minor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i/>
      <sz val="14"/>
      <color rgb="FF000000"/>
      <name val="Times New Roman"/>
      <family val="1"/>
    </font>
    <font>
      <sz val="12"/>
      <name val="Times New Roman"/>
      <family val="1"/>
    </font>
    <font>
      <sz val="11"/>
      <color rgb="FF000000"/>
      <name val="Times New Roman"/>
      <family val="1"/>
    </font>
    <font>
      <b/>
      <sz val="14"/>
      <color theme="9" tint="-0.249977111117893"/>
      <name val="Times New Roman"/>
      <family val="1"/>
    </font>
    <font>
      <sz val="11"/>
      <color theme="0"/>
      <name val="Times New Roman"/>
      <family val="1"/>
    </font>
    <font>
      <b/>
      <sz val="16"/>
      <color theme="9" tint="-0.249977111117893"/>
      <name val="Times New Roman"/>
      <family val="1"/>
    </font>
    <font>
      <b/>
      <sz val="11"/>
      <color theme="0"/>
      <name val="Times New Roman"/>
      <family val="1"/>
    </font>
    <font>
      <b/>
      <sz val="12"/>
      <name val="Times New Roman"/>
      <family val="1"/>
    </font>
    <font>
      <b/>
      <sz val="10"/>
      <color rgb="FF002060"/>
      <name val="Arial"/>
      <family val="2"/>
      <scheme val="minor"/>
    </font>
    <font>
      <b/>
      <sz val="16"/>
      <color theme="0"/>
      <name val="Times New Roman"/>
      <family val="1"/>
    </font>
    <font>
      <sz val="10"/>
      <color theme="0"/>
      <name val="Times New Roman"/>
      <family val="1"/>
    </font>
    <font>
      <b/>
      <sz val="14"/>
      <color theme="0"/>
      <name val="Times New Roman"/>
      <family val="1"/>
    </font>
    <font>
      <sz val="10"/>
      <color rgb="FF000000"/>
      <name val="Times New Roman"/>
      <family val="1"/>
    </font>
    <font>
      <sz val="9"/>
      <name val="Arial MT"/>
      <charset val="134"/>
    </font>
    <font>
      <b/>
      <sz val="10"/>
      <color theme="0"/>
      <name val="Times New Roman"/>
      <family val="1"/>
    </font>
    <font>
      <sz val="18"/>
      <color theme="0"/>
      <name val="Times New Roman"/>
      <family val="1"/>
    </font>
    <font>
      <b/>
      <sz val="12"/>
      <color theme="2"/>
      <name val="Times New Roman"/>
      <family val="1"/>
    </font>
    <font>
      <sz val="12"/>
      <color theme="2"/>
      <name val="Times New Roman"/>
      <family val="1"/>
    </font>
    <font>
      <sz val="14"/>
      <color theme="0"/>
      <name val="Times New Roman"/>
      <family val="1"/>
    </font>
    <font>
      <b/>
      <sz val="11"/>
      <color theme="0"/>
      <name val="Arial"/>
      <family val="2"/>
      <scheme val="minor"/>
    </font>
    <font>
      <u/>
      <sz val="10"/>
      <color theme="10"/>
      <name val="Arial"/>
      <family val="2"/>
      <scheme val="minor"/>
    </font>
    <font>
      <u/>
      <sz val="14"/>
      <color theme="0"/>
      <name val="Arial"/>
      <family val="2"/>
      <scheme val="minor"/>
    </font>
    <font>
      <sz val="14"/>
      <color theme="1"/>
      <name val="Times New Roman"/>
      <family val="1"/>
    </font>
    <font>
      <sz val="11"/>
      <color theme="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4"/>
      <color rgb="FF002060"/>
      <name val="Times New Roman"/>
      <family val="1"/>
    </font>
    <font>
      <b/>
      <sz val="14"/>
      <color theme="9" tint="-0.499984740745262"/>
      <name val="Times New Roman"/>
      <family val="1"/>
    </font>
    <font>
      <b/>
      <sz val="22"/>
      <color rgb="FF002060"/>
      <name val="Times New Roman"/>
      <family val="1"/>
    </font>
    <font>
      <b/>
      <sz val="12"/>
      <color theme="0"/>
      <name val="Times New Roman"/>
      <family val="1"/>
    </font>
    <font>
      <b/>
      <sz val="20"/>
      <color theme="0"/>
      <name val="Times New Roman"/>
      <family val="1"/>
    </font>
    <font>
      <sz val="12"/>
      <color rgb="FF444444"/>
      <name val="Times New Roman"/>
      <family val="1"/>
    </font>
    <font>
      <sz val="12"/>
      <color rgb="FF444444"/>
      <name val="Arial"/>
      <family val="2"/>
    </font>
    <font>
      <sz val="11"/>
      <color rgb="FF444444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2"/>
      <color theme="0"/>
      <name val="Times New Roman"/>
      <family val="1"/>
    </font>
    <font>
      <sz val="11"/>
      <color rgb="FF444444"/>
      <name val="Arial"/>
      <family val="2"/>
    </font>
    <font>
      <sz val="10"/>
      <color rgb="FF1F1F1F"/>
      <name val="Arial"/>
      <family val="2"/>
      <scheme val="minor"/>
    </font>
    <font>
      <sz val="12"/>
      <color rgb="FF1F1F1F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-0.499984740745262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thin">
        <color rgb="FF000000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thin">
        <color rgb="FF000000"/>
      </bottom>
      <diagonal/>
    </border>
    <border>
      <left style="medium">
        <color rgb="FFDDDDDD"/>
      </left>
      <right style="thin">
        <color rgb="FF000000"/>
      </right>
      <top style="medium">
        <color rgb="FFDDDDDD"/>
      </top>
      <bottom style="thin">
        <color rgb="FF000000"/>
      </bottom>
      <diagonal/>
    </border>
  </borders>
  <cellStyleXfs count="9">
    <xf numFmtId="0" fontId="0" fillId="0" borderId="0"/>
    <xf numFmtId="0" fontId="9" fillId="0" borderId="0"/>
    <xf numFmtId="0" fontId="1" fillId="0" borderId="0"/>
    <xf numFmtId="9" fontId="19" fillId="0" borderId="0" applyFont="0" applyFill="0" applyBorder="0" applyAlignment="0" applyProtection="0"/>
    <xf numFmtId="0" fontId="10" fillId="0" borderId="0"/>
    <xf numFmtId="0" fontId="34" fillId="0" borderId="0"/>
    <xf numFmtId="0" fontId="42" fillId="0" borderId="0" applyNumberFormat="0" applyFill="0" applyBorder="0" applyAlignment="0" applyProtection="0"/>
    <xf numFmtId="0" fontId="9" fillId="0" borderId="0"/>
    <xf numFmtId="0" fontId="9" fillId="0" borderId="0"/>
  </cellStyleXfs>
  <cellXfs count="37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8" fillId="0" borderId="0" xfId="0" applyFont="1" applyAlignment="1">
      <alignment horizontal="center" vertical="center" wrapText="1"/>
    </xf>
    <xf numFmtId="0" fontId="10" fillId="0" borderId="0" xfId="0" applyFont="1"/>
    <xf numFmtId="0" fontId="11" fillId="0" borderId="0" xfId="0" applyFont="1" applyAlignment="1">
      <alignment horizontal="left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/>
    <xf numFmtId="0" fontId="15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/>
    <xf numFmtId="0" fontId="14" fillId="3" borderId="34" xfId="0" applyFont="1" applyFill="1" applyBorder="1" applyAlignment="1">
      <alignment vertical="center" wrapText="1"/>
    </xf>
    <xf numFmtId="0" fontId="14" fillId="3" borderId="35" xfId="0" applyFont="1" applyFill="1" applyBorder="1" applyAlignment="1">
      <alignment vertical="center" wrapText="1"/>
    </xf>
    <xf numFmtId="0" fontId="10" fillId="3" borderId="20" xfId="0" applyFont="1" applyFill="1" applyBorder="1"/>
    <xf numFmtId="0" fontId="17" fillId="3" borderId="22" xfId="0" applyFont="1" applyFill="1" applyBorder="1" applyAlignment="1">
      <alignment vertical="center" wrapText="1"/>
    </xf>
    <xf numFmtId="0" fontId="10" fillId="3" borderId="23" xfId="0" applyFont="1" applyFill="1" applyBorder="1"/>
    <xf numFmtId="0" fontId="15" fillId="3" borderId="9" xfId="0" applyFont="1" applyFill="1" applyBorder="1"/>
    <xf numFmtId="0" fontId="18" fillId="3" borderId="37" xfId="0" applyFont="1" applyFill="1" applyBorder="1" applyAlignment="1">
      <alignment vertical="center" wrapText="1"/>
    </xf>
    <xf numFmtId="0" fontId="18" fillId="3" borderId="26" xfId="0" applyFont="1" applyFill="1" applyBorder="1" applyAlignment="1">
      <alignment vertical="center" wrapText="1"/>
    </xf>
    <xf numFmtId="0" fontId="4" fillId="0" borderId="0" xfId="0" applyFont="1" applyAlignment="1">
      <alignment vertical="top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9" fontId="1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11" fillId="0" borderId="0" xfId="2" applyFont="1"/>
    <xf numFmtId="0" fontId="23" fillId="0" borderId="0" xfId="0" applyFont="1"/>
    <xf numFmtId="0" fontId="3" fillId="0" borderId="0" xfId="0" applyFont="1" applyAlignment="1">
      <alignment horizontal="left"/>
    </xf>
    <xf numFmtId="0" fontId="13" fillId="0" borderId="1" xfId="0" applyFont="1" applyBorder="1" applyAlignment="1">
      <alignment horizontal="center" vertical="center"/>
    </xf>
    <xf numFmtId="0" fontId="25" fillId="0" borderId="0" xfId="2" applyFont="1" applyAlignment="1">
      <alignment horizontal="center" vertical="center"/>
    </xf>
    <xf numFmtId="0" fontId="14" fillId="0" borderId="0" xfId="2" applyFont="1"/>
    <xf numFmtId="0" fontId="14" fillId="0" borderId="0" xfId="2" applyFont="1" applyAlignment="1">
      <alignment horizontal="center"/>
    </xf>
    <xf numFmtId="0" fontId="10" fillId="0" borderId="0" xfId="0" applyFont="1" applyAlignment="1">
      <alignment vertical="top"/>
    </xf>
    <xf numFmtId="0" fontId="10" fillId="0" borderId="0" xfId="1" applyFont="1" applyAlignment="1">
      <alignment horizontal="center" vertical="center"/>
    </xf>
    <xf numFmtId="0" fontId="12" fillId="0" borderId="1" xfId="1" applyFont="1" applyBorder="1" applyAlignment="1">
      <alignment horizontal="center"/>
    </xf>
    <xf numFmtId="0" fontId="10" fillId="0" borderId="0" xfId="1" applyFont="1"/>
    <xf numFmtId="0" fontId="10" fillId="0" borderId="1" xfId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14" fillId="0" borderId="0" xfId="2" applyFont="1" applyAlignment="1">
      <alignment vertical="center"/>
    </xf>
    <xf numFmtId="0" fontId="21" fillId="0" borderId="0" xfId="2" applyFont="1"/>
    <xf numFmtId="2" fontId="20" fillId="4" borderId="1" xfId="2" applyNumberFormat="1" applyFont="1" applyFill="1" applyBorder="1" applyAlignment="1" applyProtection="1">
      <alignment horizontal="center" vertical="center"/>
      <protection hidden="1"/>
    </xf>
    <xf numFmtId="0" fontId="21" fillId="0" borderId="0" xfId="2" applyFont="1" applyAlignment="1">
      <alignment vertical="center"/>
    </xf>
    <xf numFmtId="0" fontId="17" fillId="0" borderId="0" xfId="2" applyFont="1"/>
    <xf numFmtId="0" fontId="3" fillId="0" borderId="0" xfId="1" applyFont="1"/>
    <xf numFmtId="0" fontId="3" fillId="0" borderId="0" xfId="1" applyFont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/>
    </xf>
    <xf numFmtId="0" fontId="10" fillId="0" borderId="0" xfId="0" applyFont="1" applyAlignment="1">
      <alignment vertical="center" wrapText="1"/>
    </xf>
    <xf numFmtId="0" fontId="29" fillId="0" borderId="0" xfId="2" applyFont="1"/>
    <xf numFmtId="0" fontId="20" fillId="0" borderId="0" xfId="2" applyFont="1" applyAlignment="1">
      <alignment vertical="center"/>
    </xf>
    <xf numFmtId="0" fontId="28" fillId="6" borderId="1" xfId="2" applyFont="1" applyFill="1" applyBorder="1" applyAlignment="1">
      <alignment horizontal="center" vertical="center"/>
    </xf>
    <xf numFmtId="0" fontId="26" fillId="6" borderId="0" xfId="2" applyFont="1" applyFill="1" applyAlignment="1">
      <alignment horizontal="center" vertical="center"/>
    </xf>
    <xf numFmtId="0" fontId="28" fillId="5" borderId="35" xfId="0" applyFont="1" applyFill="1" applyBorder="1" applyAlignment="1">
      <alignment horizontal="center" vertical="center"/>
    </xf>
    <xf numFmtId="9" fontId="28" fillId="5" borderId="37" xfId="0" applyNumberFormat="1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9" fontId="28" fillId="5" borderId="9" xfId="0" applyNumberFormat="1" applyFont="1" applyFill="1" applyBorder="1" applyAlignment="1">
      <alignment horizontal="center" vertical="center"/>
    </xf>
    <xf numFmtId="0" fontId="28" fillId="5" borderId="23" xfId="0" applyFont="1" applyFill="1" applyBorder="1" applyAlignment="1">
      <alignment horizontal="center" vertical="center"/>
    </xf>
    <xf numFmtId="9" fontId="28" fillId="5" borderId="26" xfId="0" applyNumberFormat="1" applyFont="1" applyFill="1" applyBorder="1" applyAlignment="1">
      <alignment horizontal="center" vertical="center"/>
    </xf>
    <xf numFmtId="0" fontId="35" fillId="0" borderId="0" xfId="5" applyFont="1" applyAlignment="1">
      <alignment vertical="top" wrapText="1"/>
    </xf>
    <xf numFmtId="1" fontId="3" fillId="0" borderId="46" xfId="4" applyNumberFormat="1" applyFont="1" applyBorder="1" applyAlignment="1">
      <alignment horizontal="center" vertical="top" shrinkToFit="1"/>
    </xf>
    <xf numFmtId="0" fontId="14" fillId="0" borderId="1" xfId="1" applyFont="1" applyBorder="1" applyAlignment="1">
      <alignment horizontal="center"/>
    </xf>
    <xf numFmtId="0" fontId="32" fillId="5" borderId="0" xfId="0" applyFont="1" applyFill="1" applyAlignment="1">
      <alignment wrapText="1"/>
    </xf>
    <xf numFmtId="0" fontId="36" fillId="5" borderId="0" xfId="0" applyFont="1" applyFill="1" applyAlignment="1">
      <alignment wrapText="1"/>
    </xf>
    <xf numFmtId="0" fontId="33" fillId="5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center" vertical="top"/>
    </xf>
    <xf numFmtId="0" fontId="38" fillId="6" borderId="1" xfId="0" applyFont="1" applyFill="1" applyBorder="1" applyAlignment="1">
      <alignment horizontal="left"/>
    </xf>
    <xf numFmtId="1" fontId="39" fillId="6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left"/>
    </xf>
    <xf numFmtId="164" fontId="3" fillId="9" borderId="1" xfId="0" applyNumberFormat="1" applyFont="1" applyFill="1" applyBorder="1" applyAlignment="1">
      <alignment horizontal="center"/>
    </xf>
    <xf numFmtId="1" fontId="12" fillId="0" borderId="1" xfId="1" applyNumberFormat="1" applyFont="1" applyBorder="1" applyAlignment="1">
      <alignment horizontal="center"/>
    </xf>
    <xf numFmtId="164" fontId="3" fillId="10" borderId="0" xfId="7" applyNumberFormat="1" applyFont="1" applyFill="1" applyAlignment="1">
      <alignment horizontal="center"/>
    </xf>
    <xf numFmtId="0" fontId="44" fillId="0" borderId="0" xfId="0" applyFont="1"/>
    <xf numFmtId="164" fontId="3" fillId="10" borderId="0" xfId="8" applyNumberFormat="1" applyFont="1" applyFill="1" applyAlignment="1">
      <alignment horizontal="center"/>
    </xf>
    <xf numFmtId="0" fontId="17" fillId="0" borderId="0" xfId="0" applyFont="1"/>
    <xf numFmtId="0" fontId="3" fillId="0" borderId="0" xfId="4" applyFont="1" applyAlignment="1">
      <alignment horizontal="center"/>
    </xf>
    <xf numFmtId="0" fontId="5" fillId="0" borderId="1" xfId="0" applyFont="1" applyBorder="1" applyAlignment="1">
      <alignment horizontal="right" vertical="center"/>
    </xf>
    <xf numFmtId="0" fontId="3" fillId="0" borderId="0" xfId="4" applyFont="1" applyAlignment="1">
      <alignment horizontal="left"/>
    </xf>
    <xf numFmtId="0" fontId="3" fillId="4" borderId="1" xfId="0" applyFont="1" applyFill="1" applyBorder="1"/>
    <xf numFmtId="0" fontId="46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9" fontId="30" fillId="4" borderId="1" xfId="0" applyNumberFormat="1" applyFont="1" applyFill="1" applyBorder="1" applyAlignment="1">
      <alignment horizontal="center" vertical="center"/>
    </xf>
    <xf numFmtId="0" fontId="47" fillId="0" borderId="0" xfId="0" applyFont="1"/>
    <xf numFmtId="0" fontId="48" fillId="0" borderId="0" xfId="0" applyFont="1" applyAlignment="1">
      <alignment horizontal="center"/>
    </xf>
    <xf numFmtId="0" fontId="28" fillId="6" borderId="8" xfId="2" applyFont="1" applyFill="1" applyBorder="1" applyAlignment="1">
      <alignment horizontal="center" vertical="center"/>
    </xf>
    <xf numFmtId="2" fontId="28" fillId="6" borderId="8" xfId="2" applyNumberFormat="1" applyFont="1" applyFill="1" applyBorder="1" applyAlignment="1" applyProtection="1">
      <alignment horizontal="center" vertical="center"/>
      <protection hidden="1"/>
    </xf>
    <xf numFmtId="0" fontId="2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54" fillId="15" borderId="1" xfId="0" applyFont="1" applyFill="1" applyBorder="1" applyAlignment="1">
      <alignment horizontal="center" vertical="center" wrapText="1"/>
    </xf>
    <xf numFmtId="0" fontId="17" fillId="0" borderId="0" xfId="2" applyFont="1" applyAlignment="1">
      <alignment horizontal="center"/>
    </xf>
    <xf numFmtId="0" fontId="17" fillId="0" borderId="0" xfId="0" applyFont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7" fillId="0" borderId="0" xfId="2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7" fillId="10" borderId="0" xfId="0" applyFont="1" applyFill="1" applyBorder="1" applyAlignment="1">
      <alignment vertical="top" wrapText="1"/>
    </xf>
    <xf numFmtId="2" fontId="28" fillId="10" borderId="0" xfId="2" applyNumberFormat="1" applyFont="1" applyFill="1" applyBorder="1" applyAlignment="1" applyProtection="1">
      <alignment horizontal="center" vertical="center"/>
      <protection hidden="1"/>
    </xf>
    <xf numFmtId="0" fontId="28" fillId="10" borderId="0" xfId="2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2" fontId="28" fillId="6" borderId="1" xfId="2" applyNumberFormat="1" applyFont="1" applyFill="1" applyBorder="1" applyAlignment="1" applyProtection="1">
      <alignment horizontal="center" vertical="center"/>
      <protection hidden="1"/>
    </xf>
    <xf numFmtId="0" fontId="49" fillId="0" borderId="0" xfId="2" applyFont="1" applyAlignment="1">
      <alignment vertical="center" wrapText="1"/>
    </xf>
    <xf numFmtId="0" fontId="49" fillId="0" borderId="0" xfId="0" applyFont="1" applyBorder="1" applyAlignment="1">
      <alignment vertical="center" wrapText="1"/>
    </xf>
    <xf numFmtId="0" fontId="28" fillId="15" borderId="1" xfId="0" applyFont="1" applyFill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10" fillId="0" borderId="0" xfId="0" applyFont="1" applyBorder="1"/>
    <xf numFmtId="0" fontId="13" fillId="10" borderId="14" xfId="1" applyFont="1" applyFill="1" applyBorder="1" applyAlignment="1">
      <alignment horizontal="center" vertical="center"/>
    </xf>
    <xf numFmtId="0" fontId="13" fillId="10" borderId="2" xfId="1" applyFont="1" applyFill="1" applyBorder="1" applyAlignment="1">
      <alignment horizontal="center" vertical="center"/>
    </xf>
    <xf numFmtId="0" fontId="13" fillId="10" borderId="2" xfId="1" applyFont="1" applyFill="1" applyBorder="1" applyAlignment="1">
      <alignment horizontal="center" vertical="center" wrapText="1"/>
    </xf>
    <xf numFmtId="0" fontId="13" fillId="10" borderId="15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vertical="center" wrapText="1"/>
    </xf>
    <xf numFmtId="0" fontId="13" fillId="16" borderId="1" xfId="0" applyFont="1" applyFill="1" applyBorder="1" applyAlignment="1">
      <alignment vertical="center" wrapText="1"/>
    </xf>
    <xf numFmtId="0" fontId="10" fillId="16" borderId="1" xfId="0" applyFont="1" applyFill="1" applyBorder="1"/>
    <xf numFmtId="0" fontId="17" fillId="16" borderId="1" xfId="0" applyFont="1" applyFill="1" applyBorder="1" applyAlignment="1">
      <alignment vertical="center" wrapText="1"/>
    </xf>
    <xf numFmtId="2" fontId="10" fillId="16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2" fontId="37" fillId="5" borderId="0" xfId="0" applyNumberFormat="1" applyFont="1" applyFill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1" fillId="0" borderId="1" xfId="2" applyFont="1" applyBorder="1" applyAlignment="1">
      <alignment vertical="center"/>
    </xf>
    <xf numFmtId="0" fontId="28" fillId="15" borderId="1" xfId="2" applyFont="1" applyFill="1" applyBorder="1" applyAlignment="1">
      <alignment horizontal="center" vertical="center"/>
    </xf>
    <xf numFmtId="0" fontId="21" fillId="13" borderId="1" xfId="2" applyFont="1" applyFill="1" applyBorder="1" applyAlignment="1">
      <alignment horizontal="center" vertical="center" wrapText="1"/>
    </xf>
    <xf numFmtId="0" fontId="21" fillId="4" borderId="1" xfId="2" applyFont="1" applyFill="1" applyBorder="1" applyAlignment="1">
      <alignment horizontal="center" vertical="center" wrapText="1"/>
    </xf>
    <xf numFmtId="0" fontId="21" fillId="4" borderId="1" xfId="2" applyFont="1" applyFill="1" applyBorder="1" applyAlignment="1">
      <alignment horizontal="center" vertical="center"/>
    </xf>
    <xf numFmtId="2" fontId="21" fillId="13" borderId="1" xfId="2" applyNumberFormat="1" applyFont="1" applyFill="1" applyBorder="1" applyAlignment="1">
      <alignment horizontal="center" vertical="center"/>
    </xf>
    <xf numFmtId="0" fontId="48" fillId="0" borderId="0" xfId="0" applyFont="1"/>
    <xf numFmtId="0" fontId="40" fillId="8" borderId="1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4" fillId="0" borderId="1" xfId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56" fillId="17" borderId="1" xfId="0" applyFont="1" applyFill="1" applyBorder="1" applyAlignment="1" applyProtection="1">
      <alignment horizontal="center" vertical="center"/>
    </xf>
    <xf numFmtId="0" fontId="56" fillId="17" borderId="1" xfId="0" applyFont="1" applyFill="1" applyBorder="1" applyAlignment="1" applyProtection="1">
      <alignment horizontal="left" vertical="center"/>
    </xf>
    <xf numFmtId="0" fontId="58" fillId="17" borderId="1" xfId="0" applyFont="1" applyFill="1" applyBorder="1" applyAlignment="1" applyProtection="1">
      <alignment horizontal="center" vertical="center"/>
    </xf>
    <xf numFmtId="0" fontId="60" fillId="10" borderId="1" xfId="1" applyFont="1" applyFill="1" applyBorder="1" applyAlignment="1">
      <alignment horizontal="center"/>
    </xf>
    <xf numFmtId="0" fontId="60" fillId="10" borderId="1" xfId="1" applyNumberFormat="1" applyFont="1" applyFill="1" applyBorder="1" applyAlignment="1">
      <alignment horizontal="center"/>
    </xf>
    <xf numFmtId="1" fontId="60" fillId="10" borderId="9" xfId="1" applyNumberFormat="1" applyFont="1" applyFill="1" applyBorder="1" applyAlignment="1">
      <alignment horizontal="center"/>
    </xf>
    <xf numFmtId="0" fontId="59" fillId="0" borderId="1" xfId="4" applyNumberFormat="1" applyFont="1" applyFill="1" applyBorder="1" applyAlignment="1">
      <alignment horizontal="center" vertical="center"/>
    </xf>
    <xf numFmtId="0" fontId="56" fillId="17" borderId="1" xfId="0" applyFont="1" applyFill="1" applyBorder="1" applyAlignment="1">
      <alignment horizontal="center" vertical="center"/>
    </xf>
    <xf numFmtId="0" fontId="56" fillId="17" borderId="1" xfId="0" applyFont="1" applyFill="1" applyBorder="1" applyAlignment="1">
      <alignment horizontal="left" vertical="center"/>
    </xf>
    <xf numFmtId="0" fontId="15" fillId="3" borderId="8" xfId="0" applyFont="1" applyFill="1" applyBorder="1" applyAlignment="1">
      <alignment horizontal="center" vertical="center"/>
    </xf>
    <xf numFmtId="0" fontId="10" fillId="0" borderId="1" xfId="0" applyFont="1" applyBorder="1"/>
    <xf numFmtId="0" fontId="10" fillId="10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 vertical="center"/>
    </xf>
    <xf numFmtId="0" fontId="10" fillId="10" borderId="8" xfId="0" applyFont="1" applyFill="1" applyBorder="1" applyAlignment="1">
      <alignment horizontal="center" vertical="center"/>
    </xf>
    <xf numFmtId="1" fontId="21" fillId="4" borderId="29" xfId="0" applyNumberFormat="1" applyFont="1" applyFill="1" applyBorder="1" applyAlignment="1">
      <alignment horizontal="center"/>
    </xf>
    <xf numFmtId="1" fontId="21" fillId="4" borderId="30" xfId="0" applyNumberFormat="1" applyFont="1" applyFill="1" applyBorder="1" applyAlignment="1">
      <alignment horizontal="center"/>
    </xf>
    <xf numFmtId="1" fontId="21" fillId="4" borderId="13" xfId="0" applyNumberFormat="1" applyFont="1" applyFill="1" applyBorder="1" applyAlignment="1">
      <alignment horizontal="center"/>
    </xf>
    <xf numFmtId="2" fontId="10" fillId="0" borderId="1" xfId="0" applyNumberFormat="1" applyFont="1" applyBorder="1"/>
    <xf numFmtId="0" fontId="9" fillId="0" borderId="1" xfId="0" applyFont="1" applyBorder="1"/>
    <xf numFmtId="0" fontId="62" fillId="17" borderId="50" xfId="0" applyFont="1" applyFill="1" applyBorder="1" applyAlignment="1">
      <alignment horizontal="left" vertical="center"/>
    </xf>
    <xf numFmtId="0" fontId="62" fillId="17" borderId="51" xfId="0" applyFont="1" applyFill="1" applyBorder="1" applyAlignment="1">
      <alignment horizontal="left" vertical="center"/>
    </xf>
    <xf numFmtId="0" fontId="62" fillId="17" borderId="52" xfId="0" applyFont="1" applyFill="1" applyBorder="1" applyAlignment="1">
      <alignment horizontal="left" vertical="center"/>
    </xf>
    <xf numFmtId="0" fontId="62" fillId="17" borderId="53" xfId="0" applyFont="1" applyFill="1" applyBorder="1" applyAlignment="1">
      <alignment horizontal="left" vertical="center"/>
    </xf>
    <xf numFmtId="0" fontId="57" fillId="17" borderId="0" xfId="0" applyFont="1" applyFill="1" applyAlignment="1">
      <alignment horizontal="center" vertical="center"/>
    </xf>
    <xf numFmtId="0" fontId="57" fillId="17" borderId="0" xfId="0" applyFont="1" applyFill="1" applyBorder="1" applyAlignment="1">
      <alignment horizontal="center" vertical="center"/>
    </xf>
    <xf numFmtId="0" fontId="3" fillId="0" borderId="0" xfId="4" applyFont="1" applyAlignment="1">
      <alignment horizontal="center"/>
    </xf>
    <xf numFmtId="0" fontId="17" fillId="0" borderId="0" xfId="2" applyFont="1" applyAlignment="1">
      <alignment horizontal="center"/>
    </xf>
    <xf numFmtId="0" fontId="14" fillId="0" borderId="1" xfId="1" applyFont="1" applyBorder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63" fillId="0" borderId="1" xfId="0" applyFont="1" applyBorder="1" applyAlignment="1">
      <alignment horizontal="left" vertical="center" wrapText="1" indent="1" readingOrder="1"/>
    </xf>
    <xf numFmtId="2" fontId="14" fillId="0" borderId="1" xfId="3" applyNumberFormat="1" applyFont="1" applyFill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/>
    </xf>
    <xf numFmtId="2" fontId="64" fillId="0" borderId="1" xfId="0" applyNumberFormat="1" applyFont="1" applyBorder="1" applyAlignment="1">
      <alignment horizontal="center" vertical="center" wrapText="1" readingOrder="1"/>
    </xf>
    <xf numFmtId="164" fontId="64" fillId="0" borderId="1" xfId="0" applyNumberFormat="1" applyFont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left"/>
    </xf>
    <xf numFmtId="0" fontId="3" fillId="4" borderId="9" xfId="0" applyFont="1" applyFill="1" applyBorder="1" applyAlignment="1">
      <alignment horizontal="left"/>
    </xf>
    <xf numFmtId="0" fontId="3" fillId="4" borderId="19" xfId="0" applyFont="1" applyFill="1" applyBorder="1" applyAlignment="1">
      <alignment horizontal="left"/>
    </xf>
    <xf numFmtId="0" fontId="3" fillId="4" borderId="10" xfId="0" applyFont="1" applyFill="1" applyBorder="1" applyAlignment="1">
      <alignment horizontal="left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45" fillId="5" borderId="0" xfId="0" applyFont="1" applyFill="1" applyAlignment="1">
      <alignment horizontal="center"/>
    </xf>
    <xf numFmtId="0" fontId="3" fillId="0" borderId="0" xfId="4" applyFont="1" applyAlignment="1">
      <alignment horizontal="center"/>
    </xf>
    <xf numFmtId="0" fontId="17" fillId="0" borderId="0" xfId="2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53" fillId="4" borderId="1" xfId="2" applyFont="1" applyFill="1" applyBorder="1" applyAlignment="1">
      <alignment horizontal="center" vertical="center" wrapText="1"/>
    </xf>
    <xf numFmtId="0" fontId="41" fillId="8" borderId="1" xfId="0" applyFont="1" applyFill="1" applyBorder="1" applyAlignment="1">
      <alignment horizontal="center" vertical="center"/>
    </xf>
    <xf numFmtId="0" fontId="41" fillId="8" borderId="9" xfId="0" applyFont="1" applyFill="1" applyBorder="1" applyAlignment="1">
      <alignment horizontal="center" vertical="center"/>
    </xf>
    <xf numFmtId="0" fontId="41" fillId="8" borderId="19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41" fillId="8" borderId="1" xfId="0" applyFont="1" applyFill="1" applyBorder="1" applyAlignment="1">
      <alignment horizontal="center" vertical="center" wrapText="1"/>
    </xf>
    <xf numFmtId="0" fontId="6" fillId="0" borderId="47" xfId="0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left" vertical="top"/>
    </xf>
    <xf numFmtId="0" fontId="23" fillId="0" borderId="19" xfId="0" applyFont="1" applyBorder="1" applyAlignment="1">
      <alignment horizontal="left" vertical="top"/>
    </xf>
    <xf numFmtId="0" fontId="23" fillId="0" borderId="10" xfId="0" applyFont="1" applyBorder="1" applyAlignment="1">
      <alignment horizontal="left" vertical="top"/>
    </xf>
    <xf numFmtId="0" fontId="11" fillId="0" borderId="9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7" fillId="0" borderId="9" xfId="0" applyFont="1" applyBorder="1" applyAlignment="1">
      <alignment horizontal="left" vertical="center" wrapText="1"/>
    </xf>
    <xf numFmtId="0" fontId="17" fillId="0" borderId="19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49" fillId="0" borderId="0" xfId="2" applyFont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17" fillId="0" borderId="0" xfId="2" applyFont="1" applyAlignment="1">
      <alignment horizontal="center" vertical="top"/>
    </xf>
    <xf numFmtId="0" fontId="3" fillId="0" borderId="0" xfId="4" applyFont="1" applyAlignment="1">
      <alignment horizontal="center" vertical="top"/>
    </xf>
    <xf numFmtId="0" fontId="17" fillId="0" borderId="0" xfId="0" applyFont="1" applyAlignment="1">
      <alignment horizontal="center" vertical="top"/>
    </xf>
    <xf numFmtId="0" fontId="44" fillId="14" borderId="1" xfId="0" applyFont="1" applyFill="1" applyBorder="1" applyAlignment="1">
      <alignment horizontal="left" vertical="top" wrapText="1"/>
    </xf>
    <xf numFmtId="0" fontId="31" fillId="5" borderId="1" xfId="2" applyFont="1" applyFill="1" applyBorder="1" applyAlignment="1">
      <alignment horizontal="center"/>
    </xf>
    <xf numFmtId="0" fontId="44" fillId="12" borderId="1" xfId="0" applyFont="1" applyFill="1" applyBorder="1" applyAlignment="1">
      <alignment horizontal="left" vertical="top" wrapText="1"/>
    </xf>
    <xf numFmtId="0" fontId="44" fillId="13" borderId="1" xfId="0" applyFont="1" applyFill="1" applyBorder="1" applyAlignment="1">
      <alignment horizontal="left" vertical="top" wrapText="1"/>
    </xf>
    <xf numFmtId="0" fontId="44" fillId="2" borderId="1" xfId="0" applyFont="1" applyFill="1" applyBorder="1" applyAlignment="1">
      <alignment horizontal="left" vertical="top" wrapText="1"/>
    </xf>
    <xf numFmtId="0" fontId="44" fillId="4" borderId="1" xfId="0" applyFont="1" applyFill="1" applyBorder="1" applyAlignment="1">
      <alignment horizontal="left" vertical="top" wrapText="1"/>
    </xf>
    <xf numFmtId="0" fontId="14" fillId="0" borderId="0" xfId="2" applyFont="1" applyAlignment="1">
      <alignment horizontal="center"/>
    </xf>
    <xf numFmtId="0" fontId="0" fillId="0" borderId="0" xfId="0" applyAlignment="1">
      <alignment horizontal="center" vertical="top"/>
    </xf>
    <xf numFmtId="0" fontId="31" fillId="5" borderId="17" xfId="2" applyFont="1" applyFill="1" applyBorder="1" applyAlignment="1">
      <alignment horizontal="center"/>
    </xf>
    <xf numFmtId="0" fontId="14" fillId="0" borderId="1" xfId="1" applyFont="1" applyBorder="1" applyAlignment="1">
      <alignment horizontal="center"/>
    </xf>
    <xf numFmtId="0" fontId="31" fillId="6" borderId="8" xfId="0" applyFont="1" applyFill="1" applyBorder="1" applyAlignment="1">
      <alignment horizontal="center" vertical="center" wrapText="1"/>
    </xf>
    <xf numFmtId="0" fontId="31" fillId="6" borderId="2" xfId="0" applyFont="1" applyFill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31" fillId="15" borderId="3" xfId="0" applyFont="1" applyFill="1" applyBorder="1" applyAlignment="1">
      <alignment horizontal="center" vertical="center"/>
    </xf>
    <xf numFmtId="0" fontId="31" fillId="15" borderId="4" xfId="0" applyFont="1" applyFill="1" applyBorder="1" applyAlignment="1">
      <alignment horizontal="center" vertical="center"/>
    </xf>
    <xf numFmtId="0" fontId="31" fillId="15" borderId="5" xfId="0" applyFont="1" applyFill="1" applyBorder="1" applyAlignment="1">
      <alignment horizontal="center" vertical="center"/>
    </xf>
    <xf numFmtId="0" fontId="54" fillId="15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54" fillId="15" borderId="9" xfId="0" applyFont="1" applyFill="1" applyBorder="1" applyAlignment="1">
      <alignment horizontal="center" vertical="center" wrapText="1"/>
    </xf>
    <xf numFmtId="0" fontId="54" fillId="15" borderId="19" xfId="0" applyFont="1" applyFill="1" applyBorder="1" applyAlignment="1">
      <alignment horizontal="center" vertical="center" wrapText="1"/>
    </xf>
    <xf numFmtId="0" fontId="54" fillId="15" borderId="10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28" fillId="15" borderId="9" xfId="0" applyFont="1" applyFill="1" applyBorder="1" applyAlignment="1">
      <alignment horizontal="center" vertical="center" wrapText="1"/>
    </xf>
    <xf numFmtId="0" fontId="28" fillId="15" borderId="10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8" fillId="15" borderId="19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1" fillId="15" borderId="6" xfId="0" applyFont="1" applyFill="1" applyBorder="1" applyAlignment="1">
      <alignment horizontal="center" vertical="center"/>
    </xf>
    <xf numFmtId="0" fontId="31" fillId="15" borderId="0" xfId="0" applyFont="1" applyFill="1" applyBorder="1" applyAlignment="1">
      <alignment horizontal="center" vertical="center"/>
    </xf>
    <xf numFmtId="0" fontId="31" fillId="15" borderId="7" xfId="0" applyFont="1" applyFill="1" applyBorder="1" applyAlignment="1">
      <alignment horizontal="center" vertical="center"/>
    </xf>
    <xf numFmtId="0" fontId="28" fillId="15" borderId="1" xfId="0" applyFont="1" applyFill="1" applyBorder="1" applyAlignment="1">
      <alignment horizontal="center" vertical="center" wrapText="1"/>
    </xf>
    <xf numFmtId="0" fontId="3" fillId="0" borderId="0" xfId="4" applyFont="1" applyAlignment="1">
      <alignment horizontal="left"/>
    </xf>
    <xf numFmtId="0" fontId="31" fillId="15" borderId="1" xfId="0" applyFont="1" applyFill="1" applyBorder="1" applyAlignment="1">
      <alignment horizontal="center" vertical="top"/>
    </xf>
    <xf numFmtId="0" fontId="31" fillId="15" borderId="9" xfId="0" applyFont="1" applyFill="1" applyBorder="1" applyAlignment="1">
      <alignment horizontal="center" vertical="top"/>
    </xf>
    <xf numFmtId="0" fontId="61" fillId="18" borderId="18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9" fontId="21" fillId="7" borderId="5" xfId="0" applyNumberFormat="1" applyFont="1" applyFill="1" applyBorder="1" applyAlignment="1">
      <alignment horizontal="center" vertical="center"/>
    </xf>
    <xf numFmtId="9" fontId="21" fillId="7" borderId="7" xfId="0" applyNumberFormat="1" applyFont="1" applyFill="1" applyBorder="1" applyAlignment="1">
      <alignment horizontal="center" vertical="center"/>
    </xf>
    <xf numFmtId="9" fontId="21" fillId="7" borderId="13" xfId="0" applyNumberFormat="1" applyFont="1" applyFill="1" applyBorder="1" applyAlignment="1">
      <alignment horizontal="center" vertical="center"/>
    </xf>
    <xf numFmtId="0" fontId="31" fillId="6" borderId="3" xfId="0" applyFont="1" applyFill="1" applyBorder="1" applyAlignment="1">
      <alignment horizontal="center" vertical="top"/>
    </xf>
    <xf numFmtId="0" fontId="31" fillId="6" borderId="4" xfId="0" applyFont="1" applyFill="1" applyBorder="1" applyAlignment="1">
      <alignment horizontal="center" vertical="top"/>
    </xf>
    <xf numFmtId="0" fontId="31" fillId="6" borderId="5" xfId="0" applyFont="1" applyFill="1" applyBorder="1" applyAlignment="1">
      <alignment horizontal="center" vertical="top"/>
    </xf>
    <xf numFmtId="0" fontId="15" fillId="3" borderId="1" xfId="0" applyFont="1" applyFill="1" applyBorder="1" applyAlignment="1">
      <alignment horizontal="center" vertical="center" wrapText="1"/>
    </xf>
    <xf numFmtId="0" fontId="15" fillId="3" borderId="34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horizontal="center" vertical="center"/>
    </xf>
    <xf numFmtId="0" fontId="15" fillId="3" borderId="35" xfId="0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center" vertical="center"/>
    </xf>
    <xf numFmtId="0" fontId="28" fillId="6" borderId="3" xfId="0" applyFont="1" applyFill="1" applyBorder="1" applyAlignment="1">
      <alignment horizontal="center" vertical="center"/>
    </xf>
    <xf numFmtId="0" fontId="28" fillId="6" borderId="4" xfId="0" applyFont="1" applyFill="1" applyBorder="1" applyAlignment="1">
      <alignment horizontal="center" vertical="center"/>
    </xf>
    <xf numFmtId="0" fontId="28" fillId="6" borderId="38" xfId="0" applyFont="1" applyFill="1" applyBorder="1" applyAlignment="1">
      <alignment horizontal="center" vertical="center"/>
    </xf>
    <xf numFmtId="0" fontId="28" fillId="6" borderId="6" xfId="0" applyFont="1" applyFill="1" applyBorder="1" applyAlignment="1">
      <alignment horizontal="center" vertical="center"/>
    </xf>
    <xf numFmtId="0" fontId="28" fillId="6" borderId="0" xfId="0" applyFont="1" applyFill="1" applyAlignment="1">
      <alignment horizontal="center" vertical="center"/>
    </xf>
    <xf numFmtId="0" fontId="28" fillId="6" borderId="11" xfId="0" applyFont="1" applyFill="1" applyBorder="1" applyAlignment="1">
      <alignment horizontal="center" vertical="center"/>
    </xf>
    <xf numFmtId="0" fontId="28" fillId="6" borderId="16" xfId="0" applyFont="1" applyFill="1" applyBorder="1" applyAlignment="1">
      <alignment horizontal="center" vertical="center"/>
    </xf>
    <xf numFmtId="0" fontId="28" fillId="6" borderId="12" xfId="0" applyFont="1" applyFill="1" applyBorder="1" applyAlignment="1">
      <alignment horizontal="center" vertical="center"/>
    </xf>
    <xf numFmtId="0" fontId="28" fillId="6" borderId="39" xfId="0" applyFont="1" applyFill="1" applyBorder="1" applyAlignment="1">
      <alignment horizontal="center" vertical="center"/>
    </xf>
    <xf numFmtId="0" fontId="33" fillId="5" borderId="4" xfId="0" applyFont="1" applyFill="1" applyBorder="1" applyAlignment="1">
      <alignment horizontal="center" vertical="center"/>
    </xf>
    <xf numFmtId="0" fontId="33" fillId="5" borderId="38" xfId="0" applyFont="1" applyFill="1" applyBorder="1" applyAlignment="1">
      <alignment horizontal="center" vertical="center"/>
    </xf>
    <xf numFmtId="0" fontId="33" fillId="5" borderId="0" xfId="0" applyFont="1" applyFill="1" applyAlignment="1">
      <alignment horizontal="center" vertical="center"/>
    </xf>
    <xf numFmtId="0" fontId="33" fillId="5" borderId="11" xfId="0" applyFont="1" applyFill="1" applyBorder="1" applyAlignment="1">
      <alignment horizontal="center" vertical="center"/>
    </xf>
    <xf numFmtId="0" fontId="33" fillId="5" borderId="12" xfId="0" applyFont="1" applyFill="1" applyBorder="1" applyAlignment="1">
      <alignment horizontal="center" vertical="center"/>
    </xf>
    <xf numFmtId="0" fontId="33" fillId="5" borderId="39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/>
    </xf>
    <xf numFmtId="0" fontId="33" fillId="6" borderId="42" xfId="0" applyFont="1" applyFill="1" applyBorder="1" applyAlignment="1">
      <alignment horizontal="center" vertical="center"/>
    </xf>
    <xf numFmtId="0" fontId="33" fillId="6" borderId="41" xfId="0" applyFont="1" applyFill="1" applyBorder="1" applyAlignment="1">
      <alignment horizontal="center" vertical="center"/>
    </xf>
    <xf numFmtId="0" fontId="33" fillId="6" borderId="28" xfId="0" applyFont="1" applyFill="1" applyBorder="1" applyAlignment="1">
      <alignment horizontal="center" vertical="center"/>
    </xf>
    <xf numFmtId="0" fontId="10" fillId="3" borderId="42" xfId="0" applyFont="1" applyFill="1" applyBorder="1" applyAlignment="1">
      <alignment horizontal="center"/>
    </xf>
    <xf numFmtId="0" fontId="10" fillId="3" borderId="41" xfId="0" applyFont="1" applyFill="1" applyBorder="1" applyAlignment="1">
      <alignment horizontal="center"/>
    </xf>
    <xf numFmtId="0" fontId="10" fillId="3" borderId="28" xfId="0" applyFont="1" applyFill="1" applyBorder="1" applyAlignment="1">
      <alignment horizontal="center"/>
    </xf>
    <xf numFmtId="0" fontId="10" fillId="3" borderId="44" xfId="0" applyFont="1" applyFill="1" applyBorder="1" applyAlignment="1">
      <alignment horizontal="center"/>
    </xf>
    <xf numFmtId="0" fontId="10" fillId="3" borderId="25" xfId="0" applyFont="1" applyFill="1" applyBorder="1" applyAlignment="1">
      <alignment horizontal="center"/>
    </xf>
    <xf numFmtId="0" fontId="10" fillId="3" borderId="29" xfId="0" applyFont="1" applyFill="1" applyBorder="1" applyAlignment="1">
      <alignment horizontal="center"/>
    </xf>
    <xf numFmtId="0" fontId="10" fillId="3" borderId="45" xfId="0" applyFont="1" applyFill="1" applyBorder="1" applyAlignment="1">
      <alignment horizontal="center"/>
    </xf>
    <xf numFmtId="0" fontId="10" fillId="3" borderId="19" xfId="0" applyFont="1" applyFill="1" applyBorder="1" applyAlignment="1">
      <alignment horizontal="center"/>
    </xf>
    <xf numFmtId="0" fontId="10" fillId="3" borderId="27" xfId="0" applyFont="1" applyFill="1" applyBorder="1" applyAlignment="1">
      <alignment horizontal="center"/>
    </xf>
    <xf numFmtId="9" fontId="10" fillId="3" borderId="45" xfId="0" applyNumberFormat="1" applyFont="1" applyFill="1" applyBorder="1" applyAlignment="1">
      <alignment horizontal="center"/>
    </xf>
    <xf numFmtId="9" fontId="10" fillId="3" borderId="19" xfId="0" applyNumberFormat="1" applyFont="1" applyFill="1" applyBorder="1" applyAlignment="1">
      <alignment horizontal="center"/>
    </xf>
    <xf numFmtId="9" fontId="10" fillId="3" borderId="27" xfId="0" applyNumberFormat="1" applyFont="1" applyFill="1" applyBorder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31" fillId="8" borderId="31" xfId="0" applyFont="1" applyFill="1" applyBorder="1" applyAlignment="1">
      <alignment horizontal="center" vertical="top"/>
    </xf>
    <xf numFmtId="0" fontId="31" fillId="8" borderId="32" xfId="0" applyFont="1" applyFill="1" applyBorder="1" applyAlignment="1">
      <alignment horizontal="center" vertical="top"/>
    </xf>
    <xf numFmtId="0" fontId="31" fillId="8" borderId="4" xfId="0" applyFont="1" applyFill="1" applyBorder="1" applyAlignment="1">
      <alignment horizontal="center" vertical="top"/>
    </xf>
    <xf numFmtId="0" fontId="31" fillId="8" borderId="33" xfId="0" applyFont="1" applyFill="1" applyBorder="1" applyAlignment="1">
      <alignment horizontal="center" vertical="top"/>
    </xf>
    <xf numFmtId="0" fontId="29" fillId="0" borderId="0" xfId="0" applyFont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0" fontId="29" fillId="0" borderId="7" xfId="0" applyFont="1" applyBorder="1" applyAlignment="1">
      <alignment horizontal="left" vertical="center"/>
    </xf>
    <xf numFmtId="0" fontId="33" fillId="5" borderId="34" xfId="0" applyFont="1" applyFill="1" applyBorder="1" applyAlignment="1">
      <alignment horizontal="center" vertical="center" wrapText="1"/>
    </xf>
    <xf numFmtId="0" fontId="33" fillId="5" borderId="35" xfId="0" applyFont="1" applyFill="1" applyBorder="1" applyAlignment="1">
      <alignment horizontal="center" vertical="center" wrapText="1"/>
    </xf>
    <xf numFmtId="0" fontId="33" fillId="5" borderId="20" xfId="0" applyFont="1" applyFill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center" vertical="center" wrapText="1"/>
    </xf>
    <xf numFmtId="0" fontId="33" fillId="5" borderId="22" xfId="0" applyFont="1" applyFill="1" applyBorder="1" applyAlignment="1">
      <alignment horizontal="center" vertical="center" wrapText="1"/>
    </xf>
    <xf numFmtId="0" fontId="33" fillId="5" borderId="23" xfId="0" applyFont="1" applyFill="1" applyBorder="1" applyAlignment="1">
      <alignment horizontal="center" vertical="center" wrapText="1"/>
    </xf>
    <xf numFmtId="0" fontId="15" fillId="3" borderId="37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1" fillId="2" borderId="34" xfId="0" applyFont="1" applyFill="1" applyBorder="1" applyAlignment="1">
      <alignment horizontal="center" vertical="center" wrapText="1"/>
    </xf>
    <xf numFmtId="0" fontId="21" fillId="2" borderId="35" xfId="0" applyFont="1" applyFill="1" applyBorder="1" applyAlignment="1">
      <alignment horizontal="center" vertical="center" wrapText="1"/>
    </xf>
    <xf numFmtId="0" fontId="21" fillId="2" borderId="20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2" xfId="0" applyFont="1" applyFill="1" applyBorder="1" applyAlignment="1">
      <alignment horizontal="center" vertical="center" wrapText="1"/>
    </xf>
    <xf numFmtId="0" fontId="21" fillId="2" borderId="23" xfId="0" applyFont="1" applyFill="1" applyBorder="1" applyAlignment="1">
      <alignment horizontal="center" vertical="center" wrapText="1"/>
    </xf>
    <xf numFmtId="9" fontId="21" fillId="2" borderId="36" xfId="0" applyNumberFormat="1" applyFont="1" applyFill="1" applyBorder="1" applyAlignment="1">
      <alignment horizontal="center" vertical="center"/>
    </xf>
    <xf numFmtId="9" fontId="21" fillId="2" borderId="21" xfId="0" applyNumberFormat="1" applyFont="1" applyFill="1" applyBorder="1" applyAlignment="1">
      <alignment horizontal="center" vertical="center"/>
    </xf>
    <xf numFmtId="9" fontId="21" fillId="2" borderId="24" xfId="0" applyNumberFormat="1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43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5" fillId="3" borderId="30" xfId="0" applyFont="1" applyFill="1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left" vertical="center"/>
    </xf>
    <xf numFmtId="0" fontId="33" fillId="8" borderId="1" xfId="2" applyFont="1" applyFill="1" applyBorder="1" applyAlignment="1">
      <alignment horizontal="center" vertical="center"/>
    </xf>
    <xf numFmtId="0" fontId="54" fillId="15" borderId="9" xfId="2" applyFont="1" applyFill="1" applyBorder="1" applyAlignment="1">
      <alignment horizontal="center" vertical="center" wrapText="1"/>
    </xf>
    <xf numFmtId="0" fontId="54" fillId="15" borderId="10" xfId="2" applyFont="1" applyFill="1" applyBorder="1" applyAlignment="1">
      <alignment horizontal="center" vertical="center" wrapText="1"/>
    </xf>
    <xf numFmtId="0" fontId="31" fillId="15" borderId="18" xfId="2" applyFont="1" applyFill="1" applyBorder="1" applyAlignment="1">
      <alignment horizontal="center" vertical="center"/>
    </xf>
    <xf numFmtId="0" fontId="23" fillId="0" borderId="0" xfId="0" applyFont="1" applyAlignment="1">
      <alignment horizontal="left" wrapText="1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left"/>
    </xf>
    <xf numFmtId="0" fontId="48" fillId="0" borderId="0" xfId="4" applyFont="1" applyAlignment="1">
      <alignment horizontal="center"/>
    </xf>
    <xf numFmtId="0" fontId="44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44" fillId="0" borderId="0" xfId="2" applyFont="1" applyAlignment="1">
      <alignment horizontal="center"/>
    </xf>
    <xf numFmtId="0" fontId="43" fillId="5" borderId="1" xfId="6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5" fillId="15" borderId="3" xfId="0" applyFont="1" applyFill="1" applyBorder="1" applyAlignment="1">
      <alignment horizontal="center" vertical="center"/>
    </xf>
    <xf numFmtId="0" fontId="55" fillId="15" borderId="4" xfId="0" applyFont="1" applyFill="1" applyBorder="1" applyAlignment="1">
      <alignment horizontal="center" vertical="center"/>
    </xf>
    <xf numFmtId="0" fontId="55" fillId="15" borderId="5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</cellXfs>
  <cellStyles count="9">
    <cellStyle name="Hyperlink" xfId="6" builtinId="8"/>
    <cellStyle name="Normal" xfId="0" builtinId="0"/>
    <cellStyle name="Normal 2" xfId="1"/>
    <cellStyle name="Normal 2 2" xfId="4"/>
    <cellStyle name="Normal 2 3" xfId="7"/>
    <cellStyle name="Normal 3" xfId="2"/>
    <cellStyle name="Normal 4" xfId="5"/>
    <cellStyle name="Normal 5" xfId="8"/>
    <cellStyle name="Percent" xfId="3" builtinId="5"/>
  </cellStyles>
  <dxfs count="13">
    <dxf>
      <font>
        <strike val="0"/>
        <outline val="0"/>
        <shadow val="0"/>
        <u val="none"/>
        <vertAlign val="baseline"/>
        <name val="Times New Roman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Times New Roman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444444"/>
        <name val="Times New Roman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2"/>
        <color rgb="FF444444"/>
        <name val="Times New Roman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color auto="1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59BE9"/>
      <color rgb="FFEACCF4"/>
      <color rgb="FFF3E3F9"/>
      <color rgb="FFC0100C"/>
      <color rgb="FF999999"/>
      <color rgb="FFFFFFBE"/>
      <color rgb="FF2F92C8"/>
      <color rgb="FF20610A"/>
      <color rgb="FFFF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8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39756</xdr:colOff>
      <xdr:row>0</xdr:row>
      <xdr:rowOff>106019</xdr:rowOff>
    </xdr:from>
    <xdr:to>
      <xdr:col>0</xdr:col>
      <xdr:colOff>615612</xdr:colOff>
      <xdr:row>3</xdr:row>
      <xdr:rowOff>1</xdr:rowOff>
    </xdr:to>
    <xdr:pic>
      <xdr:nvPicPr>
        <xdr:cNvPr id="7" name="Picture 6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9756" y="106019"/>
          <a:ext cx="575856" cy="6427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1510748</xdr:colOff>
      <xdr:row>19</xdr:row>
      <xdr:rowOff>150564</xdr:rowOff>
    </xdr:from>
    <xdr:to>
      <xdr:col>1</xdr:col>
      <xdr:colOff>202806</xdr:colOff>
      <xdr:row>23</xdr:row>
      <xdr:rowOff>23674</xdr:rowOff>
    </xdr:to>
    <xdr:pic>
      <xdr:nvPicPr>
        <xdr:cNvPr id="9" name="Picture 8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0748" y="3894303"/>
          <a:ext cx="819032" cy="601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306789</xdr:colOff>
      <xdr:row>18</xdr:row>
      <xdr:rowOff>143126</xdr:rowOff>
    </xdr:from>
    <xdr:to>
      <xdr:col>5</xdr:col>
      <xdr:colOff>601318</xdr:colOff>
      <xdr:row>23</xdr:row>
      <xdr:rowOff>33945</xdr:rowOff>
    </xdr:to>
    <xdr:pic>
      <xdr:nvPicPr>
        <xdr:cNvPr id="10" name="Picture 9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432" y="3721213"/>
          <a:ext cx="1089660" cy="7853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213322</xdr:colOff>
      <xdr:row>17</xdr:row>
      <xdr:rowOff>150412</xdr:rowOff>
    </xdr:from>
    <xdr:to>
      <xdr:col>9</xdr:col>
      <xdr:colOff>298506</xdr:colOff>
      <xdr:row>22</xdr:row>
      <xdr:rowOff>155328</xdr:rowOff>
    </xdr:to>
    <xdr:pic>
      <xdr:nvPicPr>
        <xdr:cNvPr id="11" name="Picture 10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0402" y="3541312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474096</xdr:colOff>
      <xdr:row>0</xdr:row>
      <xdr:rowOff>0</xdr:rowOff>
    </xdr:from>
    <xdr:to>
      <xdr:col>0</xdr:col>
      <xdr:colOff>1158240</xdr:colOff>
      <xdr:row>3</xdr:row>
      <xdr:rowOff>144780</xdr:rowOff>
    </xdr:to>
    <xdr:pic>
      <xdr:nvPicPr>
        <xdr:cNvPr id="7" name="Picture 6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474096" y="0"/>
          <a:ext cx="684144" cy="899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1043940</xdr:colOff>
      <xdr:row>19</xdr:row>
      <xdr:rowOff>167792</xdr:rowOff>
    </xdr:from>
    <xdr:to>
      <xdr:col>1</xdr:col>
      <xdr:colOff>650398</xdr:colOff>
      <xdr:row>22</xdr:row>
      <xdr:rowOff>139962</xdr:rowOff>
    </xdr:to>
    <xdr:pic>
      <xdr:nvPicPr>
        <xdr:cNvPr id="3" name="Picture 2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" y="6073292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160021</xdr:colOff>
      <xdr:row>18</xdr:row>
      <xdr:rowOff>129874</xdr:rowOff>
    </xdr:from>
    <xdr:to>
      <xdr:col>5</xdr:col>
      <xdr:colOff>462170</xdr:colOff>
      <xdr:row>22</xdr:row>
      <xdr:rowOff>112133</xdr:rowOff>
    </xdr:to>
    <xdr:pic>
      <xdr:nvPicPr>
        <xdr:cNvPr id="4" name="Picture 3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2381" y="5860114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599954</xdr:colOff>
      <xdr:row>18</xdr:row>
      <xdr:rowOff>0</xdr:rowOff>
    </xdr:from>
    <xdr:to>
      <xdr:col>10</xdr:col>
      <xdr:colOff>349858</xdr:colOff>
      <xdr:row>22</xdr:row>
      <xdr:rowOff>65876</xdr:rowOff>
    </xdr:to>
    <xdr:pic>
      <xdr:nvPicPr>
        <xdr:cNvPr id="5" name="Picture 4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6374" y="573024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125895</xdr:colOff>
      <xdr:row>0</xdr:row>
      <xdr:rowOff>59636</xdr:rowOff>
    </xdr:from>
    <xdr:to>
      <xdr:col>1</xdr:col>
      <xdr:colOff>284922</xdr:colOff>
      <xdr:row>4</xdr:row>
      <xdr:rowOff>83158</xdr:rowOff>
    </xdr:to>
    <xdr:pic>
      <xdr:nvPicPr>
        <xdr:cNvPr id="4" name="Picture 3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25895" y="59636"/>
          <a:ext cx="768627" cy="944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80683</xdr:colOff>
      <xdr:row>26</xdr:row>
      <xdr:rowOff>154792</xdr:rowOff>
    </xdr:from>
    <xdr:to>
      <xdr:col>2</xdr:col>
      <xdr:colOff>289121</xdr:colOff>
      <xdr:row>27</xdr:row>
      <xdr:rowOff>302222</xdr:rowOff>
    </xdr:to>
    <xdr:pic>
      <xdr:nvPicPr>
        <xdr:cNvPr id="3" name="Picture 2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283" y="8025804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355900</xdr:colOff>
      <xdr:row>25</xdr:row>
      <xdr:rowOff>345026</xdr:rowOff>
    </xdr:from>
    <xdr:to>
      <xdr:col>6</xdr:col>
      <xdr:colOff>223709</xdr:colOff>
      <xdr:row>27</xdr:row>
      <xdr:rowOff>238534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300" y="7776767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182199</xdr:colOff>
      <xdr:row>25</xdr:row>
      <xdr:rowOff>277905</xdr:rowOff>
    </xdr:from>
    <xdr:to>
      <xdr:col>9</xdr:col>
      <xdr:colOff>541703</xdr:colOff>
      <xdr:row>27</xdr:row>
      <xdr:rowOff>255030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9399" y="7709646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184535</xdr:colOff>
      <xdr:row>0</xdr:row>
      <xdr:rowOff>7620</xdr:rowOff>
    </xdr:from>
    <xdr:to>
      <xdr:col>1</xdr:col>
      <xdr:colOff>219558</xdr:colOff>
      <xdr:row>3</xdr:row>
      <xdr:rowOff>121920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84535" y="7620"/>
          <a:ext cx="705583" cy="868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182880</xdr:colOff>
      <xdr:row>123</xdr:row>
      <xdr:rowOff>11358</xdr:rowOff>
    </xdr:from>
    <xdr:to>
      <xdr:col>2</xdr:col>
      <xdr:colOff>1000918</xdr:colOff>
      <xdr:row>126</xdr:row>
      <xdr:rowOff>21628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0740" y="1730113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496197</xdr:colOff>
      <xdr:row>121</xdr:row>
      <xdr:rowOff>181421</xdr:rowOff>
    </xdr:from>
    <xdr:to>
      <xdr:col>6</xdr:col>
      <xdr:colOff>74446</xdr:colOff>
      <xdr:row>125</xdr:row>
      <xdr:rowOff>178920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4437" y="1707496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467276</xdr:colOff>
      <xdr:row>121</xdr:row>
      <xdr:rowOff>129540</xdr:rowOff>
    </xdr:from>
    <xdr:to>
      <xdr:col>10</xdr:col>
      <xdr:colOff>521980</xdr:colOff>
      <xdr:row>126</xdr:row>
      <xdr:rowOff>12536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1076" y="1702308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344555</xdr:colOff>
      <xdr:row>0</xdr:row>
      <xdr:rowOff>30480</xdr:rowOff>
    </xdr:from>
    <xdr:to>
      <xdr:col>1</xdr:col>
      <xdr:colOff>350520</xdr:colOff>
      <xdr:row>3</xdr:row>
      <xdr:rowOff>99060</xdr:rowOff>
    </xdr:to>
    <xdr:pic>
      <xdr:nvPicPr>
        <xdr:cNvPr id="4" name="Picture 3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44555" y="30480"/>
          <a:ext cx="638425" cy="822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190500</xdr:colOff>
      <xdr:row>125</xdr:row>
      <xdr:rowOff>3738</xdr:rowOff>
    </xdr:from>
    <xdr:to>
      <xdr:col>2</xdr:col>
      <xdr:colOff>1008538</xdr:colOff>
      <xdr:row>128</xdr:row>
      <xdr:rowOff>14008</xdr:rowOff>
    </xdr:to>
    <xdr:pic>
      <xdr:nvPicPr>
        <xdr:cNvPr id="3" name="Picture 2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3486523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503817</xdr:colOff>
      <xdr:row>123</xdr:row>
      <xdr:rowOff>173801</xdr:rowOff>
    </xdr:from>
    <xdr:to>
      <xdr:col>6</xdr:col>
      <xdr:colOff>13486</xdr:colOff>
      <xdr:row>127</xdr:row>
      <xdr:rowOff>171300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8697" y="3463906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474896</xdr:colOff>
      <xdr:row>123</xdr:row>
      <xdr:rowOff>100965</xdr:rowOff>
    </xdr:from>
    <xdr:to>
      <xdr:col>11</xdr:col>
      <xdr:colOff>1002040</xdr:colOff>
      <xdr:row>127</xdr:row>
      <xdr:rowOff>182081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0621" y="28523565"/>
          <a:ext cx="1555844" cy="8812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207396</xdr:colOff>
      <xdr:row>0</xdr:row>
      <xdr:rowOff>91439</xdr:rowOff>
    </xdr:from>
    <xdr:to>
      <xdr:col>1</xdr:col>
      <xdr:colOff>350832</xdr:colOff>
      <xdr:row>3</xdr:row>
      <xdr:rowOff>160020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207396" y="91439"/>
          <a:ext cx="775896" cy="929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464820</xdr:colOff>
      <xdr:row>122</xdr:row>
      <xdr:rowOff>26598</xdr:rowOff>
    </xdr:from>
    <xdr:to>
      <xdr:col>1</xdr:col>
      <xdr:colOff>650398</xdr:colOff>
      <xdr:row>125</xdr:row>
      <xdr:rowOff>36868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" y="1750687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305697</xdr:colOff>
      <xdr:row>121</xdr:row>
      <xdr:rowOff>13781</xdr:rowOff>
    </xdr:from>
    <xdr:to>
      <xdr:col>5</xdr:col>
      <xdr:colOff>341146</xdr:colOff>
      <xdr:row>125</xdr:row>
      <xdr:rowOff>11280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8217" y="1729594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330116</xdr:colOff>
      <xdr:row>120</xdr:row>
      <xdr:rowOff>38100</xdr:rowOff>
    </xdr:from>
    <xdr:to>
      <xdr:col>12</xdr:col>
      <xdr:colOff>331480</xdr:colOff>
      <xdr:row>124</xdr:row>
      <xdr:rowOff>119216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7316" y="1715262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375036</xdr:colOff>
      <xdr:row>0</xdr:row>
      <xdr:rowOff>0</xdr:rowOff>
    </xdr:from>
    <xdr:to>
      <xdr:col>1</xdr:col>
      <xdr:colOff>540910</xdr:colOff>
      <xdr:row>3</xdr:row>
      <xdr:rowOff>213360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75036" y="0"/>
          <a:ext cx="943114" cy="1074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205740</xdr:colOff>
      <xdr:row>121</xdr:row>
      <xdr:rowOff>148518</xdr:rowOff>
    </xdr:from>
    <xdr:to>
      <xdr:col>2</xdr:col>
      <xdr:colOff>1023778</xdr:colOff>
      <xdr:row>124</xdr:row>
      <xdr:rowOff>158788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1564759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38997</xdr:colOff>
      <xdr:row>120</xdr:row>
      <xdr:rowOff>158561</xdr:rowOff>
    </xdr:from>
    <xdr:to>
      <xdr:col>3</xdr:col>
      <xdr:colOff>1126006</xdr:colOff>
      <xdr:row>124</xdr:row>
      <xdr:rowOff>156060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4817" y="1545952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970196</xdr:colOff>
      <xdr:row>120</xdr:row>
      <xdr:rowOff>60960</xdr:rowOff>
    </xdr:from>
    <xdr:to>
      <xdr:col>7</xdr:col>
      <xdr:colOff>19060</xdr:colOff>
      <xdr:row>124</xdr:row>
      <xdr:rowOff>142076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0596" y="1536192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566229</xdr:colOff>
      <xdr:row>0</xdr:row>
      <xdr:rowOff>0</xdr:rowOff>
    </xdr:from>
    <xdr:to>
      <xdr:col>2</xdr:col>
      <xdr:colOff>934379</xdr:colOff>
      <xdr:row>4</xdr:row>
      <xdr:rowOff>38100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175829" y="0"/>
          <a:ext cx="939650" cy="1112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434340</xdr:colOff>
      <xdr:row>133</xdr:row>
      <xdr:rowOff>178998</xdr:rowOff>
    </xdr:from>
    <xdr:to>
      <xdr:col>2</xdr:col>
      <xdr:colOff>1252378</xdr:colOff>
      <xdr:row>136</xdr:row>
      <xdr:rowOff>189268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5440" y="1735447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77097</xdr:colOff>
      <xdr:row>133</xdr:row>
      <xdr:rowOff>36641</xdr:rowOff>
    </xdr:from>
    <xdr:to>
      <xdr:col>6</xdr:col>
      <xdr:colOff>13486</xdr:colOff>
      <xdr:row>137</xdr:row>
      <xdr:rowOff>34140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7197" y="1721212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48176</xdr:colOff>
      <xdr:row>132</xdr:row>
      <xdr:rowOff>106680</xdr:rowOff>
    </xdr:from>
    <xdr:to>
      <xdr:col>16</xdr:col>
      <xdr:colOff>346720</xdr:colOff>
      <xdr:row>137</xdr:row>
      <xdr:rowOff>20156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7396" y="1711452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91446</xdr:colOff>
      <xdr:row>0</xdr:row>
      <xdr:rowOff>52753</xdr:rowOff>
    </xdr:from>
    <xdr:to>
      <xdr:col>1</xdr:col>
      <xdr:colOff>211016</xdr:colOff>
      <xdr:row>4</xdr:row>
      <xdr:rowOff>42285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91446" y="52753"/>
          <a:ext cx="729170" cy="862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298939</xdr:colOff>
      <xdr:row>132</xdr:row>
      <xdr:rowOff>190065</xdr:rowOff>
    </xdr:from>
    <xdr:to>
      <xdr:col>2</xdr:col>
      <xdr:colOff>1116977</xdr:colOff>
      <xdr:row>135</xdr:row>
      <xdr:rowOff>196818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2970" y="17211973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393311</xdr:colOff>
      <xdr:row>132</xdr:row>
      <xdr:rowOff>20849</xdr:rowOff>
    </xdr:from>
    <xdr:to>
      <xdr:col>5</xdr:col>
      <xdr:colOff>378351</xdr:colOff>
      <xdr:row>136</xdr:row>
      <xdr:rowOff>13659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188" y="17042757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286363</xdr:colOff>
      <xdr:row>131</xdr:row>
      <xdr:rowOff>152399</xdr:rowOff>
    </xdr:from>
    <xdr:to>
      <xdr:col>10</xdr:col>
      <xdr:colOff>1097</xdr:colOff>
      <xdr:row>136</xdr:row>
      <xdr:rowOff>226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178" y="16945707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30481</xdr:colOff>
      <xdr:row>0</xdr:row>
      <xdr:rowOff>114299</xdr:rowOff>
    </xdr:from>
    <xdr:to>
      <xdr:col>0</xdr:col>
      <xdr:colOff>571065</xdr:colOff>
      <xdr:row>3</xdr:row>
      <xdr:rowOff>68580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0481" y="114299"/>
          <a:ext cx="540584" cy="647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1577340</xdr:colOff>
      <xdr:row>29</xdr:row>
      <xdr:rowOff>30632</xdr:rowOff>
    </xdr:from>
    <xdr:to>
      <xdr:col>1</xdr:col>
      <xdr:colOff>2395378</xdr:colOff>
      <xdr:row>32</xdr:row>
      <xdr:rowOff>40902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" y="7757312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411481</xdr:colOff>
      <xdr:row>27</xdr:row>
      <xdr:rowOff>145114</xdr:rowOff>
    </xdr:from>
    <xdr:to>
      <xdr:col>5</xdr:col>
      <xdr:colOff>431690</xdr:colOff>
      <xdr:row>31</xdr:row>
      <xdr:rowOff>188333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6881" y="7521274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508514</xdr:colOff>
      <xdr:row>27</xdr:row>
      <xdr:rowOff>0</xdr:rowOff>
    </xdr:from>
    <xdr:to>
      <xdr:col>9</xdr:col>
      <xdr:colOff>334618</xdr:colOff>
      <xdr:row>31</xdr:row>
      <xdr:rowOff>126836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4114" y="737616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178397</xdr:colOff>
      <xdr:row>10</xdr:row>
      <xdr:rowOff>203052</xdr:rowOff>
    </xdr:from>
    <xdr:to>
      <xdr:col>2</xdr:col>
      <xdr:colOff>696557</xdr:colOff>
      <xdr:row>10</xdr:row>
      <xdr:rowOff>294492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1675503" y="3026934"/>
          <a:ext cx="518160" cy="91440"/>
        </a:xfrm>
        <a:prstGeom prst="rightArrow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102199</xdr:colOff>
      <xdr:row>0</xdr:row>
      <xdr:rowOff>150156</xdr:rowOff>
    </xdr:from>
    <xdr:to>
      <xdr:col>1</xdr:col>
      <xdr:colOff>268941</xdr:colOff>
      <xdr:row>3</xdr:row>
      <xdr:rowOff>209514</xdr:rowOff>
    </xdr:to>
    <xdr:pic>
      <xdr:nvPicPr>
        <xdr:cNvPr id="4" name="Picture 3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02199" y="150156"/>
          <a:ext cx="776342" cy="937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708212</xdr:colOff>
      <xdr:row>26</xdr:row>
      <xdr:rowOff>103246</xdr:rowOff>
    </xdr:from>
    <xdr:to>
      <xdr:col>2</xdr:col>
      <xdr:colOff>29144</xdr:colOff>
      <xdr:row>29</xdr:row>
      <xdr:rowOff>134135</xdr:rowOff>
    </xdr:to>
    <xdr:pic>
      <xdr:nvPicPr>
        <xdr:cNvPr id="5" name="Picture 4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212" y="8054940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416412</xdr:colOff>
      <xdr:row>25</xdr:row>
      <xdr:rowOff>127184</xdr:rowOff>
    </xdr:from>
    <xdr:to>
      <xdr:col>6</xdr:col>
      <xdr:colOff>284221</xdr:colOff>
      <xdr:row>29</xdr:row>
      <xdr:rowOff>146199</xdr:rowOff>
    </xdr:to>
    <xdr:pic>
      <xdr:nvPicPr>
        <xdr:cNvPr id="6" name="Picture 5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2694" y="7881655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410351</xdr:colOff>
      <xdr:row>24</xdr:row>
      <xdr:rowOff>179294</xdr:rowOff>
    </xdr:from>
    <xdr:to>
      <xdr:col>11</xdr:col>
      <xdr:colOff>160255</xdr:colOff>
      <xdr:row>29</xdr:row>
      <xdr:rowOff>84702</xdr:rowOff>
    </xdr:to>
    <xdr:pic>
      <xdr:nvPicPr>
        <xdr:cNvPr id="7" name="Picture 6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5033" y="7736541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122231</xdr:colOff>
      <xdr:row>0</xdr:row>
      <xdr:rowOff>0</xdr:rowOff>
    </xdr:from>
    <xdr:to>
      <xdr:col>1</xdr:col>
      <xdr:colOff>446554</xdr:colOff>
      <xdr:row>4</xdr:row>
      <xdr:rowOff>18195</xdr:rowOff>
    </xdr:to>
    <xdr:pic>
      <xdr:nvPicPr>
        <xdr:cNvPr id="2" name="Picture 1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22231" y="0"/>
          <a:ext cx="733898" cy="780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635934</xdr:colOff>
      <xdr:row>121</xdr:row>
      <xdr:rowOff>93609</xdr:rowOff>
    </xdr:from>
    <xdr:to>
      <xdr:col>2</xdr:col>
      <xdr:colOff>2585766</xdr:colOff>
      <xdr:row>125</xdr:row>
      <xdr:rowOff>58942</xdr:rowOff>
    </xdr:to>
    <xdr:pic>
      <xdr:nvPicPr>
        <xdr:cNvPr id="3" name="Picture 2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359" y="26163534"/>
          <a:ext cx="1264032" cy="765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258409</xdr:colOff>
      <xdr:row>120</xdr:row>
      <xdr:rowOff>60847</xdr:rowOff>
    </xdr:from>
    <xdr:to>
      <xdr:col>7</xdr:col>
      <xdr:colOff>341931</xdr:colOff>
      <xdr:row>125</xdr:row>
      <xdr:rowOff>52406</xdr:rowOff>
    </xdr:to>
    <xdr:pic>
      <xdr:nvPicPr>
        <xdr:cNvPr id="4" name="Picture 3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6584" y="25930747"/>
          <a:ext cx="1550372" cy="9916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69356</xdr:colOff>
      <xdr:row>120</xdr:row>
      <xdr:rowOff>74519</xdr:rowOff>
    </xdr:from>
    <xdr:to>
      <xdr:col>12</xdr:col>
      <xdr:colOff>441187</xdr:colOff>
      <xdr:row>125</xdr:row>
      <xdr:rowOff>171546</xdr:rowOff>
    </xdr:to>
    <xdr:pic>
      <xdr:nvPicPr>
        <xdr:cNvPr id="5" name="Picture 4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3081" y="25944419"/>
          <a:ext cx="2286356" cy="10971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T11%20Java%20Programm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jectDetails"/>
      <sheetName val="Rubrics"/>
      <sheetName val="CO Mapping PO "/>
      <sheetName val="CCE1"/>
      <sheetName val="CCE2"/>
      <sheetName val="CCE3"/>
      <sheetName val="CCE"/>
      <sheetName val="CO Int. Attn"/>
      <sheetName val="CO Ext. Attn"/>
      <sheetName val="OverallCO Attainment"/>
      <sheetName val="CO PO Attainment"/>
      <sheetName val="Course Exit"/>
      <sheetName val="In Direct"/>
    </sheetNames>
    <sheetDataSet>
      <sheetData sheetId="0">
        <row r="24">
          <cell r="A24" t="str">
            <v>Dr. Ravi Chourasiya</v>
          </cell>
          <cell r="E24" t="str">
            <v>Dr. Ashwini Chavan</v>
          </cell>
          <cell r="H24" t="str">
            <v>Dr. Priyanka Singh</v>
          </cell>
        </row>
        <row r="25">
          <cell r="A25" t="str">
            <v>(College Examination Officer)</v>
          </cell>
          <cell r="E25" t="str">
            <v>HOD (MCA)</v>
          </cell>
          <cell r="H25" t="str">
            <v>Director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id="1" name="Table3" displayName="Table3" ref="A7:H115" totalsRowShown="0" headerRowDxfId="12" dataDxfId="10" headerRowBorderDxfId="11" tableBorderDxfId="9" totalsRowBorderDxfId="8">
  <autoFilter ref="A7:H115"/>
  <sortState ref="A9:H208">
    <sortCondition ref="A8:A208"/>
  </sortState>
  <tableColumns count="8">
    <tableColumn id="1" name="Roll No." dataDxfId="7" dataCellStyle="Normal 2 2"/>
    <tableColumn id="2" name="Seat No." dataDxfId="6" dataCellStyle="Normal 2"/>
    <tableColumn id="3" name="Name" dataDxfId="5" dataCellStyle="Normal 2"/>
    <tableColumn id="4" name="CCE#1  (30)" dataDxfId="4">
      <calculatedColumnFormula>'CCE1'!J11</calculatedColumnFormula>
    </tableColumn>
    <tableColumn id="5" name="CCE#2 (20)" dataDxfId="3">
      <calculatedColumnFormula>'CCE2'!L11</calculatedColumnFormula>
    </tableColumn>
    <tableColumn id="8" name="CCE#3 (50)" dataDxfId="2" dataCellStyle="Normal 2">
      <calculatedColumnFormula>'CCE3'!N11</calculatedColumnFormula>
    </tableColumn>
    <tableColumn id="6" name="Total (100)" dataDxfId="1">
      <calculatedColumnFormula>SUM(Table3[[#This Row],[CCE'#1  (30)]:[CCE'#3 (50)]])</calculatedColumnFormula>
    </tableColumn>
    <tableColumn id="7" name="Final_x000a_(25)" dataDxfId="0">
      <calculatedColumnFormula>Table3[[#This Row],[Total (100)]]/('CCE1'!$J$9+'CCE2'!$L$9+'CCE3'!$N$9)*25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hyperlink" Target="..\..\..\NAAC\CO-PO\2018-19\SEM%20I\Semester%20wise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showGridLines="0" zoomScaleNormal="100" workbookViewId="0">
      <selection activeCell="B10" sqref="B10:H10"/>
    </sheetView>
  </sheetViews>
  <sheetFormatPr defaultRowHeight="12.75"/>
  <cols>
    <col min="1" max="1" width="31" customWidth="1"/>
    <col min="2" max="2" width="12" customWidth="1"/>
    <col min="3" max="3" width="11.7109375" customWidth="1"/>
    <col min="4" max="4" width="13.7109375" customWidth="1"/>
    <col min="5" max="6" width="11.5703125" customWidth="1"/>
    <col min="7" max="7" width="12.28515625" customWidth="1"/>
    <col min="8" max="8" width="12.85546875" customWidth="1"/>
  </cols>
  <sheetData>
    <row r="1" spans="1:10" ht="24.6" customHeight="1">
      <c r="A1" s="192" t="s">
        <v>73</v>
      </c>
      <c r="B1" s="192"/>
      <c r="C1" s="192"/>
      <c r="D1" s="192"/>
      <c r="E1" s="192"/>
      <c r="F1" s="192"/>
      <c r="G1" s="192"/>
      <c r="H1" s="192"/>
      <c r="I1" s="9"/>
      <c r="J1" s="9"/>
    </row>
    <row r="2" spans="1:10" ht="21" customHeight="1">
      <c r="A2" s="193" t="s">
        <v>74</v>
      </c>
      <c r="B2" s="193"/>
      <c r="C2" s="193"/>
      <c r="D2" s="193"/>
      <c r="E2" s="193"/>
      <c r="F2" s="193"/>
      <c r="G2" s="193"/>
      <c r="H2" s="193"/>
      <c r="I2" s="10"/>
      <c r="J2" s="10"/>
    </row>
    <row r="3" spans="1:10" ht="13.9" customHeight="1">
      <c r="A3" s="194" t="s">
        <v>75</v>
      </c>
      <c r="B3" s="194"/>
      <c r="C3" s="194"/>
      <c r="D3" s="194"/>
      <c r="E3" s="194"/>
      <c r="F3" s="194"/>
      <c r="G3" s="194"/>
      <c r="H3" s="194"/>
      <c r="I3" s="11"/>
      <c r="J3" s="11"/>
    </row>
    <row r="4" spans="1:10" ht="13.9" customHeight="1">
      <c r="A4" s="194" t="s">
        <v>9</v>
      </c>
      <c r="B4" s="194"/>
      <c r="C4" s="194"/>
      <c r="D4" s="194"/>
      <c r="E4" s="194"/>
      <c r="F4" s="194"/>
      <c r="G4" s="194"/>
      <c r="H4" s="194"/>
      <c r="I4" s="11"/>
      <c r="J4" s="11"/>
    </row>
    <row r="5" spans="1:10">
      <c r="A5" s="195"/>
      <c r="B5" s="196"/>
      <c r="C5" s="196"/>
      <c r="D5" s="196"/>
      <c r="E5" s="196"/>
      <c r="F5" s="196"/>
      <c r="G5" s="196"/>
      <c r="H5" s="197"/>
    </row>
    <row r="6" spans="1:10" ht="15.75">
      <c r="A6" s="86" t="s">
        <v>34</v>
      </c>
      <c r="B6" s="188" t="s">
        <v>232</v>
      </c>
      <c r="C6" s="188"/>
      <c r="D6" s="188"/>
      <c r="E6" s="188"/>
      <c r="F6" s="188"/>
      <c r="G6" s="188"/>
      <c r="H6" s="188"/>
    </row>
    <row r="7" spans="1:10" ht="15.75">
      <c r="A7" s="86" t="s">
        <v>48</v>
      </c>
      <c r="B7" s="189" t="s">
        <v>85</v>
      </c>
      <c r="C7" s="190"/>
      <c r="D7" s="190"/>
      <c r="E7" s="190"/>
      <c r="F7" s="190"/>
      <c r="G7" s="190"/>
      <c r="H7" s="191"/>
    </row>
    <row r="8" spans="1:10" ht="15.75">
      <c r="A8" s="86" t="s">
        <v>35</v>
      </c>
      <c r="B8" s="188" t="s">
        <v>233</v>
      </c>
      <c r="C8" s="188"/>
      <c r="D8" s="188"/>
      <c r="E8" s="188"/>
      <c r="F8" s="188"/>
      <c r="G8" s="188"/>
      <c r="H8" s="188"/>
    </row>
    <row r="9" spans="1:10" ht="15.75">
      <c r="A9" s="86" t="s">
        <v>37</v>
      </c>
      <c r="B9" s="188" t="s">
        <v>38</v>
      </c>
      <c r="C9" s="188"/>
      <c r="D9" s="188"/>
      <c r="E9" s="188"/>
      <c r="F9" s="188"/>
      <c r="G9" s="188"/>
      <c r="H9" s="188"/>
    </row>
    <row r="10" spans="1:10" ht="15.75">
      <c r="A10" s="86" t="s">
        <v>36</v>
      </c>
      <c r="B10" s="188" t="s">
        <v>123</v>
      </c>
      <c r="C10" s="188"/>
      <c r="D10" s="188"/>
      <c r="E10" s="188"/>
      <c r="F10" s="188"/>
      <c r="G10" s="188"/>
      <c r="H10" s="188"/>
    </row>
    <row r="11" spans="1:10" ht="15.75">
      <c r="A11" s="86" t="s">
        <v>39</v>
      </c>
      <c r="B11" s="188"/>
      <c r="C11" s="188"/>
      <c r="D11" s="188"/>
      <c r="E11" s="188"/>
      <c r="F11" s="188"/>
      <c r="G11" s="188"/>
      <c r="H11" s="188"/>
    </row>
    <row r="13" spans="1:10">
      <c r="B13" s="87" t="s">
        <v>76</v>
      </c>
      <c r="C13" s="87" t="s">
        <v>77</v>
      </c>
    </row>
    <row r="14" spans="1:10" ht="15.75">
      <c r="A14" s="86" t="s">
        <v>40</v>
      </c>
      <c r="B14" s="89">
        <v>0.33</v>
      </c>
      <c r="C14" s="88">
        <v>25</v>
      </c>
    </row>
    <row r="15" spans="1:10" ht="15.75">
      <c r="A15" s="86" t="s">
        <v>41</v>
      </c>
      <c r="B15" s="89">
        <v>0.67</v>
      </c>
      <c r="C15" s="88">
        <v>50</v>
      </c>
    </row>
    <row r="16" spans="1:10" ht="14.25">
      <c r="E16" s="198" t="str">
        <f>Faculty</f>
        <v xml:space="preserve">Dr. Ashwini Chavan, </v>
      </c>
      <c r="F16" s="198"/>
      <c r="G16" s="198"/>
    </row>
    <row r="17" spans="1:15" ht="15.75">
      <c r="A17" s="86" t="s">
        <v>42</v>
      </c>
      <c r="B17" s="89">
        <v>0.8</v>
      </c>
      <c r="E17" s="198" t="s">
        <v>78</v>
      </c>
      <c r="F17" s="198"/>
      <c r="G17" s="198"/>
    </row>
    <row r="18" spans="1:15" ht="15.75">
      <c r="A18" s="86" t="s">
        <v>43</v>
      </c>
      <c r="B18" s="89">
        <v>0.2</v>
      </c>
    </row>
    <row r="23" spans="1:15" ht="18.75">
      <c r="O23" s="80"/>
    </row>
    <row r="24" spans="1:15" ht="18.75">
      <c r="A24" s="199" t="s">
        <v>86</v>
      </c>
      <c r="B24" s="199"/>
      <c r="C24" s="199"/>
      <c r="D24" s="82"/>
      <c r="E24" s="200" t="s">
        <v>79</v>
      </c>
      <c r="F24" s="200"/>
      <c r="H24" s="200" t="s">
        <v>80</v>
      </c>
      <c r="I24" s="200"/>
      <c r="J24" s="200"/>
      <c r="K24" s="100"/>
      <c r="L24" s="82"/>
      <c r="M24" s="82"/>
      <c r="O24" s="80"/>
    </row>
    <row r="25" spans="1:15" ht="15.75">
      <c r="A25" s="199" t="s">
        <v>8</v>
      </c>
      <c r="B25" s="199"/>
      <c r="C25" s="199"/>
      <c r="D25" s="82"/>
      <c r="E25" s="200" t="s">
        <v>87</v>
      </c>
      <c r="F25" s="200"/>
      <c r="H25" s="200" t="s">
        <v>71</v>
      </c>
      <c r="I25" s="200"/>
      <c r="J25" s="200"/>
    </row>
    <row r="27" spans="1:15" ht="15.75">
      <c r="A27" s="82"/>
      <c r="B27" s="82"/>
      <c r="G27" s="2"/>
      <c r="H27" s="2"/>
      <c r="K27" s="82"/>
      <c r="M27" s="82"/>
      <c r="O27" s="7"/>
    </row>
    <row r="28" spans="1:15" ht="15.75">
      <c r="I28" s="2"/>
      <c r="J28" s="2"/>
      <c r="N28" s="3"/>
      <c r="O28" s="7"/>
    </row>
    <row r="29" spans="1:15" ht="15.75">
      <c r="A29" s="1"/>
      <c r="B29" s="1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3"/>
      <c r="O29" s="7"/>
    </row>
  </sheetData>
  <mergeCells count="19">
    <mergeCell ref="E17:G17"/>
    <mergeCell ref="A24:C24"/>
    <mergeCell ref="E24:F24"/>
    <mergeCell ref="A25:C25"/>
    <mergeCell ref="B11:H11"/>
    <mergeCell ref="E25:F25"/>
    <mergeCell ref="H25:J25"/>
    <mergeCell ref="H24:J24"/>
    <mergeCell ref="E16:G16"/>
    <mergeCell ref="A1:H1"/>
    <mergeCell ref="A2:H2"/>
    <mergeCell ref="A3:H3"/>
    <mergeCell ref="A4:H4"/>
    <mergeCell ref="A5:H5"/>
    <mergeCell ref="B6:H6"/>
    <mergeCell ref="B8:H8"/>
    <mergeCell ref="B9:H9"/>
    <mergeCell ref="B10:H10"/>
    <mergeCell ref="B7:H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zoomScaleNormal="100" workbookViewId="0">
      <selection activeCell="C11" sqref="C11:N15"/>
    </sheetView>
  </sheetViews>
  <sheetFormatPr defaultColWidth="8.85546875" defaultRowHeight="15"/>
  <cols>
    <col min="1" max="1" width="17.7109375" style="37" customWidth="1"/>
    <col min="2" max="2" width="13.42578125" style="36" customWidth="1"/>
    <col min="3" max="3" width="11.5703125" style="36" customWidth="1"/>
    <col min="4" max="4" width="10.42578125" style="36" customWidth="1"/>
    <col min="5" max="5" width="11.42578125" style="36" customWidth="1"/>
    <col min="6" max="16384" width="8.85546875" style="36"/>
  </cols>
  <sheetData>
    <row r="1" spans="1:14" customFormat="1" ht="24.6" customHeight="1">
      <c r="A1" s="210" t="s">
        <v>73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</row>
    <row r="2" spans="1:14" customFormat="1" ht="21" customHeight="1">
      <c r="A2" s="212" t="s">
        <v>74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</row>
    <row r="3" spans="1:14" customFormat="1" ht="13.9" customHeight="1">
      <c r="A3" s="214" t="s">
        <v>75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</row>
    <row r="4" spans="1:14" customFormat="1" ht="13.9" customHeight="1">
      <c r="A4" s="214" t="s">
        <v>9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</row>
    <row r="5" spans="1:14" ht="17.45" customHeight="1">
      <c r="A5" s="216" t="str">
        <f>CONCATENATE("Faculty Name: ", Faculty)</f>
        <v xml:space="preserve">Faculty Name: Dr. Ashwini Chavan, </v>
      </c>
      <c r="B5" s="217"/>
      <c r="C5" s="217"/>
      <c r="D5" s="218"/>
      <c r="E5" s="219"/>
      <c r="F5" s="220"/>
      <c r="G5" s="220"/>
      <c r="H5" s="220"/>
      <c r="I5" s="220"/>
      <c r="J5" s="220"/>
      <c r="K5" s="220"/>
      <c r="L5" s="220"/>
      <c r="M5" s="220"/>
      <c r="N5" s="221"/>
    </row>
    <row r="6" spans="1:14" ht="15.75">
      <c r="A6" s="216" t="str">
        <f>CONCATENATE("Subject Name &amp; Code: ", Sub_Code)</f>
        <v>Subject Name &amp; Code: Network Technologies</v>
      </c>
      <c r="B6" s="217"/>
      <c r="C6" s="217"/>
      <c r="D6" s="218"/>
      <c r="E6" s="219"/>
      <c r="F6" s="220"/>
      <c r="G6" s="220"/>
      <c r="H6" s="220"/>
      <c r="I6" s="220"/>
      <c r="J6" s="220"/>
      <c r="K6" s="220"/>
      <c r="L6" s="220"/>
      <c r="M6" s="220"/>
      <c r="N6" s="221"/>
    </row>
    <row r="7" spans="1:14" ht="15.75">
      <c r="A7" s="216" t="str">
        <f>CONCATENATE("Class: ",Class_AY)</f>
        <v>Class: MCA I SEM I AY 2023-24</v>
      </c>
      <c r="B7" s="217"/>
      <c r="C7" s="217"/>
      <c r="D7" s="218"/>
      <c r="E7" s="219"/>
      <c r="F7" s="220"/>
      <c r="G7" s="220"/>
      <c r="H7" s="220"/>
      <c r="I7" s="220"/>
      <c r="J7" s="220"/>
      <c r="K7" s="220"/>
      <c r="L7" s="220"/>
      <c r="M7" s="220"/>
      <c r="N7" s="221"/>
    </row>
    <row r="8" spans="1:14">
      <c r="A8" s="8"/>
      <c r="B8" s="8"/>
      <c r="C8" s="8"/>
      <c r="D8" s="8"/>
      <c r="E8" s="8"/>
    </row>
    <row r="9" spans="1:14" ht="35.450000000000003" customHeight="1">
      <c r="A9" s="204" t="s">
        <v>59</v>
      </c>
      <c r="B9" s="204"/>
      <c r="C9" s="204"/>
      <c r="D9" s="204"/>
      <c r="E9" s="204"/>
      <c r="F9" s="204"/>
      <c r="G9" s="204"/>
      <c r="H9" s="204"/>
      <c r="I9" s="204"/>
      <c r="J9" s="204"/>
      <c r="K9" s="204"/>
      <c r="L9" s="204"/>
      <c r="M9" s="204"/>
      <c r="N9" s="204"/>
    </row>
    <row r="10" spans="1:14" ht="40.9" customHeight="1">
      <c r="A10" s="205" t="s">
        <v>60</v>
      </c>
      <c r="B10" s="205"/>
      <c r="C10" s="206" t="s">
        <v>66</v>
      </c>
      <c r="D10" s="207"/>
      <c r="E10" s="207"/>
      <c r="F10" s="205" t="s">
        <v>67</v>
      </c>
      <c r="G10" s="205"/>
      <c r="H10" s="205"/>
      <c r="I10" s="205" t="s">
        <v>68</v>
      </c>
      <c r="J10" s="205"/>
      <c r="K10" s="205"/>
      <c r="L10" s="209" t="s">
        <v>69</v>
      </c>
      <c r="M10" s="209"/>
      <c r="N10" s="209"/>
    </row>
    <row r="11" spans="1:14" ht="40.15" customHeight="1">
      <c r="A11" s="201" t="s">
        <v>61</v>
      </c>
      <c r="B11" s="201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203"/>
      <c r="N11" s="203"/>
    </row>
    <row r="12" spans="1:14" ht="40.15" customHeight="1">
      <c r="A12" s="201" t="s">
        <v>62</v>
      </c>
      <c r="B12" s="201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</row>
    <row r="13" spans="1:14" ht="40.15" customHeight="1">
      <c r="A13" s="208" t="s">
        <v>63</v>
      </c>
      <c r="B13" s="208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</row>
    <row r="14" spans="1:14" ht="40.15" customHeight="1">
      <c r="A14" s="201" t="s">
        <v>64</v>
      </c>
      <c r="B14" s="201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</row>
    <row r="15" spans="1:14" ht="40.15" customHeight="1">
      <c r="A15" s="201" t="s">
        <v>65</v>
      </c>
      <c r="B15" s="201"/>
      <c r="C15" s="203"/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</row>
    <row r="18" spans="1:15">
      <c r="A18" s="198" t="str">
        <f>Faculty</f>
        <v xml:space="preserve">Dr. Ashwini Chavan, </v>
      </c>
      <c r="B18" s="19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 s="198" t="s">
        <v>78</v>
      </c>
      <c r="B19" s="198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 ht="18.7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 s="80"/>
    </row>
    <row r="22" spans="1:15" ht="18.7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 s="80"/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 ht="15.75">
      <c r="A24" s="199" t="str">
        <f>SubjectDetails!$A$24</f>
        <v>Dr. Ravi Chourasiya</v>
      </c>
      <c r="B24" s="199"/>
      <c r="C24" s="199"/>
      <c r="D24"/>
      <c r="E24" s="202" t="str">
        <f>SubjectDetails!$E$24</f>
        <v>Dr. Ashwini Chavan</v>
      </c>
      <c r="F24" s="202"/>
      <c r="G24"/>
      <c r="H24"/>
      <c r="I24" s="200" t="str">
        <f>SubjectDetails!$H$24</f>
        <v>Dr. Priyanka Singh</v>
      </c>
      <c r="J24" s="200"/>
      <c r="K24" s="82"/>
      <c r="L24"/>
      <c r="M24" s="82"/>
      <c r="N24" s="48"/>
      <c r="O24"/>
    </row>
    <row r="25" spans="1:15" ht="15.75">
      <c r="A25" s="199" t="str">
        <f>SubjectDetails!$A$25</f>
        <v>(College Examination Officer)</v>
      </c>
      <c r="B25" s="199"/>
      <c r="C25" s="199"/>
      <c r="D25"/>
      <c r="E25" s="202" t="str">
        <f>SubjectDetails!$E$25</f>
        <v>HOD (MCA)</v>
      </c>
      <c r="F25" s="202"/>
      <c r="G25"/>
      <c r="H25"/>
      <c r="I25" s="200" t="str">
        <f>SubjectDetails!$H$25</f>
        <v>Director</v>
      </c>
      <c r="J25" s="200"/>
      <c r="K25" s="82"/>
      <c r="L25"/>
      <c r="M25" s="82"/>
      <c r="N25" s="48"/>
      <c r="O25" s="7"/>
    </row>
    <row r="26" spans="1:15" ht="15.75">
      <c r="A26"/>
      <c r="B26"/>
      <c r="C26"/>
      <c r="D26"/>
      <c r="E26"/>
      <c r="F26"/>
      <c r="G26"/>
      <c r="H26"/>
      <c r="I26" s="2"/>
      <c r="J26" s="2"/>
      <c r="K26"/>
      <c r="L26"/>
      <c r="M26"/>
      <c r="N26" s="3"/>
      <c r="O26" s="7"/>
    </row>
    <row r="27" spans="1:15" ht="15.75">
      <c r="A27" s="1"/>
      <c r="B27" s="1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3"/>
      <c r="O27" s="7"/>
    </row>
  </sheetData>
  <mergeCells count="49">
    <mergeCell ref="A6:D6"/>
    <mergeCell ref="A7:D7"/>
    <mergeCell ref="E5:N5"/>
    <mergeCell ref="E6:N6"/>
    <mergeCell ref="E7:N7"/>
    <mergeCell ref="A1:N1"/>
    <mergeCell ref="A2:N2"/>
    <mergeCell ref="A3:N3"/>
    <mergeCell ref="A4:N4"/>
    <mergeCell ref="A5:D5"/>
    <mergeCell ref="F13:H13"/>
    <mergeCell ref="F14:H14"/>
    <mergeCell ref="F15:H15"/>
    <mergeCell ref="L15:N15"/>
    <mergeCell ref="I10:K10"/>
    <mergeCell ref="I11:K11"/>
    <mergeCell ref="I12:K12"/>
    <mergeCell ref="I13:K13"/>
    <mergeCell ref="I14:K14"/>
    <mergeCell ref="I15:K15"/>
    <mergeCell ref="L10:N10"/>
    <mergeCell ref="L11:N11"/>
    <mergeCell ref="L12:N12"/>
    <mergeCell ref="L13:N13"/>
    <mergeCell ref="L14:N14"/>
    <mergeCell ref="A13:B13"/>
    <mergeCell ref="A14:B14"/>
    <mergeCell ref="C13:E13"/>
    <mergeCell ref="C14:E14"/>
    <mergeCell ref="C15:E15"/>
    <mergeCell ref="C11:E11"/>
    <mergeCell ref="C12:E12"/>
    <mergeCell ref="A9:N9"/>
    <mergeCell ref="A10:B10"/>
    <mergeCell ref="A11:B11"/>
    <mergeCell ref="A12:B12"/>
    <mergeCell ref="C10:E10"/>
    <mergeCell ref="F10:H10"/>
    <mergeCell ref="F11:H11"/>
    <mergeCell ref="F12:H12"/>
    <mergeCell ref="I24:J24"/>
    <mergeCell ref="I25:J25"/>
    <mergeCell ref="A15:B15"/>
    <mergeCell ref="A18:B18"/>
    <mergeCell ref="A19:B19"/>
    <mergeCell ref="A24:C24"/>
    <mergeCell ref="E24:F24"/>
    <mergeCell ref="A25:C25"/>
    <mergeCell ref="E25:F25"/>
  </mergeCell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7"/>
  <sheetViews>
    <sheetView topLeftCell="A21" zoomScale="85" zoomScaleNormal="85" workbookViewId="0">
      <selection activeCell="B12" sqref="B12:I16"/>
    </sheetView>
  </sheetViews>
  <sheetFormatPr defaultColWidth="8.85546875" defaultRowHeight="15"/>
  <cols>
    <col min="1" max="1" width="8.85546875" style="37"/>
    <col min="2" max="16384" width="8.85546875" style="36"/>
  </cols>
  <sheetData>
    <row r="1" spans="1:27" customFormat="1" ht="24.6" customHeight="1">
      <c r="A1" s="192" t="s">
        <v>73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</row>
    <row r="2" spans="1:27" customFormat="1" ht="21" customHeight="1">
      <c r="A2" s="193" t="s">
        <v>74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</row>
    <row r="3" spans="1:27" customFormat="1" ht="13.9" customHeight="1">
      <c r="A3" s="194" t="s">
        <v>75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</row>
    <row r="4" spans="1:27" customFormat="1" ht="13.9" customHeight="1">
      <c r="A4" s="194" t="s">
        <v>9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</row>
    <row r="5" spans="1:27" customFormat="1" ht="13.9" customHeight="1">
      <c r="A5" s="224"/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6"/>
    </row>
    <row r="6" spans="1:27" ht="18.75">
      <c r="A6" s="32" t="str">
        <f>CONCATENATE("Faculty Name: ", Faculty)</f>
        <v xml:space="preserve">Faculty Name: Dr. Ashwini Chavan, </v>
      </c>
      <c r="B6" s="12"/>
      <c r="C6" s="12"/>
      <c r="D6" s="12"/>
      <c r="E6" s="12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</row>
    <row r="7" spans="1:27" ht="18.75">
      <c r="A7" s="32" t="str">
        <f>CONCATENATE("Subject Name &amp; Code: ", Sub_Code)</f>
        <v>Subject Name &amp; Code: Network Technologies</v>
      </c>
      <c r="B7" s="12"/>
      <c r="C7" s="12"/>
      <c r="D7" s="12"/>
      <c r="E7" s="12"/>
      <c r="F7" s="12"/>
      <c r="G7" s="12"/>
      <c r="H7" s="35"/>
      <c r="I7" s="35"/>
      <c r="J7" s="35"/>
      <c r="K7" s="35"/>
      <c r="L7" s="35"/>
      <c r="M7" s="35"/>
      <c r="N7" s="35"/>
      <c r="O7" s="35"/>
      <c r="P7" s="35"/>
    </row>
    <row r="8" spans="1:27" ht="15.75">
      <c r="A8" s="32" t="str">
        <f>CONCATENATE("Class: ",Class_AY)</f>
        <v>Class: MCA I SEM I AY 2023-24</v>
      </c>
      <c r="B8" s="12"/>
      <c r="C8" s="12"/>
      <c r="D8" s="12"/>
      <c r="E8" s="12"/>
    </row>
    <row r="9" spans="1:27" ht="20.25">
      <c r="A9" s="8"/>
      <c r="B9" s="8"/>
      <c r="C9" s="8"/>
      <c r="D9" s="8"/>
      <c r="E9" s="8"/>
      <c r="K9" s="233" t="s">
        <v>82</v>
      </c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/>
    </row>
    <row r="10" spans="1:27" ht="55.15" customHeight="1">
      <c r="A10" s="227" t="s">
        <v>81</v>
      </c>
      <c r="B10" s="227"/>
      <c r="C10" s="227"/>
      <c r="D10" s="227"/>
      <c r="E10" s="227"/>
      <c r="F10" s="227"/>
      <c r="G10" s="227"/>
      <c r="H10" s="227"/>
      <c r="I10" s="227"/>
      <c r="J10" s="113"/>
      <c r="K10" s="234" t="s">
        <v>88</v>
      </c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4"/>
    </row>
    <row r="11" spans="1:27" ht="32.450000000000003" customHeight="1">
      <c r="A11" s="60"/>
      <c r="B11" s="59" t="s">
        <v>14</v>
      </c>
      <c r="C11" s="59" t="s">
        <v>15</v>
      </c>
      <c r="D11" s="59" t="s">
        <v>16</v>
      </c>
      <c r="E11" s="59" t="s">
        <v>17</v>
      </c>
      <c r="F11" s="59" t="s">
        <v>18</v>
      </c>
      <c r="G11" s="59" t="s">
        <v>19</v>
      </c>
      <c r="H11" s="59" t="s">
        <v>20</v>
      </c>
      <c r="I11" s="59" t="s">
        <v>21</v>
      </c>
      <c r="J11" s="110"/>
      <c r="K11" s="234" t="s">
        <v>89</v>
      </c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4"/>
      <c r="AA11" s="26"/>
    </row>
    <row r="12" spans="1:27" ht="19.899999999999999" customHeight="1">
      <c r="A12" s="59" t="s">
        <v>2</v>
      </c>
      <c r="B12" s="183">
        <v>2</v>
      </c>
      <c r="C12" s="183">
        <v>1</v>
      </c>
      <c r="D12" s="183" t="s">
        <v>23</v>
      </c>
      <c r="E12" s="183" t="s">
        <v>23</v>
      </c>
      <c r="F12" s="183" t="s">
        <v>23</v>
      </c>
      <c r="G12" s="183" t="s">
        <v>23</v>
      </c>
      <c r="H12" s="183" t="s">
        <v>23</v>
      </c>
      <c r="I12" s="183">
        <v>1</v>
      </c>
      <c r="J12" s="111"/>
      <c r="K12" s="234"/>
      <c r="L12" s="234"/>
      <c r="M12" s="234"/>
      <c r="N12" s="234"/>
      <c r="O12" s="234"/>
      <c r="P12" s="234"/>
      <c r="Q12" s="234"/>
      <c r="R12" s="234"/>
      <c r="S12" s="234"/>
      <c r="T12" s="234"/>
      <c r="U12" s="234"/>
      <c r="V12" s="234"/>
      <c r="W12" s="234"/>
      <c r="AA12" s="56"/>
    </row>
    <row r="13" spans="1:27" ht="27" customHeight="1">
      <c r="A13" s="59" t="s">
        <v>3</v>
      </c>
      <c r="B13" s="183">
        <v>3</v>
      </c>
      <c r="C13" s="183">
        <v>1</v>
      </c>
      <c r="D13" s="183">
        <v>1</v>
      </c>
      <c r="E13" s="183" t="s">
        <v>23</v>
      </c>
      <c r="F13" s="183" t="s">
        <v>23</v>
      </c>
      <c r="G13" s="183" t="s">
        <v>23</v>
      </c>
      <c r="H13" s="183" t="s">
        <v>23</v>
      </c>
      <c r="I13" s="183">
        <v>1</v>
      </c>
      <c r="J13" s="111"/>
      <c r="K13" s="234" t="s">
        <v>90</v>
      </c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AA13" s="56"/>
    </row>
    <row r="14" spans="1:27" ht="24.6" customHeight="1">
      <c r="A14" s="59" t="s">
        <v>4</v>
      </c>
      <c r="B14" s="183">
        <v>3</v>
      </c>
      <c r="C14" s="183" t="s">
        <v>23</v>
      </c>
      <c r="D14" s="183" t="s">
        <v>23</v>
      </c>
      <c r="E14" s="183" t="s">
        <v>23</v>
      </c>
      <c r="F14" s="183" t="s">
        <v>23</v>
      </c>
      <c r="G14" s="183" t="s">
        <v>23</v>
      </c>
      <c r="H14" s="183" t="s">
        <v>23</v>
      </c>
      <c r="I14" s="183">
        <v>1</v>
      </c>
      <c r="J14" s="111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AA14" s="56"/>
    </row>
    <row r="15" spans="1:27" ht="19.899999999999999" customHeight="1">
      <c r="A15" s="59" t="s">
        <v>10</v>
      </c>
      <c r="B15" s="183">
        <v>2</v>
      </c>
      <c r="C15" s="183" t="s">
        <v>23</v>
      </c>
      <c r="D15" s="183">
        <v>1</v>
      </c>
      <c r="E15" s="183" t="s">
        <v>23</v>
      </c>
      <c r="F15" s="183" t="s">
        <v>23</v>
      </c>
      <c r="G15" s="183" t="s">
        <v>23</v>
      </c>
      <c r="H15" s="183">
        <v>2</v>
      </c>
      <c r="I15" s="183">
        <v>1</v>
      </c>
      <c r="J15" s="111"/>
      <c r="K15" s="235" t="s">
        <v>91</v>
      </c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AA15" s="56"/>
    </row>
    <row r="16" spans="1:27" ht="29.45" customHeight="1">
      <c r="A16" s="59" t="s">
        <v>12</v>
      </c>
      <c r="B16" s="183">
        <v>2</v>
      </c>
      <c r="C16" s="183" t="s">
        <v>23</v>
      </c>
      <c r="D16" s="183">
        <v>3</v>
      </c>
      <c r="E16" s="183">
        <v>2</v>
      </c>
      <c r="F16" s="183" t="s">
        <v>23</v>
      </c>
      <c r="G16" s="183" t="s">
        <v>23</v>
      </c>
      <c r="H16" s="183" t="s">
        <v>23</v>
      </c>
      <c r="I16" s="183">
        <v>2</v>
      </c>
      <c r="J16" s="111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AA16" s="56"/>
    </row>
    <row r="17" spans="1:27" ht="19.899999999999999" customHeight="1">
      <c r="A17" s="59"/>
      <c r="B17" s="94"/>
      <c r="C17" s="94"/>
      <c r="D17" s="94"/>
      <c r="E17" s="94"/>
      <c r="F17" s="94"/>
      <c r="G17" s="94"/>
      <c r="H17" s="94"/>
      <c r="I17" s="94"/>
      <c r="J17" s="111"/>
      <c r="K17" s="232" t="s">
        <v>92</v>
      </c>
      <c r="L17" s="232"/>
      <c r="M17" s="232"/>
      <c r="N17" s="232"/>
      <c r="O17" s="232"/>
      <c r="P17" s="232"/>
      <c r="Q17" s="232"/>
      <c r="R17" s="232"/>
      <c r="S17" s="232"/>
      <c r="T17" s="232"/>
      <c r="U17" s="232"/>
      <c r="V17" s="232"/>
      <c r="W17" s="232"/>
      <c r="AA17" s="56"/>
    </row>
    <row r="18" spans="1:27" ht="19.899999999999999" customHeight="1">
      <c r="A18" s="92" t="s">
        <v>22</v>
      </c>
      <c r="B18" s="93">
        <f>AVERAGE(B12:B17)</f>
        <v>2.4</v>
      </c>
      <c r="C18" s="93">
        <f t="shared" ref="C18:I18" si="0">AVERAGE(C12:C17)</f>
        <v>1</v>
      </c>
      <c r="D18" s="93">
        <f t="shared" si="0"/>
        <v>1.6666666666666667</v>
      </c>
      <c r="E18" s="93">
        <f t="shared" si="0"/>
        <v>2</v>
      </c>
      <c r="F18" s="93" t="e">
        <f t="shared" si="0"/>
        <v>#DIV/0!</v>
      </c>
      <c r="G18" s="93" t="e">
        <f t="shared" si="0"/>
        <v>#DIV/0!</v>
      </c>
      <c r="H18" s="93">
        <f t="shared" si="0"/>
        <v>2</v>
      </c>
      <c r="I18" s="112">
        <f t="shared" si="0"/>
        <v>1.2</v>
      </c>
      <c r="J18" s="109"/>
      <c r="K18" s="232"/>
      <c r="L18" s="232"/>
      <c r="M18" s="232"/>
      <c r="N18" s="232"/>
      <c r="O18" s="232"/>
      <c r="P18" s="232"/>
      <c r="Q18" s="232"/>
      <c r="R18" s="232"/>
      <c r="S18" s="232"/>
      <c r="T18" s="232"/>
      <c r="U18" s="232"/>
      <c r="V18" s="232"/>
      <c r="W18" s="232"/>
    </row>
    <row r="19" spans="1:27" ht="37.9" customHeight="1">
      <c r="A19" s="228" t="s">
        <v>84</v>
      </c>
      <c r="B19" s="228"/>
      <c r="C19" s="228"/>
      <c r="D19" s="228"/>
      <c r="E19" s="228"/>
      <c r="F19" s="228"/>
      <c r="G19" s="228"/>
      <c r="H19" s="228"/>
      <c r="I19" s="228"/>
      <c r="J19" s="114"/>
      <c r="K19" s="236" t="s">
        <v>93</v>
      </c>
      <c r="L19" s="236"/>
      <c r="M19" s="236"/>
      <c r="N19" s="236"/>
      <c r="O19" s="236"/>
      <c r="P19" s="236"/>
      <c r="Q19" s="236"/>
      <c r="R19" s="236"/>
      <c r="S19" s="236"/>
      <c r="T19" s="236"/>
      <c r="U19" s="236"/>
      <c r="V19" s="236"/>
      <c r="W19" s="236"/>
    </row>
    <row r="20" spans="1:27" ht="28.9" customHeight="1">
      <c r="A20" s="228"/>
      <c r="B20" s="228"/>
      <c r="C20" s="228"/>
      <c r="D20" s="228"/>
      <c r="E20" s="228"/>
      <c r="F20" s="228"/>
      <c r="G20" s="228"/>
      <c r="H20" s="228"/>
      <c r="I20" s="228"/>
      <c r="J20" s="114"/>
      <c r="K20" s="237" t="s">
        <v>94</v>
      </c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</row>
    <row r="21" spans="1:27" ht="13.9" customHeight="1">
      <c r="A21" s="228"/>
      <c r="B21" s="228"/>
      <c r="C21" s="228"/>
      <c r="D21" s="228"/>
      <c r="E21" s="228"/>
      <c r="F21" s="228"/>
      <c r="G21" s="228"/>
      <c r="H21" s="228"/>
      <c r="I21" s="228"/>
      <c r="J21" s="114"/>
      <c r="K21" s="237"/>
      <c r="L21" s="237"/>
      <c r="M21" s="237"/>
      <c r="N21" s="237"/>
      <c r="O21" s="237"/>
      <c r="P21" s="237"/>
      <c r="Q21" s="237"/>
      <c r="R21" s="237"/>
      <c r="S21" s="237"/>
      <c r="T21" s="237"/>
      <c r="U21" s="237"/>
      <c r="V21" s="237"/>
      <c r="W21" s="237"/>
    </row>
    <row r="22" spans="1:27" ht="30.6" customHeight="1">
      <c r="A22"/>
      <c r="B22"/>
      <c r="C22"/>
      <c r="D22"/>
      <c r="E22"/>
      <c r="F22"/>
      <c r="G22"/>
      <c r="H22"/>
      <c r="I22"/>
      <c r="J22"/>
      <c r="K22" s="237" t="s">
        <v>95</v>
      </c>
      <c r="L22" s="237"/>
      <c r="M22" s="237"/>
      <c r="N22" s="237"/>
      <c r="O22" s="237"/>
      <c r="P22" s="237"/>
      <c r="Q22" s="237"/>
      <c r="R22" s="237"/>
      <c r="S22" s="237"/>
      <c r="T22" s="237"/>
      <c r="U22" s="237"/>
      <c r="V22" s="237"/>
      <c r="W22" s="237"/>
    </row>
    <row r="23" spans="1:27" ht="16.149999999999999" customHeight="1">
      <c r="A23"/>
      <c r="B23"/>
      <c r="C23"/>
      <c r="D23"/>
      <c r="E23"/>
      <c r="F23"/>
      <c r="G23"/>
      <c r="H23"/>
      <c r="I23"/>
      <c r="J23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7"/>
      <c r="W23" s="237"/>
    </row>
    <row r="24" spans="1:27" ht="17.45" customHeight="1">
      <c r="A24" s="238" t="str">
        <f>SubjectDetails!$E$16</f>
        <v xml:space="preserve">Dr. Ashwini Chavan, </v>
      </c>
      <c r="B24" s="238"/>
      <c r="C24" s="238"/>
      <c r="K24" s="240" t="s">
        <v>83</v>
      </c>
      <c r="L24" s="240"/>
      <c r="M24" s="240"/>
      <c r="N24" s="240"/>
      <c r="O24" s="240"/>
      <c r="P24" s="240"/>
      <c r="Q24" s="240"/>
      <c r="R24" s="240"/>
      <c r="S24" s="240"/>
      <c r="T24" s="240"/>
      <c r="U24" s="240"/>
      <c r="V24" s="240"/>
      <c r="W24" s="240"/>
    </row>
    <row r="25" spans="1:27" ht="32.450000000000003" customHeight="1">
      <c r="A25" s="239" t="str">
        <f>SubjectDetails!$E$17</f>
        <v>Subject Faculty</v>
      </c>
      <c r="B25" s="239"/>
      <c r="C25" s="239"/>
      <c r="K25" s="222" t="s">
        <v>236</v>
      </c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223"/>
    </row>
    <row r="26" spans="1:27" ht="34.9" customHeight="1">
      <c r="K26" s="222" t="s">
        <v>237</v>
      </c>
      <c r="L26" s="223" t="s">
        <v>237</v>
      </c>
      <c r="M26" s="223" t="s">
        <v>237</v>
      </c>
      <c r="N26" s="223" t="s">
        <v>237</v>
      </c>
      <c r="O26" s="223" t="s">
        <v>237</v>
      </c>
      <c r="P26" s="223" t="s">
        <v>237</v>
      </c>
      <c r="Q26" s="223" t="s">
        <v>237</v>
      </c>
      <c r="R26" s="223" t="s">
        <v>237</v>
      </c>
      <c r="S26" s="223" t="s">
        <v>237</v>
      </c>
      <c r="T26" s="223" t="s">
        <v>237</v>
      </c>
      <c r="U26" s="223" t="s">
        <v>237</v>
      </c>
      <c r="V26" s="223" t="s">
        <v>237</v>
      </c>
      <c r="W26" s="223" t="s">
        <v>237</v>
      </c>
    </row>
    <row r="27" spans="1:27" ht="36" customHeight="1">
      <c r="K27" s="222" t="s">
        <v>238</v>
      </c>
      <c r="L27" s="223" t="s">
        <v>238</v>
      </c>
      <c r="M27" s="223" t="s">
        <v>238</v>
      </c>
      <c r="N27" s="223" t="s">
        <v>238</v>
      </c>
      <c r="O27" s="223" t="s">
        <v>238</v>
      </c>
      <c r="P27" s="223" t="s">
        <v>238</v>
      </c>
      <c r="Q27" s="223" t="s">
        <v>238</v>
      </c>
      <c r="R27" s="223" t="s">
        <v>238</v>
      </c>
      <c r="S27" s="223" t="s">
        <v>238</v>
      </c>
      <c r="T27" s="223" t="s">
        <v>238</v>
      </c>
      <c r="U27" s="223" t="s">
        <v>238</v>
      </c>
      <c r="V27" s="223" t="s">
        <v>238</v>
      </c>
      <c r="W27" s="223" t="s">
        <v>238</v>
      </c>
    </row>
    <row r="28" spans="1:27" ht="36.6" customHeight="1">
      <c r="A28" s="199" t="str">
        <f>SubjectDetails!$A$24</f>
        <v>Dr. Ravi Chourasiya</v>
      </c>
      <c r="B28" s="199"/>
      <c r="C28" s="199"/>
      <c r="D28"/>
      <c r="E28" s="202" t="str">
        <f>SubjectDetails!$E$24</f>
        <v>Dr. Ashwini Chavan</v>
      </c>
      <c r="F28" s="202"/>
      <c r="G28" s="202"/>
      <c r="H28"/>
      <c r="I28" s="200" t="str">
        <f>SubjectDetails!$H$24</f>
        <v>Dr. Priyanka Singh</v>
      </c>
      <c r="J28" s="200"/>
      <c r="K28" s="222" t="s">
        <v>239</v>
      </c>
      <c r="L28" s="223" t="s">
        <v>239</v>
      </c>
      <c r="M28" s="223" t="s">
        <v>239</v>
      </c>
      <c r="N28" s="223" t="s">
        <v>239</v>
      </c>
      <c r="O28" s="223" t="s">
        <v>239</v>
      </c>
      <c r="P28" s="223" t="s">
        <v>239</v>
      </c>
      <c r="Q28" s="223" t="s">
        <v>239</v>
      </c>
      <c r="R28" s="223" t="s">
        <v>239</v>
      </c>
      <c r="S28" s="223" t="s">
        <v>239</v>
      </c>
      <c r="T28" s="223" t="s">
        <v>239</v>
      </c>
      <c r="U28" s="223" t="s">
        <v>239</v>
      </c>
      <c r="V28" s="223" t="s">
        <v>239</v>
      </c>
      <c r="W28" s="223" t="s">
        <v>239</v>
      </c>
    </row>
    <row r="29" spans="1:27" ht="32.450000000000003" customHeight="1">
      <c r="A29" s="230" t="str">
        <f>SubjectDetails!$A$25</f>
        <v>(College Examination Officer)</v>
      </c>
      <c r="B29" s="230"/>
      <c r="C29" s="230"/>
      <c r="D29"/>
      <c r="E29" s="231" t="str">
        <f>SubjectDetails!$E$25</f>
        <v>HOD (MCA)</v>
      </c>
      <c r="F29" s="231"/>
      <c r="G29" s="231"/>
      <c r="H29"/>
      <c r="I29" s="229" t="str">
        <f>SubjectDetails!$H$25</f>
        <v>Director</v>
      </c>
      <c r="J29" s="229"/>
      <c r="K29" s="222" t="s">
        <v>240</v>
      </c>
      <c r="L29" s="223" t="s">
        <v>240</v>
      </c>
      <c r="M29" s="223" t="s">
        <v>240</v>
      </c>
      <c r="N29" s="223" t="s">
        <v>240</v>
      </c>
      <c r="O29" s="223" t="s">
        <v>240</v>
      </c>
      <c r="P29" s="223" t="s">
        <v>240</v>
      </c>
      <c r="Q29" s="223" t="s">
        <v>240</v>
      </c>
      <c r="R29" s="223" t="s">
        <v>240</v>
      </c>
      <c r="S29" s="223" t="s">
        <v>240</v>
      </c>
      <c r="T29" s="223" t="s">
        <v>240</v>
      </c>
      <c r="U29" s="223" t="s">
        <v>240</v>
      </c>
      <c r="V29" s="223" t="s">
        <v>240</v>
      </c>
      <c r="W29" s="223" t="s">
        <v>240</v>
      </c>
    </row>
    <row r="30" spans="1:27" ht="17.45" customHeight="1"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</row>
    <row r="31" spans="1:27" ht="21" customHeight="1"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</row>
    <row r="33" ht="25.15" customHeight="1"/>
    <row r="34" ht="40.9" customHeight="1"/>
    <row r="35" ht="25.15" customHeight="1"/>
    <row r="36" ht="25.15" customHeight="1"/>
    <row r="37" ht="25.15" customHeight="1"/>
  </sheetData>
  <mergeCells count="30">
    <mergeCell ref="K26:W26"/>
    <mergeCell ref="K27:W27"/>
    <mergeCell ref="K19:W19"/>
    <mergeCell ref="K20:W21"/>
    <mergeCell ref="A24:C24"/>
    <mergeCell ref="A25:C25"/>
    <mergeCell ref="K22:W23"/>
    <mergeCell ref="K24:W24"/>
    <mergeCell ref="K25:W25"/>
    <mergeCell ref="K9:W9"/>
    <mergeCell ref="K10:W10"/>
    <mergeCell ref="K11:W12"/>
    <mergeCell ref="K13:W14"/>
    <mergeCell ref="K15:W16"/>
    <mergeCell ref="K28:W28"/>
    <mergeCell ref="K29:W29"/>
    <mergeCell ref="A1:O1"/>
    <mergeCell ref="A2:O2"/>
    <mergeCell ref="A3:O3"/>
    <mergeCell ref="A4:O4"/>
    <mergeCell ref="A5:O5"/>
    <mergeCell ref="A10:I10"/>
    <mergeCell ref="A19:I21"/>
    <mergeCell ref="I28:J28"/>
    <mergeCell ref="I29:J29"/>
    <mergeCell ref="A28:C28"/>
    <mergeCell ref="A29:C29"/>
    <mergeCell ref="E28:G28"/>
    <mergeCell ref="E29:G29"/>
    <mergeCell ref="K17:W18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9"/>
  <sheetViews>
    <sheetView topLeftCell="A121" workbookViewId="0">
      <selection activeCell="G50" sqref="G50"/>
    </sheetView>
  </sheetViews>
  <sheetFormatPr defaultColWidth="12.7109375" defaultRowHeight="15.75" customHeight="1"/>
  <cols>
    <col min="1" max="1" width="9.7109375" style="1" customWidth="1"/>
    <col min="2" max="2" width="18.28515625" style="1" customWidth="1"/>
    <col min="3" max="3" width="44.28515625" style="1" bestFit="1" customWidth="1"/>
    <col min="4" max="7" width="7.28515625" style="2" customWidth="1"/>
    <col min="8" max="8" width="8.28515625" style="2" customWidth="1"/>
    <col min="9" max="9" width="7.7109375" style="2" bestFit="1" customWidth="1"/>
    <col min="10" max="10" width="14.5703125" style="3" customWidth="1"/>
    <col min="11" max="16384" width="12.7109375" style="7"/>
  </cols>
  <sheetData>
    <row r="1" spans="1:14" customFormat="1" ht="24.6" customHeight="1">
      <c r="A1" s="210" t="s">
        <v>73</v>
      </c>
      <c r="B1" s="211"/>
      <c r="C1" s="211"/>
      <c r="D1" s="211"/>
      <c r="E1" s="211"/>
      <c r="F1" s="211"/>
      <c r="G1" s="211"/>
      <c r="H1" s="211"/>
      <c r="I1" s="211"/>
      <c r="J1" s="211"/>
      <c r="K1" s="95"/>
      <c r="L1" s="95"/>
      <c r="M1" s="95"/>
      <c r="N1" s="95"/>
    </row>
    <row r="2" spans="1:14" customFormat="1" ht="21" customHeight="1">
      <c r="A2" s="212" t="s">
        <v>74</v>
      </c>
      <c r="B2" s="213"/>
      <c r="C2" s="213"/>
      <c r="D2" s="213"/>
      <c r="E2" s="213"/>
      <c r="F2" s="213"/>
      <c r="G2" s="213"/>
      <c r="H2" s="213"/>
      <c r="I2" s="213"/>
      <c r="J2" s="213"/>
      <c r="K2" s="96"/>
      <c r="L2" s="96"/>
      <c r="M2" s="96"/>
      <c r="N2" s="96"/>
    </row>
    <row r="3" spans="1:14" customFormat="1" ht="13.9" customHeight="1">
      <c r="A3" s="214" t="s">
        <v>75</v>
      </c>
      <c r="B3" s="215"/>
      <c r="C3" s="215"/>
      <c r="D3" s="215"/>
      <c r="E3" s="215"/>
      <c r="F3" s="215"/>
      <c r="G3" s="215"/>
      <c r="H3" s="215"/>
      <c r="I3" s="215"/>
      <c r="J3" s="215"/>
      <c r="K3" s="97"/>
      <c r="L3" s="97"/>
      <c r="M3" s="97"/>
      <c r="N3" s="97"/>
    </row>
    <row r="4" spans="1:14" customFormat="1" ht="13.9" customHeight="1" thickBot="1">
      <c r="A4" s="244" t="s">
        <v>9</v>
      </c>
      <c r="B4" s="245"/>
      <c r="C4" s="245"/>
      <c r="D4" s="245"/>
      <c r="E4" s="245"/>
      <c r="F4" s="245"/>
      <c r="G4" s="245"/>
      <c r="H4" s="245"/>
      <c r="I4" s="245"/>
      <c r="J4" s="245"/>
      <c r="K4" s="97"/>
      <c r="L4" s="97"/>
      <c r="M4" s="97"/>
      <c r="N4" s="97"/>
    </row>
    <row r="5" spans="1:14" ht="30.4" customHeight="1">
      <c r="A5" s="246" t="s">
        <v>5</v>
      </c>
      <c r="B5" s="247"/>
      <c r="C5" s="247"/>
      <c r="D5" s="247"/>
      <c r="E5" s="247"/>
      <c r="F5" s="247"/>
      <c r="G5" s="247"/>
      <c r="H5" s="247"/>
      <c r="I5" s="247"/>
      <c r="J5" s="248"/>
    </row>
    <row r="6" spans="1:14" ht="21" customHeight="1">
      <c r="A6" s="249" t="str">
        <f>CONCATENATE(Class," ", spl)</f>
        <v xml:space="preserve">MCA I SEM I AY 2023-24 </v>
      </c>
      <c r="B6" s="249"/>
      <c r="C6" s="98" t="str">
        <f>CONCATENATE("Name of Faculty: ", Faculty)</f>
        <v xml:space="preserve">Name of Faculty: Dr. Ashwini Chavan, </v>
      </c>
      <c r="D6" s="252" t="str">
        <f>CONCATENATE("Course Name: ", Sub_Code)</f>
        <v>Course Name: Network Technologies</v>
      </c>
      <c r="E6" s="253"/>
      <c r="F6" s="253"/>
      <c r="G6" s="253"/>
      <c r="H6" s="253"/>
      <c r="I6" s="253"/>
      <c r="J6" s="254"/>
    </row>
    <row r="7" spans="1:14" ht="21" customHeight="1">
      <c r="A7" s="255" t="s">
        <v>0</v>
      </c>
      <c r="B7" s="255" t="s">
        <v>6</v>
      </c>
      <c r="C7" s="255" t="s">
        <v>1</v>
      </c>
      <c r="D7" s="251" t="s">
        <v>96</v>
      </c>
      <c r="E7" s="251"/>
      <c r="F7" s="251"/>
      <c r="G7" s="251"/>
      <c r="H7" s="251"/>
      <c r="I7" s="251"/>
      <c r="J7" s="250" t="s">
        <v>49</v>
      </c>
    </row>
    <row r="8" spans="1:14" s="38" customFormat="1" ht="19.899999999999999" customHeight="1">
      <c r="A8" s="257"/>
      <c r="B8" s="257"/>
      <c r="C8" s="256"/>
      <c r="D8" s="117" t="s">
        <v>106</v>
      </c>
      <c r="E8" s="117" t="s">
        <v>107</v>
      </c>
      <c r="F8" s="117" t="s">
        <v>108</v>
      </c>
      <c r="G8" s="117"/>
      <c r="H8" s="117"/>
      <c r="I8" s="117"/>
      <c r="J8" s="250"/>
    </row>
    <row r="9" spans="1:14" s="38" customFormat="1" ht="20.25">
      <c r="A9" s="257"/>
      <c r="B9" s="257"/>
      <c r="C9" s="84" t="s">
        <v>72</v>
      </c>
      <c r="D9" s="118">
        <v>10</v>
      </c>
      <c r="E9" s="118">
        <v>10</v>
      </c>
      <c r="F9" s="118">
        <v>10</v>
      </c>
      <c r="G9" s="118"/>
      <c r="H9" s="118"/>
      <c r="I9" s="118"/>
      <c r="J9" s="242">
        <f>SUM(D9:I9)</f>
        <v>30</v>
      </c>
    </row>
    <row r="10" spans="1:14" s="38" customFormat="1" ht="21" thickBot="1">
      <c r="A10" s="256"/>
      <c r="B10" s="258"/>
      <c r="C10" s="84" t="s">
        <v>112</v>
      </c>
      <c r="D10" s="119" t="s">
        <v>2</v>
      </c>
      <c r="E10" s="119" t="s">
        <v>3</v>
      </c>
      <c r="F10" s="119" t="s">
        <v>4</v>
      </c>
      <c r="G10" s="119"/>
      <c r="H10" s="119"/>
      <c r="I10" s="119"/>
      <c r="J10" s="243"/>
    </row>
    <row r="11" spans="1:14" s="38" customFormat="1" ht="18" customHeight="1" thickBot="1">
      <c r="A11" s="69">
        <v>1</v>
      </c>
      <c r="B11" s="151">
        <v>22101</v>
      </c>
      <c r="C11" s="152" t="s">
        <v>124</v>
      </c>
      <c r="D11" s="171">
        <v>9</v>
      </c>
      <c r="E11" s="171">
        <v>10</v>
      </c>
      <c r="F11" s="172">
        <v>10</v>
      </c>
      <c r="G11" s="151"/>
      <c r="H11" s="151"/>
      <c r="I11" s="151"/>
      <c r="J11" s="55">
        <f t="shared" ref="J11:J55" si="0">IF(F11&lt;&gt;"AB",SUM(D11:I11),"AB")</f>
        <v>29</v>
      </c>
      <c r="N11" s="67"/>
    </row>
    <row r="12" spans="1:14" ht="18" customHeight="1" thickBot="1">
      <c r="A12" s="69">
        <v>2</v>
      </c>
      <c r="B12" s="151">
        <v>22102</v>
      </c>
      <c r="C12" s="152" t="s">
        <v>125</v>
      </c>
      <c r="D12" s="171">
        <v>10</v>
      </c>
      <c r="E12" s="171">
        <v>9</v>
      </c>
      <c r="F12" s="172">
        <v>9</v>
      </c>
      <c r="G12" s="151"/>
      <c r="H12" s="151"/>
      <c r="I12" s="151"/>
      <c r="J12" s="55">
        <f t="shared" si="0"/>
        <v>28</v>
      </c>
      <c r="L12" s="38"/>
      <c r="N12" s="67"/>
    </row>
    <row r="13" spans="1:14" ht="18" customHeight="1" thickBot="1">
      <c r="A13" s="69">
        <v>3</v>
      </c>
      <c r="B13" s="151">
        <v>22103</v>
      </c>
      <c r="C13" s="152" t="s">
        <v>126</v>
      </c>
      <c r="D13" s="171">
        <v>10</v>
      </c>
      <c r="E13" s="171">
        <v>10</v>
      </c>
      <c r="F13" s="172">
        <v>9</v>
      </c>
      <c r="G13" s="151"/>
      <c r="H13" s="151"/>
      <c r="I13" s="151"/>
      <c r="J13" s="55">
        <f t="shared" si="0"/>
        <v>29</v>
      </c>
      <c r="L13" s="38"/>
      <c r="N13" s="67"/>
    </row>
    <row r="14" spans="1:14" ht="18" customHeight="1" thickBot="1">
      <c r="A14" s="69">
        <v>4</v>
      </c>
      <c r="B14" s="151">
        <v>22104</v>
      </c>
      <c r="C14" s="152" t="s">
        <v>127</v>
      </c>
      <c r="D14" s="171">
        <v>10</v>
      </c>
      <c r="E14" s="171">
        <v>8</v>
      </c>
      <c r="F14" s="172">
        <v>8</v>
      </c>
      <c r="G14" s="151"/>
      <c r="H14" s="151"/>
      <c r="I14" s="151"/>
      <c r="J14" s="55">
        <f t="shared" si="0"/>
        <v>26</v>
      </c>
      <c r="L14" s="38"/>
      <c r="N14" s="67"/>
    </row>
    <row r="15" spans="1:14" ht="18" customHeight="1" thickBot="1">
      <c r="A15" s="69">
        <v>5</v>
      </c>
      <c r="B15" s="151">
        <v>22105</v>
      </c>
      <c r="C15" s="152" t="s">
        <v>128</v>
      </c>
      <c r="D15" s="171">
        <v>10</v>
      </c>
      <c r="E15" s="171">
        <v>8</v>
      </c>
      <c r="F15" s="172">
        <v>8</v>
      </c>
      <c r="G15" s="151"/>
      <c r="H15" s="151"/>
      <c r="I15" s="151"/>
      <c r="J15" s="55">
        <f t="shared" si="0"/>
        <v>26</v>
      </c>
      <c r="L15" s="38"/>
      <c r="N15" s="67"/>
    </row>
    <row r="16" spans="1:14" ht="18" customHeight="1" thickBot="1">
      <c r="A16" s="69">
        <v>6</v>
      </c>
      <c r="B16" s="151">
        <v>22106</v>
      </c>
      <c r="C16" s="152" t="s">
        <v>129</v>
      </c>
      <c r="D16" s="171">
        <v>8</v>
      </c>
      <c r="E16" s="171">
        <v>9</v>
      </c>
      <c r="F16" s="172">
        <v>8</v>
      </c>
      <c r="G16" s="151"/>
      <c r="H16" s="151"/>
      <c r="I16" s="151"/>
      <c r="J16" s="55">
        <f t="shared" si="0"/>
        <v>25</v>
      </c>
      <c r="L16" s="38"/>
      <c r="N16" s="67"/>
    </row>
    <row r="17" spans="1:14" ht="18" customHeight="1" thickBot="1">
      <c r="A17" s="69">
        <v>7</v>
      </c>
      <c r="B17" s="151">
        <v>22107</v>
      </c>
      <c r="C17" s="152" t="s">
        <v>130</v>
      </c>
      <c r="D17" s="171">
        <v>9</v>
      </c>
      <c r="E17" s="171">
        <v>10</v>
      </c>
      <c r="F17" s="172">
        <v>9</v>
      </c>
      <c r="G17" s="151"/>
      <c r="H17" s="151"/>
      <c r="I17" s="151"/>
      <c r="J17" s="55">
        <f t="shared" si="0"/>
        <v>28</v>
      </c>
      <c r="L17" s="38"/>
      <c r="N17" s="67"/>
    </row>
    <row r="18" spans="1:14" ht="18" customHeight="1" thickBot="1">
      <c r="A18" s="69">
        <v>8</v>
      </c>
      <c r="B18" s="151">
        <v>22108</v>
      </c>
      <c r="C18" s="152" t="s">
        <v>131</v>
      </c>
      <c r="D18" s="171">
        <v>9</v>
      </c>
      <c r="E18" s="171">
        <v>10</v>
      </c>
      <c r="F18" s="172">
        <v>10</v>
      </c>
      <c r="G18" s="151"/>
      <c r="H18" s="151"/>
      <c r="I18" s="151"/>
      <c r="J18" s="55">
        <f t="shared" si="0"/>
        <v>29</v>
      </c>
      <c r="L18" s="38"/>
      <c r="N18" s="67"/>
    </row>
    <row r="19" spans="1:14" ht="18" customHeight="1" thickBot="1">
      <c r="A19" s="69">
        <v>9</v>
      </c>
      <c r="B19" s="151">
        <v>22109</v>
      </c>
      <c r="C19" s="152" t="s">
        <v>132</v>
      </c>
      <c r="D19" s="171">
        <v>10</v>
      </c>
      <c r="E19" s="171">
        <v>10</v>
      </c>
      <c r="F19" s="172">
        <v>10</v>
      </c>
      <c r="G19" s="151"/>
      <c r="H19" s="151"/>
      <c r="I19" s="151"/>
      <c r="J19" s="55">
        <f t="shared" si="0"/>
        <v>30</v>
      </c>
      <c r="L19" s="38"/>
      <c r="N19" s="67"/>
    </row>
    <row r="20" spans="1:14" ht="18" customHeight="1" thickBot="1">
      <c r="A20" s="69">
        <v>10</v>
      </c>
      <c r="B20" s="151">
        <v>22110</v>
      </c>
      <c r="C20" s="152" t="s">
        <v>133</v>
      </c>
      <c r="D20" s="171">
        <v>8</v>
      </c>
      <c r="E20" s="171">
        <v>8</v>
      </c>
      <c r="F20" s="172">
        <v>10</v>
      </c>
      <c r="G20" s="151"/>
      <c r="H20" s="151"/>
      <c r="I20" s="151"/>
      <c r="J20" s="55">
        <f t="shared" si="0"/>
        <v>26</v>
      </c>
      <c r="L20" s="38"/>
      <c r="N20" s="67"/>
    </row>
    <row r="21" spans="1:14" ht="18" customHeight="1" thickBot="1">
      <c r="A21" s="69">
        <v>11</v>
      </c>
      <c r="B21" s="151">
        <v>22111</v>
      </c>
      <c r="C21" s="152" t="s">
        <v>134</v>
      </c>
      <c r="D21" s="171">
        <v>10</v>
      </c>
      <c r="E21" s="171">
        <v>10</v>
      </c>
      <c r="F21" s="172">
        <v>9</v>
      </c>
      <c r="G21" s="151"/>
      <c r="H21" s="151"/>
      <c r="I21" s="151"/>
      <c r="J21" s="55">
        <f t="shared" si="0"/>
        <v>29</v>
      </c>
      <c r="L21" s="38"/>
      <c r="N21" s="67"/>
    </row>
    <row r="22" spans="1:14" ht="18" customHeight="1" thickBot="1">
      <c r="A22" s="69">
        <v>12</v>
      </c>
      <c r="B22" s="151">
        <v>22112</v>
      </c>
      <c r="C22" s="152" t="s">
        <v>135</v>
      </c>
      <c r="D22" s="171">
        <v>9</v>
      </c>
      <c r="E22" s="171">
        <v>9</v>
      </c>
      <c r="F22" s="172">
        <v>9</v>
      </c>
      <c r="G22" s="151"/>
      <c r="H22" s="151"/>
      <c r="I22" s="151"/>
      <c r="J22" s="55">
        <f t="shared" si="0"/>
        <v>27</v>
      </c>
      <c r="L22" s="38"/>
      <c r="N22" s="67"/>
    </row>
    <row r="23" spans="1:14" ht="18" customHeight="1" thickBot="1">
      <c r="A23" s="69">
        <v>13</v>
      </c>
      <c r="B23" s="151">
        <v>22113</v>
      </c>
      <c r="C23" s="152" t="s">
        <v>136</v>
      </c>
      <c r="D23" s="171">
        <v>9</v>
      </c>
      <c r="E23" s="171">
        <v>10</v>
      </c>
      <c r="F23" s="172">
        <v>8</v>
      </c>
      <c r="G23" s="151"/>
      <c r="H23" s="151"/>
      <c r="I23" s="151"/>
      <c r="J23" s="55">
        <f t="shared" si="0"/>
        <v>27</v>
      </c>
      <c r="L23" s="38"/>
      <c r="N23" s="67"/>
    </row>
    <row r="24" spans="1:14" ht="18" customHeight="1" thickBot="1">
      <c r="A24" s="69">
        <v>14</v>
      </c>
      <c r="B24" s="151">
        <v>22114</v>
      </c>
      <c r="C24" s="152" t="s">
        <v>137</v>
      </c>
      <c r="D24" s="171">
        <v>8</v>
      </c>
      <c r="E24" s="171">
        <v>10</v>
      </c>
      <c r="F24" s="172">
        <v>8</v>
      </c>
      <c r="G24" s="151"/>
      <c r="H24" s="151"/>
      <c r="I24" s="151"/>
      <c r="J24" s="55">
        <f t="shared" si="0"/>
        <v>26</v>
      </c>
      <c r="L24" s="38"/>
      <c r="N24" s="67"/>
    </row>
    <row r="25" spans="1:14" ht="18" customHeight="1" thickBot="1">
      <c r="A25" s="69">
        <v>15</v>
      </c>
      <c r="B25" s="151">
        <v>22115</v>
      </c>
      <c r="C25" s="152" t="s">
        <v>138</v>
      </c>
      <c r="D25" s="171">
        <v>8</v>
      </c>
      <c r="E25" s="171">
        <v>8</v>
      </c>
      <c r="F25" s="172">
        <v>9</v>
      </c>
      <c r="G25" s="151"/>
      <c r="H25" s="151"/>
      <c r="I25" s="151"/>
      <c r="J25" s="55">
        <f t="shared" si="0"/>
        <v>25</v>
      </c>
      <c r="L25" s="38"/>
      <c r="N25" s="67"/>
    </row>
    <row r="26" spans="1:14" ht="18" customHeight="1" thickBot="1">
      <c r="A26" s="69">
        <v>16</v>
      </c>
      <c r="B26" s="151">
        <v>22116</v>
      </c>
      <c r="C26" s="152" t="s">
        <v>139</v>
      </c>
      <c r="D26" s="171">
        <v>10</v>
      </c>
      <c r="E26" s="171">
        <v>10</v>
      </c>
      <c r="F26" s="172">
        <v>8</v>
      </c>
      <c r="G26" s="151"/>
      <c r="H26" s="151"/>
      <c r="I26" s="151"/>
      <c r="J26" s="55">
        <f t="shared" si="0"/>
        <v>28</v>
      </c>
      <c r="L26" s="38"/>
      <c r="N26" s="67"/>
    </row>
    <row r="27" spans="1:14" ht="18" customHeight="1" thickBot="1">
      <c r="A27" s="69">
        <v>17</v>
      </c>
      <c r="B27" s="151">
        <v>22117</v>
      </c>
      <c r="C27" s="152" t="s">
        <v>140</v>
      </c>
      <c r="D27" s="171">
        <v>8</v>
      </c>
      <c r="E27" s="171">
        <v>10</v>
      </c>
      <c r="F27" s="172">
        <v>9</v>
      </c>
      <c r="G27" s="151"/>
      <c r="H27" s="151"/>
      <c r="I27" s="151"/>
      <c r="J27" s="55">
        <f t="shared" si="0"/>
        <v>27</v>
      </c>
      <c r="L27" s="38"/>
      <c r="N27" s="67"/>
    </row>
    <row r="28" spans="1:14" ht="18" customHeight="1" thickBot="1">
      <c r="A28" s="69">
        <v>18</v>
      </c>
      <c r="B28" s="151">
        <v>22118</v>
      </c>
      <c r="C28" s="152" t="s">
        <v>141</v>
      </c>
      <c r="D28" s="171">
        <v>9</v>
      </c>
      <c r="E28" s="171">
        <v>8</v>
      </c>
      <c r="F28" s="172">
        <v>10</v>
      </c>
      <c r="G28" s="151"/>
      <c r="H28" s="151"/>
      <c r="I28" s="151"/>
      <c r="J28" s="55">
        <f t="shared" si="0"/>
        <v>27</v>
      </c>
      <c r="L28" s="38"/>
      <c r="N28" s="67"/>
    </row>
    <row r="29" spans="1:14" ht="18" customHeight="1" thickBot="1">
      <c r="A29" s="69">
        <v>19</v>
      </c>
      <c r="B29" s="151">
        <v>22119</v>
      </c>
      <c r="C29" s="152" t="s">
        <v>142</v>
      </c>
      <c r="D29" s="171">
        <v>8</v>
      </c>
      <c r="E29" s="171">
        <v>10</v>
      </c>
      <c r="F29" s="172">
        <v>8</v>
      </c>
      <c r="G29" s="151"/>
      <c r="H29" s="151"/>
      <c r="I29" s="151"/>
      <c r="J29" s="55">
        <f t="shared" si="0"/>
        <v>26</v>
      </c>
      <c r="L29" s="38"/>
      <c r="N29" s="67"/>
    </row>
    <row r="30" spans="1:14" ht="18" customHeight="1" thickBot="1">
      <c r="A30" s="69">
        <v>20</v>
      </c>
      <c r="B30" s="151">
        <v>22120</v>
      </c>
      <c r="C30" s="152" t="s">
        <v>143</v>
      </c>
      <c r="D30" s="171">
        <v>9</v>
      </c>
      <c r="E30" s="171">
        <v>10</v>
      </c>
      <c r="F30" s="172">
        <v>9</v>
      </c>
      <c r="G30" s="151"/>
      <c r="H30" s="151"/>
      <c r="I30" s="151"/>
      <c r="J30" s="55">
        <f t="shared" si="0"/>
        <v>28</v>
      </c>
      <c r="L30" s="38"/>
      <c r="N30" s="67"/>
    </row>
    <row r="31" spans="1:14" ht="18" customHeight="1" thickBot="1">
      <c r="A31" s="69">
        <v>21</v>
      </c>
      <c r="B31" s="151">
        <v>22121</v>
      </c>
      <c r="C31" s="152" t="s">
        <v>144</v>
      </c>
      <c r="D31" s="171">
        <v>8</v>
      </c>
      <c r="E31" s="171">
        <v>9</v>
      </c>
      <c r="F31" s="172">
        <v>9</v>
      </c>
      <c r="G31" s="151"/>
      <c r="H31" s="151"/>
      <c r="I31" s="151"/>
      <c r="J31" s="55">
        <f t="shared" si="0"/>
        <v>26</v>
      </c>
      <c r="L31" s="38"/>
      <c r="N31" s="67"/>
    </row>
    <row r="32" spans="1:14" ht="18" customHeight="1" thickBot="1">
      <c r="A32" s="69">
        <v>22</v>
      </c>
      <c r="B32" s="151">
        <v>22122</v>
      </c>
      <c r="C32" s="152" t="s">
        <v>145</v>
      </c>
      <c r="D32" s="171">
        <v>8</v>
      </c>
      <c r="E32" s="171">
        <v>9</v>
      </c>
      <c r="F32" s="172">
        <v>9</v>
      </c>
      <c r="G32" s="151"/>
      <c r="H32" s="151"/>
      <c r="I32" s="151"/>
      <c r="J32" s="55">
        <f t="shared" si="0"/>
        <v>26</v>
      </c>
      <c r="L32" s="38"/>
      <c r="N32" s="67"/>
    </row>
    <row r="33" spans="1:14" ht="18" customHeight="1" thickBot="1">
      <c r="A33" s="69">
        <v>23</v>
      </c>
      <c r="B33" s="151">
        <v>22123</v>
      </c>
      <c r="C33" s="152" t="s">
        <v>146</v>
      </c>
      <c r="D33" s="171">
        <v>10</v>
      </c>
      <c r="E33" s="171">
        <v>9</v>
      </c>
      <c r="F33" s="172">
        <v>10</v>
      </c>
      <c r="G33" s="151"/>
      <c r="H33" s="151"/>
      <c r="I33" s="151"/>
      <c r="J33" s="55">
        <f t="shared" si="0"/>
        <v>29</v>
      </c>
      <c r="L33" s="38"/>
      <c r="N33" s="67"/>
    </row>
    <row r="34" spans="1:14" ht="18" customHeight="1" thickBot="1">
      <c r="A34" s="69">
        <v>24</v>
      </c>
      <c r="B34" s="151">
        <v>22124</v>
      </c>
      <c r="C34" s="152" t="s">
        <v>147</v>
      </c>
      <c r="D34" s="171">
        <v>8</v>
      </c>
      <c r="E34" s="171">
        <v>10</v>
      </c>
      <c r="F34" s="172">
        <v>9</v>
      </c>
      <c r="G34" s="151"/>
      <c r="H34" s="151"/>
      <c r="I34" s="151"/>
      <c r="J34" s="55">
        <f t="shared" si="0"/>
        <v>27</v>
      </c>
      <c r="L34" s="38"/>
      <c r="N34" s="67"/>
    </row>
    <row r="35" spans="1:14" ht="18" customHeight="1" thickBot="1">
      <c r="A35" s="69">
        <v>25</v>
      </c>
      <c r="B35" s="151">
        <v>22125</v>
      </c>
      <c r="C35" s="152" t="s">
        <v>148</v>
      </c>
      <c r="D35" s="171">
        <v>8</v>
      </c>
      <c r="E35" s="171">
        <v>9</v>
      </c>
      <c r="F35" s="172">
        <v>8</v>
      </c>
      <c r="G35" s="151"/>
      <c r="H35" s="151"/>
      <c r="I35" s="151"/>
      <c r="J35" s="55">
        <f t="shared" si="0"/>
        <v>25</v>
      </c>
      <c r="L35" s="38"/>
      <c r="N35" s="67"/>
    </row>
    <row r="36" spans="1:14" ht="18" customHeight="1" thickBot="1">
      <c r="A36" s="69">
        <v>26</v>
      </c>
      <c r="B36" s="151">
        <v>22126</v>
      </c>
      <c r="C36" s="152" t="s">
        <v>149</v>
      </c>
      <c r="D36" s="171">
        <v>9</v>
      </c>
      <c r="E36" s="171">
        <v>10</v>
      </c>
      <c r="F36" s="172">
        <v>9</v>
      </c>
      <c r="G36" s="151"/>
      <c r="H36" s="151"/>
      <c r="I36" s="151"/>
      <c r="J36" s="55">
        <f t="shared" si="0"/>
        <v>28</v>
      </c>
      <c r="L36" s="38"/>
      <c r="N36" s="67"/>
    </row>
    <row r="37" spans="1:14" ht="18" customHeight="1" thickBot="1">
      <c r="A37" s="69">
        <v>27</v>
      </c>
      <c r="B37" s="151">
        <v>22127</v>
      </c>
      <c r="C37" s="152" t="s">
        <v>150</v>
      </c>
      <c r="D37" s="171">
        <v>8</v>
      </c>
      <c r="E37" s="171">
        <v>10</v>
      </c>
      <c r="F37" s="172">
        <v>8</v>
      </c>
      <c r="G37" s="151"/>
      <c r="H37" s="151"/>
      <c r="I37" s="151"/>
      <c r="J37" s="55">
        <f t="shared" si="0"/>
        <v>26</v>
      </c>
      <c r="L37" s="38"/>
      <c r="N37" s="67"/>
    </row>
    <row r="38" spans="1:14" ht="18" customHeight="1" thickBot="1">
      <c r="A38" s="69">
        <v>28</v>
      </c>
      <c r="B38" s="151">
        <v>22128</v>
      </c>
      <c r="C38" s="152" t="s">
        <v>151</v>
      </c>
      <c r="D38" s="171">
        <v>9</v>
      </c>
      <c r="E38" s="171">
        <v>10</v>
      </c>
      <c r="F38" s="172">
        <v>10</v>
      </c>
      <c r="G38" s="151"/>
      <c r="H38" s="151"/>
      <c r="I38" s="151"/>
      <c r="J38" s="55">
        <f t="shared" si="0"/>
        <v>29</v>
      </c>
      <c r="L38" s="38"/>
      <c r="N38" s="67"/>
    </row>
    <row r="39" spans="1:14" ht="18" customHeight="1" thickBot="1">
      <c r="A39" s="69">
        <v>29</v>
      </c>
      <c r="B39" s="151">
        <v>22129</v>
      </c>
      <c r="C39" s="152" t="s">
        <v>152</v>
      </c>
      <c r="D39" s="171">
        <v>8</v>
      </c>
      <c r="E39" s="171">
        <v>8</v>
      </c>
      <c r="F39" s="172">
        <v>8</v>
      </c>
      <c r="G39" s="151"/>
      <c r="H39" s="151"/>
      <c r="I39" s="151"/>
      <c r="J39" s="55">
        <f t="shared" si="0"/>
        <v>24</v>
      </c>
      <c r="L39" s="38"/>
      <c r="N39" s="67"/>
    </row>
    <row r="40" spans="1:14" ht="18" customHeight="1" thickBot="1">
      <c r="A40" s="69">
        <v>30</v>
      </c>
      <c r="B40" s="151">
        <v>22130</v>
      </c>
      <c r="C40" s="152" t="s">
        <v>153</v>
      </c>
      <c r="D40" s="171">
        <v>8</v>
      </c>
      <c r="E40" s="171">
        <v>8</v>
      </c>
      <c r="F40" s="172">
        <v>9</v>
      </c>
      <c r="G40" s="151"/>
      <c r="H40" s="151"/>
      <c r="I40" s="151"/>
      <c r="J40" s="55">
        <f t="shared" si="0"/>
        <v>25</v>
      </c>
      <c r="L40" s="38"/>
      <c r="N40" s="67"/>
    </row>
    <row r="41" spans="1:14" ht="18" customHeight="1" thickBot="1">
      <c r="A41" s="69">
        <v>31</v>
      </c>
      <c r="B41" s="151">
        <v>22131</v>
      </c>
      <c r="C41" s="152" t="s">
        <v>154</v>
      </c>
      <c r="D41" s="171">
        <v>10</v>
      </c>
      <c r="E41" s="171">
        <v>9</v>
      </c>
      <c r="F41" s="172">
        <v>8</v>
      </c>
      <c r="G41" s="151"/>
      <c r="H41" s="151"/>
      <c r="I41" s="151"/>
      <c r="J41" s="55">
        <f t="shared" si="0"/>
        <v>27</v>
      </c>
      <c r="L41" s="38"/>
      <c r="N41" s="67"/>
    </row>
    <row r="42" spans="1:14" ht="18" customHeight="1" thickBot="1">
      <c r="A42" s="69">
        <v>32</v>
      </c>
      <c r="B42" s="151">
        <v>22132</v>
      </c>
      <c r="C42" s="152" t="s">
        <v>155</v>
      </c>
      <c r="D42" s="171">
        <v>8</v>
      </c>
      <c r="E42" s="171">
        <v>9</v>
      </c>
      <c r="F42" s="172">
        <v>10</v>
      </c>
      <c r="G42" s="151"/>
      <c r="H42" s="151"/>
      <c r="I42" s="151"/>
      <c r="J42" s="55">
        <f t="shared" si="0"/>
        <v>27</v>
      </c>
      <c r="L42" s="38"/>
      <c r="N42" s="67"/>
    </row>
    <row r="43" spans="1:14" ht="18" customHeight="1" thickBot="1">
      <c r="A43" s="69">
        <v>33</v>
      </c>
      <c r="B43" s="151">
        <v>22133</v>
      </c>
      <c r="C43" s="152" t="s">
        <v>156</v>
      </c>
      <c r="D43" s="171">
        <v>8</v>
      </c>
      <c r="E43" s="171">
        <v>10</v>
      </c>
      <c r="F43" s="172">
        <v>10</v>
      </c>
      <c r="G43" s="151"/>
      <c r="H43" s="151"/>
      <c r="I43" s="151"/>
      <c r="J43" s="55">
        <f t="shared" si="0"/>
        <v>28</v>
      </c>
      <c r="L43" s="38"/>
      <c r="N43" s="67"/>
    </row>
    <row r="44" spans="1:14" ht="18" customHeight="1" thickBot="1">
      <c r="A44" s="69">
        <v>34</v>
      </c>
      <c r="B44" s="151">
        <v>22134</v>
      </c>
      <c r="C44" s="152" t="s">
        <v>157</v>
      </c>
      <c r="D44" s="171">
        <v>8</v>
      </c>
      <c r="E44" s="171">
        <v>9</v>
      </c>
      <c r="F44" s="172">
        <v>8</v>
      </c>
      <c r="G44" s="151"/>
      <c r="H44" s="151"/>
      <c r="I44" s="151"/>
      <c r="J44" s="55">
        <f t="shared" si="0"/>
        <v>25</v>
      </c>
      <c r="L44" s="38"/>
      <c r="N44" s="67"/>
    </row>
    <row r="45" spans="1:14" ht="18" customHeight="1" thickBot="1">
      <c r="A45" s="69">
        <v>35</v>
      </c>
      <c r="B45" s="151">
        <v>22135</v>
      </c>
      <c r="C45" s="152" t="s">
        <v>158</v>
      </c>
      <c r="D45" s="171">
        <v>8</v>
      </c>
      <c r="E45" s="171">
        <v>8</v>
      </c>
      <c r="F45" s="172">
        <v>8</v>
      </c>
      <c r="G45" s="151"/>
      <c r="H45" s="151"/>
      <c r="I45" s="151"/>
      <c r="J45" s="55">
        <f t="shared" si="0"/>
        <v>24</v>
      </c>
      <c r="L45" s="38"/>
      <c r="N45" s="67"/>
    </row>
    <row r="46" spans="1:14" ht="18" customHeight="1" thickBot="1">
      <c r="A46" s="69">
        <v>36</v>
      </c>
      <c r="B46" s="151">
        <v>22136</v>
      </c>
      <c r="C46" s="152" t="s">
        <v>159</v>
      </c>
      <c r="D46" s="171">
        <v>10</v>
      </c>
      <c r="E46" s="171">
        <v>8</v>
      </c>
      <c r="F46" s="172">
        <v>10</v>
      </c>
      <c r="G46" s="151"/>
      <c r="H46" s="151"/>
      <c r="I46" s="151"/>
      <c r="J46" s="55">
        <f t="shared" si="0"/>
        <v>28</v>
      </c>
      <c r="L46" s="38"/>
      <c r="N46" s="67"/>
    </row>
    <row r="47" spans="1:14" ht="18" customHeight="1" thickBot="1">
      <c r="A47" s="69">
        <v>37</v>
      </c>
      <c r="B47" s="151">
        <v>22137</v>
      </c>
      <c r="C47" s="152" t="s">
        <v>160</v>
      </c>
      <c r="D47" s="171">
        <v>9</v>
      </c>
      <c r="E47" s="171">
        <v>8</v>
      </c>
      <c r="F47" s="172">
        <v>9</v>
      </c>
      <c r="G47" s="151"/>
      <c r="H47" s="151"/>
      <c r="I47" s="151"/>
      <c r="J47" s="55">
        <f t="shared" si="0"/>
        <v>26</v>
      </c>
      <c r="L47" s="38"/>
      <c r="N47" s="67"/>
    </row>
    <row r="48" spans="1:14" ht="18" customHeight="1" thickBot="1">
      <c r="A48" s="69">
        <v>38</v>
      </c>
      <c r="B48" s="151">
        <v>22138</v>
      </c>
      <c r="C48" s="152" t="s">
        <v>161</v>
      </c>
      <c r="D48" s="171">
        <v>8</v>
      </c>
      <c r="E48" s="171">
        <v>9</v>
      </c>
      <c r="F48" s="172">
        <v>9</v>
      </c>
      <c r="G48" s="151"/>
      <c r="H48" s="151"/>
      <c r="I48" s="151"/>
      <c r="J48" s="55">
        <f t="shared" si="0"/>
        <v>26</v>
      </c>
      <c r="L48" s="38"/>
      <c r="N48" s="67"/>
    </row>
    <row r="49" spans="1:14" ht="18" customHeight="1" thickBot="1">
      <c r="A49" s="69">
        <v>39</v>
      </c>
      <c r="B49" s="151">
        <v>22139</v>
      </c>
      <c r="C49" s="152" t="s">
        <v>162</v>
      </c>
      <c r="D49" s="171">
        <v>8</v>
      </c>
      <c r="E49" s="171">
        <v>8</v>
      </c>
      <c r="F49" s="172">
        <v>8</v>
      </c>
      <c r="G49" s="151"/>
      <c r="H49" s="151"/>
      <c r="I49" s="151"/>
      <c r="J49" s="55">
        <f t="shared" si="0"/>
        <v>24</v>
      </c>
      <c r="L49" s="38"/>
      <c r="N49" s="67"/>
    </row>
    <row r="50" spans="1:14" ht="18" customHeight="1" thickBot="1">
      <c r="A50" s="69">
        <v>40</v>
      </c>
      <c r="B50" s="151">
        <v>22140</v>
      </c>
      <c r="C50" s="152" t="s">
        <v>163</v>
      </c>
      <c r="D50" s="171">
        <v>4</v>
      </c>
      <c r="E50" s="171">
        <v>4</v>
      </c>
      <c r="F50" s="172">
        <v>6</v>
      </c>
      <c r="G50" s="151"/>
      <c r="H50" s="151"/>
      <c r="I50" s="151"/>
      <c r="J50" s="55">
        <f t="shared" si="0"/>
        <v>14</v>
      </c>
      <c r="L50" s="38"/>
      <c r="N50" s="67"/>
    </row>
    <row r="51" spans="1:14" ht="18" customHeight="1" thickBot="1">
      <c r="A51" s="69">
        <v>41</v>
      </c>
      <c r="B51" s="151">
        <v>22141</v>
      </c>
      <c r="C51" s="152" t="s">
        <v>164</v>
      </c>
      <c r="D51" s="171">
        <v>9</v>
      </c>
      <c r="E51" s="171">
        <v>10</v>
      </c>
      <c r="F51" s="172">
        <v>8</v>
      </c>
      <c r="G51" s="151"/>
      <c r="H51" s="151"/>
      <c r="I51" s="151"/>
      <c r="J51" s="55">
        <f t="shared" si="0"/>
        <v>27</v>
      </c>
      <c r="L51" s="38"/>
      <c r="N51" s="67"/>
    </row>
    <row r="52" spans="1:14" ht="18" customHeight="1" thickBot="1">
      <c r="A52" s="69">
        <v>42</v>
      </c>
      <c r="B52" s="151">
        <v>22142</v>
      </c>
      <c r="C52" s="152" t="s">
        <v>165</v>
      </c>
      <c r="D52" s="171">
        <v>8</v>
      </c>
      <c r="E52" s="171">
        <v>8</v>
      </c>
      <c r="F52" s="172">
        <v>9</v>
      </c>
      <c r="G52" s="151"/>
      <c r="H52" s="151"/>
      <c r="I52" s="151"/>
      <c r="J52" s="55">
        <f t="shared" si="0"/>
        <v>25</v>
      </c>
      <c r="L52" s="38"/>
      <c r="N52" s="67"/>
    </row>
    <row r="53" spans="1:14" ht="18" customHeight="1" thickBot="1">
      <c r="A53" s="69">
        <v>43</v>
      </c>
      <c r="B53" s="151">
        <v>22143</v>
      </c>
      <c r="C53" s="152" t="s">
        <v>166</v>
      </c>
      <c r="D53" s="171">
        <v>8</v>
      </c>
      <c r="E53" s="171">
        <v>9</v>
      </c>
      <c r="F53" s="172">
        <v>8</v>
      </c>
      <c r="G53" s="151"/>
      <c r="H53" s="151"/>
      <c r="I53" s="151"/>
      <c r="J53" s="55">
        <f t="shared" si="0"/>
        <v>25</v>
      </c>
      <c r="L53" s="38"/>
      <c r="N53" s="67"/>
    </row>
    <row r="54" spans="1:14" ht="18" customHeight="1" thickBot="1">
      <c r="A54" s="69">
        <v>44</v>
      </c>
      <c r="B54" s="151">
        <v>22144</v>
      </c>
      <c r="C54" s="152" t="s">
        <v>167</v>
      </c>
      <c r="D54" s="171">
        <v>9</v>
      </c>
      <c r="E54" s="171">
        <v>10</v>
      </c>
      <c r="F54" s="172">
        <v>8</v>
      </c>
      <c r="G54" s="151"/>
      <c r="H54" s="151"/>
      <c r="I54" s="151"/>
      <c r="J54" s="55">
        <f t="shared" si="0"/>
        <v>27</v>
      </c>
      <c r="L54" s="38"/>
      <c r="N54" s="67"/>
    </row>
    <row r="55" spans="1:14" ht="18" customHeight="1" thickBot="1">
      <c r="A55" s="69">
        <v>45</v>
      </c>
      <c r="B55" s="151">
        <v>22145</v>
      </c>
      <c r="C55" s="152" t="s">
        <v>168</v>
      </c>
      <c r="D55" s="171">
        <v>8</v>
      </c>
      <c r="E55" s="171">
        <v>5</v>
      </c>
      <c r="F55" s="172">
        <v>8</v>
      </c>
      <c r="G55" s="151"/>
      <c r="H55" s="151"/>
      <c r="I55" s="151"/>
      <c r="J55" s="55">
        <f t="shared" si="0"/>
        <v>21</v>
      </c>
      <c r="L55" s="38"/>
      <c r="N55" s="67"/>
    </row>
    <row r="56" spans="1:14" ht="18" customHeight="1" thickBot="1">
      <c r="A56" s="69">
        <v>46</v>
      </c>
      <c r="B56" s="151">
        <v>22146</v>
      </c>
      <c r="C56" s="152" t="s">
        <v>169</v>
      </c>
      <c r="D56" s="171">
        <v>8</v>
      </c>
      <c r="E56" s="171">
        <v>8</v>
      </c>
      <c r="F56" s="172">
        <v>9</v>
      </c>
      <c r="G56" s="151"/>
      <c r="H56" s="151"/>
      <c r="I56" s="151"/>
      <c r="J56" s="55">
        <f t="shared" ref="J56:J118" si="1">IF(F56&lt;&gt;"AB",SUM(D56:I56),"AB")</f>
        <v>25</v>
      </c>
      <c r="L56" s="38"/>
      <c r="N56" s="67"/>
    </row>
    <row r="57" spans="1:14" ht="18" customHeight="1" thickBot="1">
      <c r="A57" s="69">
        <v>47</v>
      </c>
      <c r="B57" s="151">
        <v>22147</v>
      </c>
      <c r="C57" s="152" t="s">
        <v>170</v>
      </c>
      <c r="D57" s="171">
        <v>9</v>
      </c>
      <c r="E57" s="171">
        <v>8</v>
      </c>
      <c r="F57" s="172">
        <v>5</v>
      </c>
      <c r="G57" s="151"/>
      <c r="H57" s="151"/>
      <c r="I57" s="151"/>
      <c r="J57" s="55">
        <f t="shared" si="1"/>
        <v>22</v>
      </c>
      <c r="L57" s="38"/>
      <c r="N57" s="67"/>
    </row>
    <row r="58" spans="1:14" ht="18" customHeight="1" thickBot="1">
      <c r="A58" s="69">
        <v>48</v>
      </c>
      <c r="B58" s="151">
        <v>22148</v>
      </c>
      <c r="C58" s="152" t="s">
        <v>171</v>
      </c>
      <c r="D58" s="171">
        <v>9</v>
      </c>
      <c r="E58" s="171">
        <v>9</v>
      </c>
      <c r="F58" s="172">
        <v>8</v>
      </c>
      <c r="G58" s="151"/>
      <c r="H58" s="151"/>
      <c r="I58" s="151"/>
      <c r="J58" s="55">
        <f t="shared" si="1"/>
        <v>26</v>
      </c>
      <c r="L58" s="38"/>
      <c r="N58" s="67"/>
    </row>
    <row r="59" spans="1:14" ht="18" customHeight="1" thickBot="1">
      <c r="A59" s="69">
        <v>49</v>
      </c>
      <c r="B59" s="151">
        <v>22149</v>
      </c>
      <c r="C59" s="152" t="s">
        <v>172</v>
      </c>
      <c r="D59" s="171">
        <v>5</v>
      </c>
      <c r="E59" s="171">
        <v>8</v>
      </c>
      <c r="F59" s="172">
        <v>6</v>
      </c>
      <c r="G59" s="151"/>
      <c r="H59" s="151"/>
      <c r="I59" s="151"/>
      <c r="J59" s="55">
        <f t="shared" si="1"/>
        <v>19</v>
      </c>
      <c r="L59" s="38"/>
      <c r="N59" s="67"/>
    </row>
    <row r="60" spans="1:14" ht="18" customHeight="1" thickBot="1">
      <c r="A60" s="69">
        <v>50</v>
      </c>
      <c r="B60" s="151">
        <v>22150</v>
      </c>
      <c r="C60" s="152" t="s">
        <v>173</v>
      </c>
      <c r="D60" s="171">
        <v>8</v>
      </c>
      <c r="E60" s="171">
        <v>10</v>
      </c>
      <c r="F60" s="172">
        <v>10</v>
      </c>
      <c r="G60" s="151"/>
      <c r="H60" s="151"/>
      <c r="I60" s="151"/>
      <c r="J60" s="55">
        <f t="shared" si="1"/>
        <v>28</v>
      </c>
      <c r="L60" s="38"/>
      <c r="N60" s="67"/>
    </row>
    <row r="61" spans="1:14" ht="18" customHeight="1" thickBot="1">
      <c r="A61" s="69">
        <v>51</v>
      </c>
      <c r="B61" s="151">
        <v>22151</v>
      </c>
      <c r="C61" s="152" t="s">
        <v>174</v>
      </c>
      <c r="D61" s="171">
        <v>8</v>
      </c>
      <c r="E61" s="171">
        <v>9</v>
      </c>
      <c r="F61" s="172">
        <v>10</v>
      </c>
      <c r="G61" s="151"/>
      <c r="H61" s="151"/>
      <c r="I61" s="151"/>
      <c r="J61" s="55">
        <f t="shared" si="1"/>
        <v>27</v>
      </c>
      <c r="L61" s="38"/>
      <c r="N61" s="67"/>
    </row>
    <row r="62" spans="1:14" ht="18" customHeight="1" thickBot="1">
      <c r="A62" s="69">
        <v>52</v>
      </c>
      <c r="B62" s="151">
        <v>22152</v>
      </c>
      <c r="C62" s="152" t="s">
        <v>175</v>
      </c>
      <c r="D62" s="171">
        <v>10</v>
      </c>
      <c r="E62" s="171">
        <v>9</v>
      </c>
      <c r="F62" s="172">
        <v>10</v>
      </c>
      <c r="G62" s="151"/>
      <c r="H62" s="151"/>
      <c r="I62" s="151"/>
      <c r="J62" s="55">
        <f t="shared" si="1"/>
        <v>29</v>
      </c>
      <c r="L62" s="38"/>
      <c r="N62" s="67"/>
    </row>
    <row r="63" spans="1:14" ht="18" customHeight="1" thickBot="1">
      <c r="A63" s="69">
        <v>53</v>
      </c>
      <c r="B63" s="151">
        <v>22153</v>
      </c>
      <c r="C63" s="152" t="s">
        <v>176</v>
      </c>
      <c r="D63" s="171">
        <v>9</v>
      </c>
      <c r="E63" s="171">
        <v>10</v>
      </c>
      <c r="F63" s="172">
        <v>8</v>
      </c>
      <c r="G63" s="151"/>
      <c r="H63" s="151"/>
      <c r="I63" s="151"/>
      <c r="J63" s="55">
        <f t="shared" si="1"/>
        <v>27</v>
      </c>
      <c r="L63" s="38"/>
      <c r="N63" s="67"/>
    </row>
    <row r="64" spans="1:14" ht="18" customHeight="1" thickBot="1">
      <c r="A64" s="69">
        <v>54</v>
      </c>
      <c r="B64" s="151">
        <v>22154</v>
      </c>
      <c r="C64" s="152" t="s">
        <v>177</v>
      </c>
      <c r="D64" s="171">
        <v>8</v>
      </c>
      <c r="E64" s="171">
        <v>10</v>
      </c>
      <c r="F64" s="172">
        <v>10</v>
      </c>
      <c r="G64" s="151"/>
      <c r="H64" s="151"/>
      <c r="I64" s="151"/>
      <c r="J64" s="55">
        <f t="shared" si="1"/>
        <v>28</v>
      </c>
      <c r="L64" s="38"/>
      <c r="N64" s="67"/>
    </row>
    <row r="65" spans="1:14" ht="18" customHeight="1" thickBot="1">
      <c r="A65" s="69">
        <v>55</v>
      </c>
      <c r="B65" s="151">
        <v>22155</v>
      </c>
      <c r="C65" s="152" t="s">
        <v>178</v>
      </c>
      <c r="D65" s="171">
        <v>9</v>
      </c>
      <c r="E65" s="171">
        <v>8</v>
      </c>
      <c r="F65" s="172">
        <v>10</v>
      </c>
      <c r="G65" s="151"/>
      <c r="H65" s="151"/>
      <c r="I65" s="151"/>
      <c r="J65" s="55">
        <f t="shared" si="1"/>
        <v>27</v>
      </c>
      <c r="L65" s="38"/>
      <c r="N65" s="67"/>
    </row>
    <row r="66" spans="1:14" ht="18" customHeight="1" thickBot="1">
      <c r="A66" s="69">
        <v>56</v>
      </c>
      <c r="B66" s="151">
        <v>22156</v>
      </c>
      <c r="C66" s="152" t="s">
        <v>179</v>
      </c>
      <c r="D66" s="171">
        <v>9</v>
      </c>
      <c r="E66" s="171">
        <v>9</v>
      </c>
      <c r="F66" s="172">
        <v>10</v>
      </c>
      <c r="G66" s="151"/>
      <c r="H66" s="151"/>
      <c r="I66" s="151"/>
      <c r="J66" s="55">
        <f t="shared" si="1"/>
        <v>28</v>
      </c>
      <c r="L66" s="38"/>
      <c r="N66" s="67"/>
    </row>
    <row r="67" spans="1:14" ht="18" customHeight="1" thickBot="1">
      <c r="A67" s="69">
        <v>57</v>
      </c>
      <c r="B67" s="151">
        <v>22157</v>
      </c>
      <c r="C67" s="152" t="s">
        <v>180</v>
      </c>
      <c r="D67" s="171">
        <v>10</v>
      </c>
      <c r="E67" s="171">
        <v>9</v>
      </c>
      <c r="F67" s="172">
        <v>9</v>
      </c>
      <c r="G67" s="151"/>
      <c r="H67" s="151"/>
      <c r="I67" s="151"/>
      <c r="J67" s="55">
        <f t="shared" si="1"/>
        <v>28</v>
      </c>
      <c r="L67" s="38"/>
      <c r="N67" s="67"/>
    </row>
    <row r="68" spans="1:14" ht="18" customHeight="1" thickBot="1">
      <c r="A68" s="69">
        <v>58</v>
      </c>
      <c r="B68" s="151">
        <v>22158</v>
      </c>
      <c r="C68" s="152" t="s">
        <v>181</v>
      </c>
      <c r="D68" s="171">
        <v>10</v>
      </c>
      <c r="E68" s="171">
        <v>8</v>
      </c>
      <c r="F68" s="172">
        <v>10</v>
      </c>
      <c r="G68" s="151"/>
      <c r="H68" s="151"/>
      <c r="I68" s="151"/>
      <c r="J68" s="55">
        <f t="shared" si="1"/>
        <v>28</v>
      </c>
      <c r="L68" s="38"/>
      <c r="N68" s="67"/>
    </row>
    <row r="69" spans="1:14" ht="18" customHeight="1" thickBot="1">
      <c r="A69" s="69">
        <v>59</v>
      </c>
      <c r="B69" s="151">
        <v>22159</v>
      </c>
      <c r="C69" s="152" t="s">
        <v>182</v>
      </c>
      <c r="D69" s="171">
        <v>10</v>
      </c>
      <c r="E69" s="171">
        <v>8</v>
      </c>
      <c r="F69" s="172">
        <v>10</v>
      </c>
      <c r="G69" s="151"/>
      <c r="H69" s="151"/>
      <c r="I69" s="151"/>
      <c r="J69" s="55">
        <f t="shared" si="1"/>
        <v>28</v>
      </c>
      <c r="L69" s="38"/>
      <c r="N69" s="67"/>
    </row>
    <row r="70" spans="1:14" ht="18" customHeight="1" thickBot="1">
      <c r="A70" s="69">
        <v>60</v>
      </c>
      <c r="B70" s="151">
        <v>22160</v>
      </c>
      <c r="C70" s="152" t="s">
        <v>183</v>
      </c>
      <c r="D70" s="171">
        <v>8</v>
      </c>
      <c r="E70" s="171">
        <v>10</v>
      </c>
      <c r="F70" s="172">
        <v>9</v>
      </c>
      <c r="G70" s="151"/>
      <c r="H70" s="151"/>
      <c r="I70" s="151"/>
      <c r="J70" s="55">
        <f t="shared" si="1"/>
        <v>27</v>
      </c>
      <c r="L70" s="38"/>
      <c r="N70" s="67"/>
    </row>
    <row r="71" spans="1:14" ht="18" customHeight="1" thickBot="1">
      <c r="A71" s="69">
        <v>61</v>
      </c>
      <c r="B71" s="151">
        <v>22161</v>
      </c>
      <c r="C71" s="152" t="s">
        <v>184</v>
      </c>
      <c r="D71" s="171">
        <v>8</v>
      </c>
      <c r="E71" s="171">
        <v>9</v>
      </c>
      <c r="F71" s="172">
        <v>8</v>
      </c>
      <c r="G71" s="151"/>
      <c r="H71" s="151"/>
      <c r="I71" s="151"/>
      <c r="J71" s="55">
        <f t="shared" si="1"/>
        <v>25</v>
      </c>
      <c r="L71" s="38"/>
      <c r="N71" s="67"/>
    </row>
    <row r="72" spans="1:14" ht="18" customHeight="1" thickBot="1">
      <c r="A72" s="69">
        <v>62</v>
      </c>
      <c r="B72" s="151">
        <v>22162</v>
      </c>
      <c r="C72" s="152" t="s">
        <v>185</v>
      </c>
      <c r="D72" s="171">
        <v>10</v>
      </c>
      <c r="E72" s="171">
        <v>9</v>
      </c>
      <c r="F72" s="172">
        <v>8</v>
      </c>
      <c r="G72" s="151"/>
      <c r="H72" s="151"/>
      <c r="I72" s="151"/>
      <c r="J72" s="55">
        <f t="shared" si="1"/>
        <v>27</v>
      </c>
      <c r="L72" s="38"/>
      <c r="N72" s="67"/>
    </row>
    <row r="73" spans="1:14" ht="18" customHeight="1" thickBot="1">
      <c r="A73" s="69">
        <v>63</v>
      </c>
      <c r="B73" s="151">
        <v>22163</v>
      </c>
      <c r="C73" s="152" t="s">
        <v>186</v>
      </c>
      <c r="D73" s="171">
        <v>10</v>
      </c>
      <c r="E73" s="171">
        <v>10</v>
      </c>
      <c r="F73" s="172">
        <v>8</v>
      </c>
      <c r="G73" s="151"/>
      <c r="H73" s="151"/>
      <c r="I73" s="151"/>
      <c r="J73" s="55">
        <f t="shared" si="1"/>
        <v>28</v>
      </c>
      <c r="L73" s="38"/>
      <c r="N73" s="67"/>
    </row>
    <row r="74" spans="1:14" ht="18" customHeight="1" thickBot="1">
      <c r="A74" s="69">
        <v>64</v>
      </c>
      <c r="B74" s="151">
        <v>22164</v>
      </c>
      <c r="C74" s="152" t="s">
        <v>187</v>
      </c>
      <c r="D74" s="171">
        <v>9</v>
      </c>
      <c r="E74" s="171">
        <v>5</v>
      </c>
      <c r="F74" s="172">
        <v>6</v>
      </c>
      <c r="G74" s="151"/>
      <c r="H74" s="151"/>
      <c r="I74" s="151"/>
      <c r="J74" s="55">
        <f t="shared" si="1"/>
        <v>20</v>
      </c>
      <c r="L74" s="38"/>
      <c r="N74" s="67"/>
    </row>
    <row r="75" spans="1:14" ht="18" customHeight="1" thickBot="1">
      <c r="A75" s="69">
        <v>65</v>
      </c>
      <c r="B75" s="151">
        <v>22165</v>
      </c>
      <c r="C75" s="152" t="s">
        <v>188</v>
      </c>
      <c r="D75" s="171">
        <v>8</v>
      </c>
      <c r="E75" s="171">
        <v>9</v>
      </c>
      <c r="F75" s="172">
        <v>10</v>
      </c>
      <c r="G75" s="151"/>
      <c r="H75" s="151"/>
      <c r="I75" s="151"/>
      <c r="J75" s="55">
        <f t="shared" si="1"/>
        <v>27</v>
      </c>
      <c r="L75" s="38"/>
      <c r="N75" s="67"/>
    </row>
    <row r="76" spans="1:14" ht="18" customHeight="1" thickBot="1">
      <c r="A76" s="69">
        <v>66</v>
      </c>
      <c r="B76" s="151">
        <v>22166</v>
      </c>
      <c r="C76" s="152" t="s">
        <v>189</v>
      </c>
      <c r="D76" s="171">
        <v>10</v>
      </c>
      <c r="E76" s="171">
        <v>10</v>
      </c>
      <c r="F76" s="172">
        <v>10</v>
      </c>
      <c r="G76" s="151"/>
      <c r="H76" s="151"/>
      <c r="I76" s="151"/>
      <c r="J76" s="55">
        <f t="shared" si="1"/>
        <v>30</v>
      </c>
      <c r="L76" s="38"/>
      <c r="N76" s="67"/>
    </row>
    <row r="77" spans="1:14" ht="18" customHeight="1" thickBot="1">
      <c r="A77" s="69">
        <v>67</v>
      </c>
      <c r="B77" s="151">
        <v>22167</v>
      </c>
      <c r="C77" s="152" t="s">
        <v>190</v>
      </c>
      <c r="D77" s="171">
        <v>10</v>
      </c>
      <c r="E77" s="171">
        <v>8</v>
      </c>
      <c r="F77" s="172">
        <v>8</v>
      </c>
      <c r="G77" s="151"/>
      <c r="H77" s="151"/>
      <c r="I77" s="151"/>
      <c r="J77" s="55">
        <f t="shared" si="1"/>
        <v>26</v>
      </c>
      <c r="L77" s="38"/>
      <c r="N77" s="67"/>
    </row>
    <row r="78" spans="1:14" ht="18" customHeight="1" thickBot="1">
      <c r="A78" s="69">
        <v>68</v>
      </c>
      <c r="B78" s="151">
        <v>22168</v>
      </c>
      <c r="C78" s="152" t="s">
        <v>191</v>
      </c>
      <c r="D78" s="171">
        <v>10</v>
      </c>
      <c r="E78" s="171">
        <v>9</v>
      </c>
      <c r="F78" s="172">
        <v>10</v>
      </c>
      <c r="G78" s="151"/>
      <c r="H78" s="151"/>
      <c r="I78" s="151"/>
      <c r="J78" s="55">
        <f t="shared" si="1"/>
        <v>29</v>
      </c>
      <c r="L78" s="38"/>
      <c r="N78" s="67"/>
    </row>
    <row r="79" spans="1:14" ht="18" customHeight="1" thickBot="1">
      <c r="A79" s="69">
        <v>69</v>
      </c>
      <c r="B79" s="151">
        <v>22201</v>
      </c>
      <c r="C79" s="152" t="s">
        <v>192</v>
      </c>
      <c r="D79" s="171">
        <v>8</v>
      </c>
      <c r="E79" s="171">
        <v>10</v>
      </c>
      <c r="F79" s="172">
        <v>10</v>
      </c>
      <c r="G79" s="151"/>
      <c r="H79" s="151"/>
      <c r="I79" s="151"/>
      <c r="J79" s="55">
        <f t="shared" si="1"/>
        <v>28</v>
      </c>
      <c r="L79" s="38"/>
      <c r="N79" s="67"/>
    </row>
    <row r="80" spans="1:14" ht="18" customHeight="1" thickBot="1">
      <c r="A80" s="69">
        <v>70</v>
      </c>
      <c r="B80" s="151">
        <v>22202</v>
      </c>
      <c r="C80" s="152" t="s">
        <v>193</v>
      </c>
      <c r="D80" s="171">
        <v>9</v>
      </c>
      <c r="E80" s="171">
        <v>9</v>
      </c>
      <c r="F80" s="172">
        <v>9</v>
      </c>
      <c r="G80" s="151"/>
      <c r="H80" s="151"/>
      <c r="I80" s="151"/>
      <c r="J80" s="55">
        <f t="shared" si="1"/>
        <v>27</v>
      </c>
      <c r="L80" s="38"/>
      <c r="N80" s="67"/>
    </row>
    <row r="81" spans="1:14" ht="18" customHeight="1" thickBot="1">
      <c r="A81" s="69">
        <v>71</v>
      </c>
      <c r="B81" s="151">
        <v>22203</v>
      </c>
      <c r="C81" s="152" t="s">
        <v>194</v>
      </c>
      <c r="D81" s="171">
        <v>9</v>
      </c>
      <c r="E81" s="171">
        <v>9</v>
      </c>
      <c r="F81" s="172">
        <v>8</v>
      </c>
      <c r="G81" s="151"/>
      <c r="H81" s="151"/>
      <c r="I81" s="151"/>
      <c r="J81" s="55">
        <f t="shared" si="1"/>
        <v>26</v>
      </c>
      <c r="L81" s="38"/>
      <c r="N81" s="67"/>
    </row>
    <row r="82" spans="1:14" ht="18" customHeight="1" thickBot="1">
      <c r="A82" s="69">
        <v>72</v>
      </c>
      <c r="B82" s="151">
        <v>22204</v>
      </c>
      <c r="C82" s="152" t="s">
        <v>195</v>
      </c>
      <c r="D82" s="171">
        <v>9</v>
      </c>
      <c r="E82" s="171">
        <v>10</v>
      </c>
      <c r="F82" s="172">
        <v>8</v>
      </c>
      <c r="G82" s="151"/>
      <c r="H82" s="151"/>
      <c r="I82" s="151"/>
      <c r="J82" s="55">
        <f t="shared" si="1"/>
        <v>27</v>
      </c>
      <c r="L82" s="38"/>
      <c r="N82" s="67"/>
    </row>
    <row r="83" spans="1:14" ht="18" customHeight="1" thickBot="1">
      <c r="A83" s="69">
        <v>73</v>
      </c>
      <c r="B83" s="151">
        <v>22205</v>
      </c>
      <c r="C83" s="152" t="s">
        <v>196</v>
      </c>
      <c r="D83" s="171">
        <v>9</v>
      </c>
      <c r="E83" s="171">
        <v>9</v>
      </c>
      <c r="F83" s="172">
        <v>8</v>
      </c>
      <c r="G83" s="151"/>
      <c r="H83" s="151"/>
      <c r="I83" s="151"/>
      <c r="J83" s="55">
        <f t="shared" si="1"/>
        <v>26</v>
      </c>
      <c r="L83" s="38"/>
      <c r="N83" s="67"/>
    </row>
    <row r="84" spans="1:14" ht="18" customHeight="1" thickBot="1">
      <c r="A84" s="69">
        <v>74</v>
      </c>
      <c r="B84" s="151">
        <v>22206</v>
      </c>
      <c r="C84" s="152" t="s">
        <v>197</v>
      </c>
      <c r="D84" s="171">
        <v>6</v>
      </c>
      <c r="E84" s="171">
        <v>7</v>
      </c>
      <c r="F84" s="172">
        <v>8</v>
      </c>
      <c r="G84" s="151"/>
      <c r="H84" s="151"/>
      <c r="I84" s="151"/>
      <c r="J84" s="55">
        <f t="shared" si="1"/>
        <v>21</v>
      </c>
      <c r="L84" s="38"/>
      <c r="N84" s="67"/>
    </row>
    <row r="85" spans="1:14" ht="18" customHeight="1" thickBot="1">
      <c r="A85" s="69">
        <v>75</v>
      </c>
      <c r="B85" s="151">
        <v>22207</v>
      </c>
      <c r="C85" s="152" t="s">
        <v>198</v>
      </c>
      <c r="D85" s="171">
        <v>8</v>
      </c>
      <c r="E85" s="171">
        <v>10</v>
      </c>
      <c r="F85" s="172">
        <v>8</v>
      </c>
      <c r="G85" s="151"/>
      <c r="H85" s="151"/>
      <c r="I85" s="151"/>
      <c r="J85" s="55">
        <f t="shared" si="1"/>
        <v>26</v>
      </c>
      <c r="L85" s="38"/>
      <c r="N85" s="67"/>
    </row>
    <row r="86" spans="1:14" ht="18" customHeight="1" thickBot="1">
      <c r="A86" s="69">
        <v>76</v>
      </c>
      <c r="B86" s="151">
        <v>22208</v>
      </c>
      <c r="C86" s="152" t="s">
        <v>199</v>
      </c>
      <c r="D86" s="171">
        <v>8</v>
      </c>
      <c r="E86" s="171">
        <v>10</v>
      </c>
      <c r="F86" s="172">
        <v>9</v>
      </c>
      <c r="G86" s="151"/>
      <c r="H86" s="151"/>
      <c r="I86" s="151"/>
      <c r="J86" s="55">
        <f t="shared" si="1"/>
        <v>27</v>
      </c>
      <c r="L86" s="38"/>
      <c r="N86" s="67"/>
    </row>
    <row r="87" spans="1:14" ht="18" customHeight="1" thickBot="1">
      <c r="A87" s="69">
        <v>77</v>
      </c>
      <c r="B87" s="151">
        <v>22209</v>
      </c>
      <c r="C87" s="152" t="s">
        <v>200</v>
      </c>
      <c r="D87" s="171">
        <v>9</v>
      </c>
      <c r="E87" s="171">
        <v>9</v>
      </c>
      <c r="F87" s="172">
        <v>8</v>
      </c>
      <c r="G87" s="151"/>
      <c r="H87" s="151"/>
      <c r="I87" s="151"/>
      <c r="J87" s="55">
        <f t="shared" si="1"/>
        <v>26</v>
      </c>
      <c r="L87" s="38"/>
      <c r="N87" s="67"/>
    </row>
    <row r="88" spans="1:14" ht="18" customHeight="1" thickBot="1">
      <c r="A88" s="69">
        <v>78</v>
      </c>
      <c r="B88" s="151">
        <v>22210</v>
      </c>
      <c r="C88" s="152" t="s">
        <v>201</v>
      </c>
      <c r="D88" s="171">
        <v>10</v>
      </c>
      <c r="E88" s="171">
        <v>9</v>
      </c>
      <c r="F88" s="172">
        <v>6</v>
      </c>
      <c r="G88" s="151"/>
      <c r="H88" s="151"/>
      <c r="I88" s="151"/>
      <c r="J88" s="55">
        <f t="shared" si="1"/>
        <v>25</v>
      </c>
      <c r="L88" s="38"/>
      <c r="N88" s="67"/>
    </row>
    <row r="89" spans="1:14" ht="18" customHeight="1" thickBot="1">
      <c r="A89" s="69">
        <v>79</v>
      </c>
      <c r="B89" s="151">
        <v>22211</v>
      </c>
      <c r="C89" s="152" t="s">
        <v>202</v>
      </c>
      <c r="D89" s="171">
        <v>8</v>
      </c>
      <c r="E89" s="171">
        <v>9</v>
      </c>
      <c r="F89" s="172">
        <v>7</v>
      </c>
      <c r="G89" s="151"/>
      <c r="H89" s="151"/>
      <c r="I89" s="151"/>
      <c r="J89" s="55">
        <f t="shared" si="1"/>
        <v>24</v>
      </c>
      <c r="L89" s="38"/>
      <c r="N89" s="67"/>
    </row>
    <row r="90" spans="1:14" ht="18" customHeight="1" thickBot="1">
      <c r="A90" s="69">
        <v>80</v>
      </c>
      <c r="B90" s="151">
        <v>22212</v>
      </c>
      <c r="C90" s="152" t="s">
        <v>203</v>
      </c>
      <c r="D90" s="171">
        <v>6</v>
      </c>
      <c r="E90" s="171">
        <v>8</v>
      </c>
      <c r="F90" s="172">
        <v>7</v>
      </c>
      <c r="G90" s="151"/>
      <c r="H90" s="151"/>
      <c r="I90" s="151"/>
      <c r="J90" s="55">
        <f t="shared" si="1"/>
        <v>21</v>
      </c>
      <c r="L90" s="38"/>
      <c r="N90" s="67"/>
    </row>
    <row r="91" spans="1:14" ht="18" customHeight="1" thickBot="1">
      <c r="A91" s="69">
        <v>81</v>
      </c>
      <c r="B91" s="151">
        <v>22213</v>
      </c>
      <c r="C91" s="152" t="s">
        <v>204</v>
      </c>
      <c r="D91" s="171">
        <v>8</v>
      </c>
      <c r="E91" s="171">
        <v>9</v>
      </c>
      <c r="F91" s="172">
        <v>9</v>
      </c>
      <c r="G91" s="151"/>
      <c r="H91" s="151"/>
      <c r="I91" s="151"/>
      <c r="J91" s="55">
        <f t="shared" si="1"/>
        <v>26</v>
      </c>
      <c r="L91" s="38"/>
      <c r="N91" s="67"/>
    </row>
    <row r="92" spans="1:14" ht="18" customHeight="1" thickBot="1">
      <c r="A92" s="69">
        <v>82</v>
      </c>
      <c r="B92" s="151">
        <v>22214</v>
      </c>
      <c r="C92" s="152" t="s">
        <v>205</v>
      </c>
      <c r="D92" s="171">
        <v>8</v>
      </c>
      <c r="E92" s="171">
        <v>9</v>
      </c>
      <c r="F92" s="172">
        <v>10</v>
      </c>
      <c r="G92" s="151"/>
      <c r="H92" s="151"/>
      <c r="I92" s="151"/>
      <c r="J92" s="55">
        <f t="shared" si="1"/>
        <v>27</v>
      </c>
      <c r="L92" s="38"/>
      <c r="N92" s="67"/>
    </row>
    <row r="93" spans="1:14" ht="18" customHeight="1" thickBot="1">
      <c r="A93" s="69">
        <v>83</v>
      </c>
      <c r="B93" s="151">
        <v>22215</v>
      </c>
      <c r="C93" s="152" t="s">
        <v>206</v>
      </c>
      <c r="D93" s="171">
        <v>9</v>
      </c>
      <c r="E93" s="171">
        <v>9</v>
      </c>
      <c r="F93" s="172">
        <v>10</v>
      </c>
      <c r="G93" s="151"/>
      <c r="H93" s="151"/>
      <c r="I93" s="151"/>
      <c r="J93" s="55">
        <f t="shared" si="1"/>
        <v>28</v>
      </c>
      <c r="L93" s="38"/>
      <c r="N93" s="67"/>
    </row>
    <row r="94" spans="1:14" ht="18" customHeight="1" thickBot="1">
      <c r="A94" s="69">
        <v>84</v>
      </c>
      <c r="B94" s="151">
        <v>22216</v>
      </c>
      <c r="C94" s="152" t="s">
        <v>207</v>
      </c>
      <c r="D94" s="171">
        <v>9</v>
      </c>
      <c r="E94" s="171">
        <v>9</v>
      </c>
      <c r="F94" s="172">
        <v>8</v>
      </c>
      <c r="G94" s="151"/>
      <c r="H94" s="151"/>
      <c r="I94" s="151"/>
      <c r="J94" s="55">
        <f t="shared" si="1"/>
        <v>26</v>
      </c>
      <c r="L94" s="38"/>
      <c r="N94" s="67"/>
    </row>
    <row r="95" spans="1:14" ht="18" customHeight="1" thickBot="1">
      <c r="A95" s="69">
        <v>85</v>
      </c>
      <c r="B95" s="151">
        <v>22217</v>
      </c>
      <c r="C95" s="152" t="s">
        <v>208</v>
      </c>
      <c r="D95" s="171">
        <v>9</v>
      </c>
      <c r="E95" s="171">
        <v>8</v>
      </c>
      <c r="F95" s="172">
        <v>8</v>
      </c>
      <c r="G95" s="151"/>
      <c r="H95" s="151"/>
      <c r="I95" s="151"/>
      <c r="J95" s="55">
        <f t="shared" si="1"/>
        <v>25</v>
      </c>
      <c r="L95" s="38"/>
      <c r="N95" s="67"/>
    </row>
    <row r="96" spans="1:14" ht="18" customHeight="1" thickBot="1">
      <c r="A96" s="69">
        <v>86</v>
      </c>
      <c r="B96" s="151">
        <v>22218</v>
      </c>
      <c r="C96" s="152" t="s">
        <v>209</v>
      </c>
      <c r="D96" s="171">
        <v>8</v>
      </c>
      <c r="E96" s="171">
        <v>6</v>
      </c>
      <c r="F96" s="172">
        <v>4</v>
      </c>
      <c r="G96" s="151"/>
      <c r="H96" s="151"/>
      <c r="I96" s="151"/>
      <c r="J96" s="55">
        <f t="shared" si="1"/>
        <v>18</v>
      </c>
      <c r="L96" s="38"/>
      <c r="N96" s="67"/>
    </row>
    <row r="97" spans="1:14" ht="18" customHeight="1" thickBot="1">
      <c r="A97" s="69">
        <v>87</v>
      </c>
      <c r="B97" s="151">
        <v>22219</v>
      </c>
      <c r="C97" s="152" t="s">
        <v>210</v>
      </c>
      <c r="D97" s="171">
        <v>9</v>
      </c>
      <c r="E97" s="171">
        <v>5</v>
      </c>
      <c r="F97" s="172">
        <v>4</v>
      </c>
      <c r="G97" s="151"/>
      <c r="H97" s="151"/>
      <c r="I97" s="151"/>
      <c r="J97" s="55">
        <f t="shared" si="1"/>
        <v>18</v>
      </c>
      <c r="L97" s="38"/>
      <c r="N97" s="67"/>
    </row>
    <row r="98" spans="1:14" ht="18" customHeight="1" thickBot="1">
      <c r="A98" s="69">
        <v>88</v>
      </c>
      <c r="B98" s="151">
        <v>22220</v>
      </c>
      <c r="C98" s="152" t="s">
        <v>211</v>
      </c>
      <c r="D98" s="171">
        <v>10</v>
      </c>
      <c r="E98" s="171">
        <v>8</v>
      </c>
      <c r="F98" s="172">
        <v>8</v>
      </c>
      <c r="G98" s="151"/>
      <c r="H98" s="151"/>
      <c r="I98" s="151"/>
      <c r="J98" s="55">
        <f t="shared" si="1"/>
        <v>26</v>
      </c>
      <c r="L98" s="38"/>
      <c r="N98" s="67"/>
    </row>
    <row r="99" spans="1:14" ht="18" customHeight="1" thickBot="1">
      <c r="A99" s="69">
        <v>89</v>
      </c>
      <c r="B99" s="151">
        <v>22221</v>
      </c>
      <c r="C99" s="152" t="s">
        <v>212</v>
      </c>
      <c r="D99" s="171">
        <v>8</v>
      </c>
      <c r="E99" s="171">
        <v>9</v>
      </c>
      <c r="F99" s="172">
        <v>9</v>
      </c>
      <c r="G99" s="151"/>
      <c r="H99" s="151"/>
      <c r="I99" s="151"/>
      <c r="J99" s="55">
        <f t="shared" si="1"/>
        <v>26</v>
      </c>
      <c r="L99" s="38"/>
      <c r="N99" s="67"/>
    </row>
    <row r="100" spans="1:14" ht="18" customHeight="1" thickBot="1">
      <c r="A100" s="69">
        <v>90</v>
      </c>
      <c r="B100" s="151">
        <v>22222</v>
      </c>
      <c r="C100" s="152" t="s">
        <v>213</v>
      </c>
      <c r="D100" s="171">
        <v>9</v>
      </c>
      <c r="E100" s="171">
        <v>9</v>
      </c>
      <c r="F100" s="172">
        <v>9</v>
      </c>
      <c r="G100" s="151"/>
      <c r="H100" s="151"/>
      <c r="I100" s="151"/>
      <c r="J100" s="55">
        <f t="shared" si="1"/>
        <v>27</v>
      </c>
      <c r="L100" s="38"/>
      <c r="N100" s="67"/>
    </row>
    <row r="101" spans="1:14" ht="18" customHeight="1" thickBot="1">
      <c r="A101" s="69">
        <v>91</v>
      </c>
      <c r="B101" s="151">
        <v>22223</v>
      </c>
      <c r="C101" s="152" t="s">
        <v>214</v>
      </c>
      <c r="D101" s="171">
        <v>10</v>
      </c>
      <c r="E101" s="171">
        <v>8</v>
      </c>
      <c r="F101" s="172">
        <v>10</v>
      </c>
      <c r="G101" s="151"/>
      <c r="H101" s="151"/>
      <c r="I101" s="151"/>
      <c r="J101" s="55">
        <f t="shared" si="1"/>
        <v>28</v>
      </c>
      <c r="L101" s="38"/>
      <c r="N101" s="67"/>
    </row>
    <row r="102" spans="1:14" ht="18" customHeight="1" thickBot="1">
      <c r="A102" s="69">
        <v>92</v>
      </c>
      <c r="B102" s="151">
        <v>22224</v>
      </c>
      <c r="C102" s="152" t="s">
        <v>215</v>
      </c>
      <c r="D102" s="171">
        <v>8</v>
      </c>
      <c r="E102" s="171">
        <v>8</v>
      </c>
      <c r="F102" s="172">
        <v>9</v>
      </c>
      <c r="G102" s="151"/>
      <c r="H102" s="151"/>
      <c r="I102" s="151"/>
      <c r="J102" s="55">
        <f t="shared" si="1"/>
        <v>25</v>
      </c>
      <c r="L102" s="38"/>
      <c r="N102" s="67"/>
    </row>
    <row r="103" spans="1:14" ht="18" customHeight="1" thickBot="1">
      <c r="A103" s="69">
        <v>93</v>
      </c>
      <c r="B103" s="151">
        <v>22225</v>
      </c>
      <c r="C103" s="152" t="s">
        <v>216</v>
      </c>
      <c r="D103" s="171">
        <v>9</v>
      </c>
      <c r="E103" s="171">
        <v>10</v>
      </c>
      <c r="F103" s="172">
        <v>9</v>
      </c>
      <c r="G103" s="151"/>
      <c r="H103" s="151"/>
      <c r="I103" s="151"/>
      <c r="J103" s="55">
        <f t="shared" si="1"/>
        <v>28</v>
      </c>
      <c r="L103" s="38"/>
      <c r="N103" s="67"/>
    </row>
    <row r="104" spans="1:14" ht="18" customHeight="1" thickBot="1">
      <c r="A104" s="69">
        <v>94</v>
      </c>
      <c r="B104" s="151">
        <v>22226</v>
      </c>
      <c r="C104" s="152" t="s">
        <v>217</v>
      </c>
      <c r="D104" s="171">
        <v>9</v>
      </c>
      <c r="E104" s="171">
        <v>9</v>
      </c>
      <c r="F104" s="172">
        <v>9</v>
      </c>
      <c r="G104" s="151"/>
      <c r="H104" s="151"/>
      <c r="I104" s="151"/>
      <c r="J104" s="55">
        <f t="shared" si="1"/>
        <v>27</v>
      </c>
      <c r="L104" s="38"/>
      <c r="N104" s="67"/>
    </row>
    <row r="105" spans="1:14" ht="18" customHeight="1" thickBot="1">
      <c r="A105" s="69">
        <v>95</v>
      </c>
      <c r="B105" s="151">
        <v>22227</v>
      </c>
      <c r="C105" s="152" t="s">
        <v>218</v>
      </c>
      <c r="D105" s="171">
        <v>9</v>
      </c>
      <c r="E105" s="171">
        <v>9</v>
      </c>
      <c r="F105" s="172">
        <v>10</v>
      </c>
      <c r="G105" s="151"/>
      <c r="H105" s="151"/>
      <c r="I105" s="151"/>
      <c r="J105" s="55">
        <f t="shared" si="1"/>
        <v>28</v>
      </c>
      <c r="L105" s="38"/>
      <c r="N105" s="67"/>
    </row>
    <row r="106" spans="1:14" ht="18" customHeight="1" thickBot="1">
      <c r="A106" s="69">
        <v>96</v>
      </c>
      <c r="B106" s="151">
        <v>22228</v>
      </c>
      <c r="C106" s="152" t="s">
        <v>219</v>
      </c>
      <c r="D106" s="171">
        <v>8</v>
      </c>
      <c r="E106" s="171">
        <v>8</v>
      </c>
      <c r="F106" s="172">
        <v>10</v>
      </c>
      <c r="G106" s="151"/>
      <c r="H106" s="151"/>
      <c r="I106" s="151"/>
      <c r="J106" s="55">
        <f t="shared" si="1"/>
        <v>26</v>
      </c>
      <c r="L106" s="38"/>
      <c r="N106" s="67"/>
    </row>
    <row r="107" spans="1:14" ht="18" customHeight="1" thickBot="1">
      <c r="A107" s="69">
        <v>97</v>
      </c>
      <c r="B107" s="151">
        <v>22229</v>
      </c>
      <c r="C107" s="152" t="s">
        <v>220</v>
      </c>
      <c r="D107" s="171">
        <v>8</v>
      </c>
      <c r="E107" s="171">
        <v>9</v>
      </c>
      <c r="F107" s="172">
        <v>10</v>
      </c>
      <c r="G107" s="151"/>
      <c r="H107" s="151"/>
      <c r="I107" s="151"/>
      <c r="J107" s="55">
        <f t="shared" si="1"/>
        <v>27</v>
      </c>
      <c r="L107" s="38"/>
      <c r="N107" s="67"/>
    </row>
    <row r="108" spans="1:14" ht="18" customHeight="1" thickBot="1">
      <c r="A108" s="69">
        <v>98</v>
      </c>
      <c r="B108" s="151">
        <v>22230</v>
      </c>
      <c r="C108" s="152" t="s">
        <v>221</v>
      </c>
      <c r="D108" s="171">
        <v>8</v>
      </c>
      <c r="E108" s="171">
        <v>8</v>
      </c>
      <c r="F108" s="172">
        <v>10</v>
      </c>
      <c r="G108" s="151"/>
      <c r="H108" s="151"/>
      <c r="I108" s="151"/>
      <c r="J108" s="55">
        <f t="shared" si="1"/>
        <v>26</v>
      </c>
      <c r="L108" s="38"/>
      <c r="N108" s="67"/>
    </row>
    <row r="109" spans="1:14" ht="18" customHeight="1" thickBot="1">
      <c r="A109" s="69">
        <v>99</v>
      </c>
      <c r="B109" s="151">
        <v>22231</v>
      </c>
      <c r="C109" s="152" t="s">
        <v>222</v>
      </c>
      <c r="D109" s="171">
        <v>10</v>
      </c>
      <c r="E109" s="171">
        <v>10</v>
      </c>
      <c r="F109" s="172">
        <v>9</v>
      </c>
      <c r="G109" s="151"/>
      <c r="H109" s="151"/>
      <c r="I109" s="151"/>
      <c r="J109" s="55">
        <f t="shared" si="1"/>
        <v>29</v>
      </c>
      <c r="L109" s="38"/>
      <c r="N109" s="67"/>
    </row>
    <row r="110" spans="1:14" ht="18" customHeight="1" thickBot="1">
      <c r="A110" s="69">
        <v>100</v>
      </c>
      <c r="B110" s="151">
        <v>22232</v>
      </c>
      <c r="C110" s="152" t="s">
        <v>223</v>
      </c>
      <c r="D110" s="171">
        <v>9</v>
      </c>
      <c r="E110" s="171">
        <v>9</v>
      </c>
      <c r="F110" s="172">
        <v>10</v>
      </c>
      <c r="G110" s="151"/>
      <c r="H110" s="151"/>
      <c r="I110" s="151"/>
      <c r="J110" s="55">
        <f t="shared" si="1"/>
        <v>28</v>
      </c>
      <c r="L110" s="38"/>
      <c r="N110" s="67"/>
    </row>
    <row r="111" spans="1:14" ht="18" customHeight="1" thickBot="1">
      <c r="A111" s="69">
        <v>101</v>
      </c>
      <c r="B111" s="151">
        <v>22233</v>
      </c>
      <c r="C111" s="152" t="s">
        <v>224</v>
      </c>
      <c r="D111" s="171">
        <v>10</v>
      </c>
      <c r="E111" s="171">
        <v>9</v>
      </c>
      <c r="F111" s="172">
        <v>9</v>
      </c>
      <c r="G111" s="151"/>
      <c r="H111" s="151"/>
      <c r="I111" s="151"/>
      <c r="J111" s="55">
        <f t="shared" si="1"/>
        <v>28</v>
      </c>
      <c r="L111" s="38"/>
      <c r="N111" s="67"/>
    </row>
    <row r="112" spans="1:14" ht="18" customHeight="1" thickBot="1">
      <c r="A112" s="69">
        <v>102</v>
      </c>
      <c r="B112" s="151">
        <v>22234</v>
      </c>
      <c r="C112" s="152" t="s">
        <v>225</v>
      </c>
      <c r="D112" s="171">
        <v>10</v>
      </c>
      <c r="E112" s="171">
        <v>9</v>
      </c>
      <c r="F112" s="172">
        <v>10</v>
      </c>
      <c r="G112" s="151"/>
      <c r="H112" s="151"/>
      <c r="I112" s="151"/>
      <c r="J112" s="55">
        <f t="shared" si="1"/>
        <v>29</v>
      </c>
      <c r="L112" s="38"/>
      <c r="N112" s="67"/>
    </row>
    <row r="113" spans="1:15" ht="18" customHeight="1" thickBot="1">
      <c r="A113" s="69">
        <v>103</v>
      </c>
      <c r="B113" s="151">
        <v>22235</v>
      </c>
      <c r="C113" s="152" t="s">
        <v>226</v>
      </c>
      <c r="D113" s="171">
        <v>10</v>
      </c>
      <c r="E113" s="171">
        <v>9</v>
      </c>
      <c r="F113" s="172">
        <v>9</v>
      </c>
      <c r="G113" s="151"/>
      <c r="H113" s="151"/>
      <c r="I113" s="151"/>
      <c r="J113" s="55">
        <f t="shared" si="1"/>
        <v>28</v>
      </c>
      <c r="L113" s="38"/>
      <c r="N113" s="67"/>
    </row>
    <row r="114" spans="1:15" ht="18" customHeight="1" thickBot="1">
      <c r="A114" s="69">
        <v>104</v>
      </c>
      <c r="B114" s="151">
        <v>22236</v>
      </c>
      <c r="C114" s="152" t="s">
        <v>227</v>
      </c>
      <c r="D114" s="171">
        <v>9</v>
      </c>
      <c r="E114" s="171">
        <v>10</v>
      </c>
      <c r="F114" s="172">
        <v>8</v>
      </c>
      <c r="G114" s="151"/>
      <c r="H114" s="151"/>
      <c r="I114" s="151"/>
      <c r="J114" s="55">
        <f t="shared" si="1"/>
        <v>27</v>
      </c>
      <c r="L114" s="38"/>
      <c r="N114" s="67"/>
    </row>
    <row r="115" spans="1:15" ht="18" customHeight="1" thickBot="1">
      <c r="A115" s="69">
        <v>105</v>
      </c>
      <c r="B115" s="151">
        <v>22237</v>
      </c>
      <c r="C115" s="152" t="s">
        <v>228</v>
      </c>
      <c r="D115" s="171">
        <v>10</v>
      </c>
      <c r="E115" s="171">
        <v>10</v>
      </c>
      <c r="F115" s="172">
        <v>9</v>
      </c>
      <c r="G115" s="151"/>
      <c r="H115" s="151"/>
      <c r="I115" s="151"/>
      <c r="J115" s="55">
        <f t="shared" si="1"/>
        <v>29</v>
      </c>
      <c r="L115" s="38"/>
      <c r="N115" s="67"/>
    </row>
    <row r="116" spans="1:15" ht="18" customHeight="1" thickBot="1">
      <c r="A116" s="69">
        <v>106</v>
      </c>
      <c r="B116" s="151">
        <v>22238</v>
      </c>
      <c r="C116" s="152" t="s">
        <v>229</v>
      </c>
      <c r="D116" s="171">
        <v>10</v>
      </c>
      <c r="E116" s="171">
        <v>8</v>
      </c>
      <c r="F116" s="172">
        <v>10</v>
      </c>
      <c r="G116" s="151"/>
      <c r="H116" s="151"/>
      <c r="I116" s="151"/>
      <c r="J116" s="55">
        <f t="shared" si="1"/>
        <v>28</v>
      </c>
      <c r="L116" s="38"/>
      <c r="N116" s="67"/>
    </row>
    <row r="117" spans="1:15" ht="18" customHeight="1" thickBot="1">
      <c r="A117" s="69">
        <v>107</v>
      </c>
      <c r="B117" s="151">
        <v>22239</v>
      </c>
      <c r="C117" s="152" t="s">
        <v>230</v>
      </c>
      <c r="D117" s="171">
        <v>4</v>
      </c>
      <c r="E117" s="171">
        <v>5</v>
      </c>
      <c r="F117" s="172">
        <v>4</v>
      </c>
      <c r="G117" s="151"/>
      <c r="H117" s="151"/>
      <c r="I117" s="151"/>
      <c r="J117" s="55">
        <f t="shared" si="1"/>
        <v>13</v>
      </c>
      <c r="L117" s="38"/>
      <c r="N117" s="67"/>
    </row>
    <row r="118" spans="1:15" ht="18" customHeight="1">
      <c r="A118" s="69">
        <v>108</v>
      </c>
      <c r="B118" s="151">
        <v>22240</v>
      </c>
      <c r="C118" s="152" t="s">
        <v>231</v>
      </c>
      <c r="D118" s="173">
        <v>10</v>
      </c>
      <c r="E118" s="173">
        <v>8</v>
      </c>
      <c r="F118" s="174">
        <v>9</v>
      </c>
      <c r="G118" s="151"/>
      <c r="H118" s="151"/>
      <c r="I118" s="151"/>
      <c r="J118" s="55">
        <f t="shared" si="1"/>
        <v>27</v>
      </c>
      <c r="L118" s="38"/>
      <c r="N118" s="67"/>
    </row>
    <row r="119" spans="1:15" ht="15.75" customHeight="1">
      <c r="A119" s="241" t="s">
        <v>121</v>
      </c>
      <c r="B119" s="241"/>
      <c r="C119" s="150">
        <f>COUNT(A11:A118)</f>
        <v>108</v>
      </c>
    </row>
    <row r="120" spans="1:15" ht="15.75" customHeight="1">
      <c r="A120" s="4"/>
      <c r="C120" s="5"/>
    </row>
    <row r="121" spans="1:15" ht="15.75" customHeight="1">
      <c r="A121" s="37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</row>
    <row r="122" spans="1:15" ht="15.75" customHeight="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</row>
    <row r="123" spans="1:15" ht="15.75" customHeight="1">
      <c r="A123" t="str">
        <f>Faculty</f>
        <v xml:space="preserve">Dr. Ashwini Chavan, 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ht="15.75" customHeight="1">
      <c r="A124" t="str">
        <f>SubjectDetails!E17</f>
        <v>Subject Faculty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ht="15.75" customHeight="1">
      <c r="A125" s="82"/>
      <c r="B125" s="82"/>
      <c r="C125" s="83"/>
      <c r="D125" s="83"/>
      <c r="E125" s="202"/>
      <c r="F125" s="202"/>
      <c r="J125" s="48"/>
      <c r="K125" s="82"/>
      <c r="L125"/>
      <c r="M125" s="82"/>
      <c r="O125"/>
    </row>
    <row r="126" spans="1:15" ht="15.75" customHeight="1">
      <c r="A126" s="82"/>
      <c r="B126" s="82"/>
      <c r="C126" s="83"/>
      <c r="D126" s="83"/>
      <c r="E126" s="202"/>
      <c r="F126" s="202"/>
      <c r="J126" s="48"/>
      <c r="K126" s="82"/>
      <c r="L126"/>
      <c r="M126" s="82"/>
    </row>
    <row r="127" spans="1:15" s="36" customFormat="1">
      <c r="A127" s="199" t="str">
        <f>SubjectDetails!A24</f>
        <v>Dr. Ravi Chourasiya</v>
      </c>
      <c r="B127" s="199"/>
      <c r="C127" s="199"/>
      <c r="D127" s="202" t="str">
        <f>SubjectDetails!E24</f>
        <v>Dr. Ashwini Chavan</v>
      </c>
      <c r="E127" s="202"/>
      <c r="F127" s="202"/>
      <c r="G127" s="202"/>
      <c r="H127"/>
      <c r="I127" s="200" t="str">
        <f>SubjectDetails!H24</f>
        <v>Dr. Priyanka Singh</v>
      </c>
      <c r="J127" s="200"/>
      <c r="K127" s="82"/>
      <c r="L127"/>
      <c r="M127" s="82"/>
      <c r="N127" s="48"/>
      <c r="O127"/>
    </row>
    <row r="128" spans="1:15" s="36" customFormat="1">
      <c r="A128" s="199" t="str">
        <f>SubjectDetails!A25</f>
        <v>(College Examination Officer)</v>
      </c>
      <c r="B128" s="199"/>
      <c r="C128" s="199"/>
      <c r="D128" s="202" t="str">
        <f>SubjectDetails!E25</f>
        <v>HOD (MCA)</v>
      </c>
      <c r="E128" s="202"/>
      <c r="F128" s="202"/>
      <c r="G128" s="202"/>
      <c r="H128"/>
      <c r="I128" s="200" t="str">
        <f>SubjectDetails!H25</f>
        <v>Director</v>
      </c>
      <c r="J128" s="200"/>
      <c r="K128" s="82"/>
      <c r="L128"/>
      <c r="M128" s="82"/>
      <c r="N128" s="48"/>
      <c r="O128" s="7"/>
    </row>
    <row r="129" spans="1:15" ht="15.75" customHeight="1">
      <c r="A129" s="37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</row>
  </sheetData>
  <sortState ref="A11:H37">
    <sortCondition ref="B11:B37"/>
  </sortState>
  <mergeCells count="22">
    <mergeCell ref="A119:B119"/>
    <mergeCell ref="J9:J10"/>
    <mergeCell ref="A1:J1"/>
    <mergeCell ref="A2:J2"/>
    <mergeCell ref="A3:J3"/>
    <mergeCell ref="A4:J4"/>
    <mergeCell ref="A5:J5"/>
    <mergeCell ref="A6:B6"/>
    <mergeCell ref="J7:J8"/>
    <mergeCell ref="D7:I7"/>
    <mergeCell ref="D6:J6"/>
    <mergeCell ref="C7:C8"/>
    <mergeCell ref="A7:A10"/>
    <mergeCell ref="B7:B10"/>
    <mergeCell ref="A128:C128"/>
    <mergeCell ref="I128:J128"/>
    <mergeCell ref="D127:G127"/>
    <mergeCell ref="D128:G128"/>
    <mergeCell ref="E125:F125"/>
    <mergeCell ref="E126:F126"/>
    <mergeCell ref="A127:C127"/>
    <mergeCell ref="I127:J127"/>
  </mergeCells>
  <pageMargins left="0.7" right="0.7" top="0.75" bottom="0.75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0"/>
  <sheetViews>
    <sheetView topLeftCell="A111" workbookViewId="0">
      <selection activeCell="K118" sqref="K118"/>
    </sheetView>
  </sheetViews>
  <sheetFormatPr defaultColWidth="12.7109375" defaultRowHeight="15.75" customHeight="1"/>
  <cols>
    <col min="1" max="1" width="9.28515625" style="1" customWidth="1"/>
    <col min="2" max="2" width="15.7109375" style="1" customWidth="1"/>
    <col min="3" max="3" width="44.28515625" style="52" bestFit="1" customWidth="1"/>
    <col min="4" max="11" width="7.7109375" style="52" customWidth="1"/>
    <col min="12" max="12" width="15.28515625" style="53" customWidth="1"/>
    <col min="13" max="16384" width="12.7109375" style="7"/>
  </cols>
  <sheetData>
    <row r="1" spans="1:16" customFormat="1" ht="24.6" customHeight="1">
      <c r="A1" s="210" t="s">
        <v>73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95"/>
      <c r="N1" s="95"/>
      <c r="O1" s="95"/>
      <c r="P1" s="95"/>
    </row>
    <row r="2" spans="1:16" customFormat="1" ht="21" customHeight="1">
      <c r="A2" s="212" t="s">
        <v>74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96"/>
      <c r="N2" s="96"/>
      <c r="O2" s="96"/>
      <c r="P2" s="96"/>
    </row>
    <row r="3" spans="1:16" customFormat="1" ht="13.9" customHeight="1">
      <c r="A3" s="214" t="s">
        <v>75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97"/>
      <c r="N3" s="97"/>
      <c r="O3" s="97"/>
      <c r="P3" s="97"/>
    </row>
    <row r="4" spans="1:16" customFormat="1" ht="13.9" customHeight="1" thickBot="1">
      <c r="A4" s="244" t="s">
        <v>9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97"/>
      <c r="N4" s="97"/>
      <c r="O4" s="97"/>
      <c r="P4" s="97"/>
    </row>
    <row r="5" spans="1:16" ht="30.4" customHeight="1">
      <c r="A5" s="246" t="s">
        <v>5</v>
      </c>
      <c r="B5" s="247"/>
      <c r="C5" s="247"/>
      <c r="D5" s="247"/>
      <c r="E5" s="247"/>
      <c r="F5" s="247"/>
      <c r="G5" s="247"/>
      <c r="H5" s="247"/>
      <c r="I5" s="247"/>
      <c r="J5" s="247"/>
      <c r="K5" s="247"/>
      <c r="L5" s="248"/>
    </row>
    <row r="6" spans="1:16" ht="32.25" customHeight="1">
      <c r="A6" s="259" t="str">
        <f>CONCATENATE(Class," ", spl)</f>
        <v xml:space="preserve">MCA I SEM I AY 2023-24 </v>
      </c>
      <c r="B6" s="260"/>
      <c r="C6" s="115" t="str">
        <f>CONCATENATE("Name of Faculty: ", Faculty)</f>
        <v xml:space="preserve">Name of Faculty: Dr. Ashwini Chavan, </v>
      </c>
      <c r="D6" s="259" t="str">
        <f>CONCATENATE("Course Name: ", Sub_Code)</f>
        <v>Course Name: Network Technologies</v>
      </c>
      <c r="E6" s="262"/>
      <c r="F6" s="262"/>
      <c r="G6" s="262"/>
      <c r="H6" s="262"/>
      <c r="I6" s="262"/>
      <c r="J6" s="262"/>
      <c r="K6" s="262"/>
      <c r="L6" s="260"/>
    </row>
    <row r="7" spans="1:16" ht="21" customHeight="1">
      <c r="A7" s="264" t="s">
        <v>0</v>
      </c>
      <c r="B7" s="264" t="s">
        <v>6</v>
      </c>
      <c r="C7" s="255" t="s">
        <v>1</v>
      </c>
      <c r="D7" s="263" t="s">
        <v>97</v>
      </c>
      <c r="E7" s="263"/>
      <c r="F7" s="263"/>
      <c r="G7" s="263"/>
      <c r="H7" s="263"/>
      <c r="I7" s="263"/>
      <c r="J7" s="263"/>
      <c r="K7" s="263"/>
      <c r="L7" s="261" t="s">
        <v>49</v>
      </c>
    </row>
    <row r="8" spans="1:16" s="38" customFormat="1" ht="19.5" customHeight="1">
      <c r="A8" s="265"/>
      <c r="B8" s="265"/>
      <c r="C8" s="256"/>
      <c r="D8" s="120" t="s">
        <v>106</v>
      </c>
      <c r="E8" s="120" t="s">
        <v>107</v>
      </c>
      <c r="F8" s="120" t="s">
        <v>108</v>
      </c>
      <c r="G8" s="120" t="s">
        <v>109</v>
      </c>
      <c r="H8" s="120" t="s">
        <v>110</v>
      </c>
      <c r="I8" s="120" t="s">
        <v>111</v>
      </c>
      <c r="J8" s="120" t="s">
        <v>113</v>
      </c>
      <c r="K8" s="120" t="s">
        <v>114</v>
      </c>
      <c r="L8" s="261"/>
    </row>
    <row r="9" spans="1:16" s="38" customFormat="1" ht="20.25">
      <c r="A9" s="265"/>
      <c r="B9" s="265"/>
      <c r="C9" s="84" t="s">
        <v>72</v>
      </c>
      <c r="D9" s="121">
        <v>5</v>
      </c>
      <c r="E9" s="121">
        <v>5</v>
      </c>
      <c r="F9" s="121">
        <v>5</v>
      </c>
      <c r="G9" s="121">
        <v>5</v>
      </c>
      <c r="H9" s="121">
        <v>5</v>
      </c>
      <c r="I9" s="121">
        <v>5</v>
      </c>
      <c r="J9" s="121">
        <v>5</v>
      </c>
      <c r="K9" s="121">
        <v>5</v>
      </c>
      <c r="L9" s="242">
        <f>D9+E9+F9+G9+H9+I9+J9+K9</f>
        <v>40</v>
      </c>
    </row>
    <row r="10" spans="1:16" s="38" customFormat="1" ht="21" thickBot="1">
      <c r="A10" s="266"/>
      <c r="B10" s="267"/>
      <c r="C10" s="84" t="s">
        <v>112</v>
      </c>
      <c r="D10" s="119" t="s">
        <v>2</v>
      </c>
      <c r="E10" s="119" t="s">
        <v>3</v>
      </c>
      <c r="F10" s="119" t="s">
        <v>3</v>
      </c>
      <c r="G10" s="119" t="s">
        <v>3</v>
      </c>
      <c r="H10" s="119" t="s">
        <v>4</v>
      </c>
      <c r="I10" s="119" t="s">
        <v>4</v>
      </c>
      <c r="J10" s="119" t="s">
        <v>10</v>
      </c>
      <c r="K10" s="119" t="s">
        <v>10</v>
      </c>
      <c r="L10" s="243"/>
    </row>
    <row r="11" spans="1:16" s="38" customFormat="1" ht="18" customHeight="1" thickBot="1">
      <c r="A11" s="69">
        <v>1</v>
      </c>
      <c r="B11" s="151">
        <v>22101</v>
      </c>
      <c r="C11" s="152" t="s">
        <v>124</v>
      </c>
      <c r="D11" s="171">
        <v>4</v>
      </c>
      <c r="E11" s="171">
        <v>5</v>
      </c>
      <c r="F11" s="171">
        <v>5</v>
      </c>
      <c r="G11" s="172">
        <v>5</v>
      </c>
      <c r="H11" s="171">
        <v>5</v>
      </c>
      <c r="I11" s="171">
        <v>5</v>
      </c>
      <c r="J11" s="171">
        <v>4</v>
      </c>
      <c r="K11" s="172">
        <v>4</v>
      </c>
      <c r="L11" s="34">
        <f>IF(E11&lt;&gt;"AB",SUM(D11:K11),"AB")</f>
        <v>37</v>
      </c>
    </row>
    <row r="12" spans="1:16" ht="18" customHeight="1" thickBot="1">
      <c r="A12" s="69">
        <v>2</v>
      </c>
      <c r="B12" s="151">
        <v>22102</v>
      </c>
      <c r="C12" s="152" t="s">
        <v>125</v>
      </c>
      <c r="D12" s="171">
        <v>5</v>
      </c>
      <c r="E12" s="171">
        <v>5</v>
      </c>
      <c r="F12" s="171">
        <v>3</v>
      </c>
      <c r="G12" s="172">
        <v>3</v>
      </c>
      <c r="H12" s="171">
        <v>3</v>
      </c>
      <c r="I12" s="171">
        <v>3</v>
      </c>
      <c r="J12" s="171">
        <v>3</v>
      </c>
      <c r="K12" s="172">
        <v>4</v>
      </c>
      <c r="L12" s="34">
        <f t="shared" ref="L12:L75" si="0">IF(E12&lt;&gt;"AB",SUM(D12:K12),"AB")</f>
        <v>29</v>
      </c>
    </row>
    <row r="13" spans="1:16" ht="18" customHeight="1" thickBot="1">
      <c r="A13" s="69">
        <v>3</v>
      </c>
      <c r="B13" s="151">
        <v>22103</v>
      </c>
      <c r="C13" s="152" t="s">
        <v>126</v>
      </c>
      <c r="D13" s="171">
        <v>4</v>
      </c>
      <c r="E13" s="171">
        <v>5</v>
      </c>
      <c r="F13" s="171">
        <v>3</v>
      </c>
      <c r="G13" s="172">
        <v>3</v>
      </c>
      <c r="H13" s="171">
        <v>3</v>
      </c>
      <c r="I13" s="171">
        <v>3</v>
      </c>
      <c r="J13" s="171">
        <v>4</v>
      </c>
      <c r="K13" s="172">
        <v>3</v>
      </c>
      <c r="L13" s="34">
        <f t="shared" si="0"/>
        <v>28</v>
      </c>
    </row>
    <row r="14" spans="1:16" ht="18" customHeight="1" thickBot="1">
      <c r="A14" s="69">
        <v>4</v>
      </c>
      <c r="B14" s="151">
        <v>22104</v>
      </c>
      <c r="C14" s="152" t="s">
        <v>127</v>
      </c>
      <c r="D14" s="171">
        <v>3</v>
      </c>
      <c r="E14" s="171">
        <v>3</v>
      </c>
      <c r="F14" s="171">
        <v>5</v>
      </c>
      <c r="G14" s="172">
        <v>5</v>
      </c>
      <c r="H14" s="171">
        <v>5</v>
      </c>
      <c r="I14" s="171">
        <v>4</v>
      </c>
      <c r="J14" s="171">
        <v>3</v>
      </c>
      <c r="K14" s="172">
        <v>4</v>
      </c>
      <c r="L14" s="34">
        <f t="shared" si="0"/>
        <v>32</v>
      </c>
    </row>
    <row r="15" spans="1:16" ht="18" customHeight="1" thickBot="1">
      <c r="A15" s="69">
        <v>5</v>
      </c>
      <c r="B15" s="151">
        <v>22105</v>
      </c>
      <c r="C15" s="152" t="s">
        <v>128</v>
      </c>
      <c r="D15" s="171">
        <v>5</v>
      </c>
      <c r="E15" s="171">
        <v>5</v>
      </c>
      <c r="F15" s="171">
        <v>5</v>
      </c>
      <c r="G15" s="172">
        <v>5</v>
      </c>
      <c r="H15" s="171">
        <v>5</v>
      </c>
      <c r="I15" s="171">
        <v>3</v>
      </c>
      <c r="J15" s="171">
        <v>3</v>
      </c>
      <c r="K15" s="172">
        <v>3</v>
      </c>
      <c r="L15" s="34">
        <f t="shared" si="0"/>
        <v>34</v>
      </c>
    </row>
    <row r="16" spans="1:16" ht="18" customHeight="1" thickBot="1">
      <c r="A16" s="69">
        <v>6</v>
      </c>
      <c r="B16" s="151">
        <v>22106</v>
      </c>
      <c r="C16" s="152" t="s">
        <v>129</v>
      </c>
      <c r="D16" s="171">
        <v>4</v>
      </c>
      <c r="E16" s="171">
        <v>4</v>
      </c>
      <c r="F16" s="171">
        <v>4</v>
      </c>
      <c r="G16" s="172">
        <v>3</v>
      </c>
      <c r="H16" s="171">
        <v>3</v>
      </c>
      <c r="I16" s="171">
        <v>4</v>
      </c>
      <c r="J16" s="171">
        <v>5</v>
      </c>
      <c r="K16" s="172">
        <v>3</v>
      </c>
      <c r="L16" s="34">
        <f t="shared" si="0"/>
        <v>30</v>
      </c>
    </row>
    <row r="17" spans="1:12" ht="18" customHeight="1" thickBot="1">
      <c r="A17" s="69">
        <v>7</v>
      </c>
      <c r="B17" s="151">
        <v>22107</v>
      </c>
      <c r="C17" s="152" t="s">
        <v>130</v>
      </c>
      <c r="D17" s="171">
        <v>3</v>
      </c>
      <c r="E17" s="171">
        <v>3</v>
      </c>
      <c r="F17" s="171">
        <v>3</v>
      </c>
      <c r="G17" s="172">
        <v>5</v>
      </c>
      <c r="H17" s="171">
        <v>5</v>
      </c>
      <c r="I17" s="171">
        <v>4</v>
      </c>
      <c r="J17" s="171">
        <v>3</v>
      </c>
      <c r="K17" s="172">
        <v>3</v>
      </c>
      <c r="L17" s="34">
        <f t="shared" si="0"/>
        <v>29</v>
      </c>
    </row>
    <row r="18" spans="1:12" ht="18" customHeight="1" thickBot="1">
      <c r="A18" s="69">
        <v>8</v>
      </c>
      <c r="B18" s="151">
        <v>22108</v>
      </c>
      <c r="C18" s="152" t="s">
        <v>131</v>
      </c>
      <c r="D18" s="171">
        <v>5</v>
      </c>
      <c r="E18" s="171">
        <v>5</v>
      </c>
      <c r="F18" s="171">
        <v>5</v>
      </c>
      <c r="G18" s="172">
        <v>3</v>
      </c>
      <c r="H18" s="171">
        <v>3</v>
      </c>
      <c r="I18" s="171">
        <v>5</v>
      </c>
      <c r="J18" s="171">
        <v>5</v>
      </c>
      <c r="K18" s="172">
        <v>3</v>
      </c>
      <c r="L18" s="34">
        <f t="shared" si="0"/>
        <v>34</v>
      </c>
    </row>
    <row r="19" spans="1:12" ht="18" customHeight="1" thickBot="1">
      <c r="A19" s="69">
        <v>9</v>
      </c>
      <c r="B19" s="151">
        <v>22109</v>
      </c>
      <c r="C19" s="152" t="s">
        <v>132</v>
      </c>
      <c r="D19" s="171">
        <v>5</v>
      </c>
      <c r="E19" s="171">
        <v>5</v>
      </c>
      <c r="F19" s="171">
        <v>4</v>
      </c>
      <c r="G19" s="172">
        <v>3</v>
      </c>
      <c r="H19" s="171">
        <v>3</v>
      </c>
      <c r="I19" s="171">
        <v>5</v>
      </c>
      <c r="J19" s="171">
        <v>3</v>
      </c>
      <c r="K19" s="172">
        <v>4</v>
      </c>
      <c r="L19" s="34">
        <f t="shared" si="0"/>
        <v>32</v>
      </c>
    </row>
    <row r="20" spans="1:12" ht="18" customHeight="1" thickBot="1">
      <c r="A20" s="69">
        <v>10</v>
      </c>
      <c r="B20" s="151">
        <v>22110</v>
      </c>
      <c r="C20" s="152" t="s">
        <v>133</v>
      </c>
      <c r="D20" s="171">
        <v>5</v>
      </c>
      <c r="E20" s="171">
        <v>5</v>
      </c>
      <c r="F20" s="171">
        <v>5</v>
      </c>
      <c r="G20" s="172">
        <v>5</v>
      </c>
      <c r="H20" s="171">
        <v>4</v>
      </c>
      <c r="I20" s="171">
        <v>5</v>
      </c>
      <c r="J20" s="171">
        <v>5</v>
      </c>
      <c r="K20" s="172">
        <v>3</v>
      </c>
      <c r="L20" s="34">
        <f t="shared" si="0"/>
        <v>37</v>
      </c>
    </row>
    <row r="21" spans="1:12" ht="18" customHeight="1" thickBot="1">
      <c r="A21" s="69">
        <v>11</v>
      </c>
      <c r="B21" s="151">
        <v>22111</v>
      </c>
      <c r="C21" s="152" t="s">
        <v>134</v>
      </c>
      <c r="D21" s="171">
        <v>3</v>
      </c>
      <c r="E21" s="171">
        <v>4</v>
      </c>
      <c r="F21" s="171">
        <v>4</v>
      </c>
      <c r="G21" s="172">
        <v>3</v>
      </c>
      <c r="H21" s="171">
        <v>5</v>
      </c>
      <c r="I21" s="171">
        <v>4</v>
      </c>
      <c r="J21" s="171">
        <v>3</v>
      </c>
      <c r="K21" s="172">
        <v>3</v>
      </c>
      <c r="L21" s="34">
        <f t="shared" si="0"/>
        <v>29</v>
      </c>
    </row>
    <row r="22" spans="1:12" ht="18" customHeight="1" thickBot="1">
      <c r="A22" s="69">
        <v>12</v>
      </c>
      <c r="B22" s="151">
        <v>22112</v>
      </c>
      <c r="C22" s="152" t="s">
        <v>135</v>
      </c>
      <c r="D22" s="171">
        <v>3</v>
      </c>
      <c r="E22" s="171">
        <v>3</v>
      </c>
      <c r="F22" s="171">
        <v>4</v>
      </c>
      <c r="G22" s="172">
        <v>3</v>
      </c>
      <c r="H22" s="171">
        <v>4</v>
      </c>
      <c r="I22" s="171">
        <v>5</v>
      </c>
      <c r="J22" s="171">
        <v>3</v>
      </c>
      <c r="K22" s="172">
        <v>3</v>
      </c>
      <c r="L22" s="34">
        <f t="shared" si="0"/>
        <v>28</v>
      </c>
    </row>
    <row r="23" spans="1:12" ht="18" customHeight="1" thickBot="1">
      <c r="A23" s="69">
        <v>13</v>
      </c>
      <c r="B23" s="151">
        <v>22113</v>
      </c>
      <c r="C23" s="152" t="s">
        <v>136</v>
      </c>
      <c r="D23" s="171">
        <v>4</v>
      </c>
      <c r="E23" s="171">
        <v>5</v>
      </c>
      <c r="F23" s="171">
        <v>3</v>
      </c>
      <c r="G23" s="172">
        <v>5</v>
      </c>
      <c r="H23" s="171">
        <v>4</v>
      </c>
      <c r="I23" s="171">
        <v>3</v>
      </c>
      <c r="J23" s="171">
        <v>4</v>
      </c>
      <c r="K23" s="172">
        <v>5</v>
      </c>
      <c r="L23" s="34">
        <f t="shared" si="0"/>
        <v>33</v>
      </c>
    </row>
    <row r="24" spans="1:12" ht="18" customHeight="1" thickBot="1">
      <c r="A24" s="69">
        <v>14</v>
      </c>
      <c r="B24" s="151">
        <v>22114</v>
      </c>
      <c r="C24" s="152" t="s">
        <v>137</v>
      </c>
      <c r="D24" s="171">
        <v>4</v>
      </c>
      <c r="E24" s="171">
        <v>3</v>
      </c>
      <c r="F24" s="171">
        <v>3</v>
      </c>
      <c r="G24" s="172">
        <v>3</v>
      </c>
      <c r="H24" s="171">
        <v>4</v>
      </c>
      <c r="I24" s="171">
        <v>4</v>
      </c>
      <c r="J24" s="171">
        <v>4</v>
      </c>
      <c r="K24" s="172">
        <v>4</v>
      </c>
      <c r="L24" s="34">
        <f t="shared" si="0"/>
        <v>29</v>
      </c>
    </row>
    <row r="25" spans="1:12" ht="18" customHeight="1" thickBot="1">
      <c r="A25" s="69">
        <v>15</v>
      </c>
      <c r="B25" s="151">
        <v>22115</v>
      </c>
      <c r="C25" s="152" t="s">
        <v>138</v>
      </c>
      <c r="D25" s="171">
        <v>3</v>
      </c>
      <c r="E25" s="171">
        <v>5</v>
      </c>
      <c r="F25" s="171">
        <v>5</v>
      </c>
      <c r="G25" s="172">
        <v>4</v>
      </c>
      <c r="H25" s="171">
        <v>5</v>
      </c>
      <c r="I25" s="171">
        <v>3</v>
      </c>
      <c r="J25" s="171">
        <v>3</v>
      </c>
      <c r="K25" s="172">
        <v>5</v>
      </c>
      <c r="L25" s="34">
        <f t="shared" si="0"/>
        <v>33</v>
      </c>
    </row>
    <row r="26" spans="1:12" ht="18" customHeight="1" thickBot="1">
      <c r="A26" s="69">
        <v>16</v>
      </c>
      <c r="B26" s="151">
        <v>22116</v>
      </c>
      <c r="C26" s="152" t="s">
        <v>139</v>
      </c>
      <c r="D26" s="171">
        <v>5</v>
      </c>
      <c r="E26" s="171">
        <v>5</v>
      </c>
      <c r="F26" s="171">
        <v>4</v>
      </c>
      <c r="G26" s="172">
        <v>3</v>
      </c>
      <c r="H26" s="171">
        <v>3</v>
      </c>
      <c r="I26" s="171">
        <v>4</v>
      </c>
      <c r="J26" s="171">
        <v>4</v>
      </c>
      <c r="K26" s="172">
        <v>4</v>
      </c>
      <c r="L26" s="34">
        <f t="shared" si="0"/>
        <v>32</v>
      </c>
    </row>
    <row r="27" spans="1:12" ht="18" customHeight="1" thickBot="1">
      <c r="A27" s="69">
        <v>17</v>
      </c>
      <c r="B27" s="151">
        <v>22117</v>
      </c>
      <c r="C27" s="152" t="s">
        <v>140</v>
      </c>
      <c r="D27" s="171">
        <v>3</v>
      </c>
      <c r="E27" s="171">
        <v>5</v>
      </c>
      <c r="F27" s="171">
        <v>5</v>
      </c>
      <c r="G27" s="172">
        <v>3</v>
      </c>
      <c r="H27" s="171">
        <v>3</v>
      </c>
      <c r="I27" s="171">
        <v>5</v>
      </c>
      <c r="J27" s="171">
        <v>4</v>
      </c>
      <c r="K27" s="172">
        <v>4</v>
      </c>
      <c r="L27" s="34">
        <f t="shared" si="0"/>
        <v>32</v>
      </c>
    </row>
    <row r="28" spans="1:12" ht="18" customHeight="1" thickBot="1">
      <c r="A28" s="69">
        <v>18</v>
      </c>
      <c r="B28" s="151">
        <v>22118</v>
      </c>
      <c r="C28" s="152" t="s">
        <v>141</v>
      </c>
      <c r="D28" s="171">
        <v>4</v>
      </c>
      <c r="E28" s="171">
        <v>5</v>
      </c>
      <c r="F28" s="171">
        <v>3</v>
      </c>
      <c r="G28" s="172">
        <v>3</v>
      </c>
      <c r="H28" s="171">
        <v>5</v>
      </c>
      <c r="I28" s="171">
        <v>5</v>
      </c>
      <c r="J28" s="171">
        <v>3</v>
      </c>
      <c r="K28" s="172">
        <v>5</v>
      </c>
      <c r="L28" s="34">
        <f t="shared" si="0"/>
        <v>33</v>
      </c>
    </row>
    <row r="29" spans="1:12" ht="18" customHeight="1" thickBot="1">
      <c r="A29" s="69">
        <v>19</v>
      </c>
      <c r="B29" s="151">
        <v>22119</v>
      </c>
      <c r="C29" s="152" t="s">
        <v>142</v>
      </c>
      <c r="D29" s="171">
        <v>3</v>
      </c>
      <c r="E29" s="171">
        <v>3</v>
      </c>
      <c r="F29" s="171">
        <v>5</v>
      </c>
      <c r="G29" s="172">
        <v>5</v>
      </c>
      <c r="H29" s="171">
        <v>3</v>
      </c>
      <c r="I29" s="171">
        <v>4</v>
      </c>
      <c r="J29" s="171">
        <v>4</v>
      </c>
      <c r="K29" s="172">
        <v>3</v>
      </c>
      <c r="L29" s="34">
        <f t="shared" si="0"/>
        <v>30</v>
      </c>
    </row>
    <row r="30" spans="1:12" ht="18" customHeight="1" thickBot="1">
      <c r="A30" s="69">
        <v>20</v>
      </c>
      <c r="B30" s="151">
        <v>22120</v>
      </c>
      <c r="C30" s="152" t="s">
        <v>143</v>
      </c>
      <c r="D30" s="171">
        <v>2</v>
      </c>
      <c r="E30" s="171">
        <v>3</v>
      </c>
      <c r="F30" s="171">
        <v>2</v>
      </c>
      <c r="G30" s="172">
        <v>3</v>
      </c>
      <c r="H30" s="171">
        <v>2</v>
      </c>
      <c r="I30" s="171">
        <v>4</v>
      </c>
      <c r="J30" s="171">
        <v>2</v>
      </c>
      <c r="K30" s="172">
        <v>2</v>
      </c>
      <c r="L30" s="34">
        <f t="shared" si="0"/>
        <v>20</v>
      </c>
    </row>
    <row r="31" spans="1:12" ht="18" customHeight="1" thickBot="1">
      <c r="A31" s="69">
        <v>21</v>
      </c>
      <c r="B31" s="151">
        <v>22121</v>
      </c>
      <c r="C31" s="152" t="s">
        <v>144</v>
      </c>
      <c r="D31" s="171">
        <v>4</v>
      </c>
      <c r="E31" s="171">
        <v>5</v>
      </c>
      <c r="F31" s="171">
        <v>5</v>
      </c>
      <c r="G31" s="172">
        <v>5</v>
      </c>
      <c r="H31" s="171">
        <v>5</v>
      </c>
      <c r="I31" s="171">
        <v>3</v>
      </c>
      <c r="J31" s="171">
        <v>4</v>
      </c>
      <c r="K31" s="172">
        <v>5</v>
      </c>
      <c r="L31" s="34">
        <f t="shared" si="0"/>
        <v>36</v>
      </c>
    </row>
    <row r="32" spans="1:12" ht="18" customHeight="1" thickBot="1">
      <c r="A32" s="69">
        <v>22</v>
      </c>
      <c r="B32" s="151">
        <v>22122</v>
      </c>
      <c r="C32" s="152" t="s">
        <v>145</v>
      </c>
      <c r="D32" s="171">
        <v>4</v>
      </c>
      <c r="E32" s="171">
        <v>5</v>
      </c>
      <c r="F32" s="171">
        <v>3</v>
      </c>
      <c r="G32" s="172">
        <v>4</v>
      </c>
      <c r="H32" s="171">
        <v>5</v>
      </c>
      <c r="I32" s="171">
        <v>3</v>
      </c>
      <c r="J32" s="171">
        <v>3</v>
      </c>
      <c r="K32" s="172">
        <v>4</v>
      </c>
      <c r="L32" s="34">
        <f t="shared" si="0"/>
        <v>31</v>
      </c>
    </row>
    <row r="33" spans="1:12" ht="18" customHeight="1" thickBot="1">
      <c r="A33" s="69">
        <v>23</v>
      </c>
      <c r="B33" s="151">
        <v>22123</v>
      </c>
      <c r="C33" s="152" t="s">
        <v>146</v>
      </c>
      <c r="D33" s="171">
        <v>5</v>
      </c>
      <c r="E33" s="171">
        <v>3</v>
      </c>
      <c r="F33" s="171">
        <v>4</v>
      </c>
      <c r="G33" s="172">
        <v>4</v>
      </c>
      <c r="H33" s="171">
        <v>3</v>
      </c>
      <c r="I33" s="171">
        <v>4</v>
      </c>
      <c r="J33" s="171">
        <v>4</v>
      </c>
      <c r="K33" s="172">
        <v>5</v>
      </c>
      <c r="L33" s="34">
        <f t="shared" si="0"/>
        <v>32</v>
      </c>
    </row>
    <row r="34" spans="1:12" ht="18" customHeight="1" thickBot="1">
      <c r="A34" s="69">
        <v>24</v>
      </c>
      <c r="B34" s="151">
        <v>22124</v>
      </c>
      <c r="C34" s="152" t="s">
        <v>147</v>
      </c>
      <c r="D34" s="171">
        <v>4</v>
      </c>
      <c r="E34" s="171">
        <v>4</v>
      </c>
      <c r="F34" s="171">
        <v>4</v>
      </c>
      <c r="G34" s="172">
        <v>3</v>
      </c>
      <c r="H34" s="171">
        <v>4</v>
      </c>
      <c r="I34" s="171">
        <v>3</v>
      </c>
      <c r="J34" s="171">
        <v>3</v>
      </c>
      <c r="K34" s="172">
        <v>4</v>
      </c>
      <c r="L34" s="34">
        <f t="shared" si="0"/>
        <v>29</v>
      </c>
    </row>
    <row r="35" spans="1:12" ht="18" customHeight="1" thickBot="1">
      <c r="A35" s="69">
        <v>25</v>
      </c>
      <c r="B35" s="151">
        <v>22125</v>
      </c>
      <c r="C35" s="152" t="s">
        <v>148</v>
      </c>
      <c r="D35" s="171">
        <v>5</v>
      </c>
      <c r="E35" s="171">
        <v>3</v>
      </c>
      <c r="F35" s="171">
        <v>4</v>
      </c>
      <c r="G35" s="172">
        <v>5</v>
      </c>
      <c r="H35" s="171">
        <v>3</v>
      </c>
      <c r="I35" s="171">
        <v>4</v>
      </c>
      <c r="J35" s="171">
        <v>3</v>
      </c>
      <c r="K35" s="172">
        <v>5</v>
      </c>
      <c r="L35" s="34">
        <f t="shared" si="0"/>
        <v>32</v>
      </c>
    </row>
    <row r="36" spans="1:12" ht="18" customHeight="1" thickBot="1">
      <c r="A36" s="69">
        <v>26</v>
      </c>
      <c r="B36" s="151">
        <v>22126</v>
      </c>
      <c r="C36" s="152" t="s">
        <v>149</v>
      </c>
      <c r="D36" s="171">
        <v>4</v>
      </c>
      <c r="E36" s="171">
        <v>3</v>
      </c>
      <c r="F36" s="171">
        <v>4</v>
      </c>
      <c r="G36" s="172">
        <v>4</v>
      </c>
      <c r="H36" s="171">
        <v>5</v>
      </c>
      <c r="I36" s="171">
        <v>4</v>
      </c>
      <c r="J36" s="171">
        <v>5</v>
      </c>
      <c r="K36" s="172">
        <v>3</v>
      </c>
      <c r="L36" s="34">
        <f t="shared" si="0"/>
        <v>32</v>
      </c>
    </row>
    <row r="37" spans="1:12" ht="18" customHeight="1" thickBot="1">
      <c r="A37" s="69">
        <v>27</v>
      </c>
      <c r="B37" s="151">
        <v>22127</v>
      </c>
      <c r="C37" s="152" t="s">
        <v>150</v>
      </c>
      <c r="D37" s="171">
        <v>4</v>
      </c>
      <c r="E37" s="171">
        <v>4</v>
      </c>
      <c r="F37" s="171">
        <v>4</v>
      </c>
      <c r="G37" s="172">
        <v>4</v>
      </c>
      <c r="H37" s="171">
        <v>3</v>
      </c>
      <c r="I37" s="171">
        <v>4</v>
      </c>
      <c r="J37" s="171">
        <v>3</v>
      </c>
      <c r="K37" s="172">
        <v>3</v>
      </c>
      <c r="L37" s="34">
        <f t="shared" si="0"/>
        <v>29</v>
      </c>
    </row>
    <row r="38" spans="1:12" ht="18" customHeight="1" thickBot="1">
      <c r="A38" s="69">
        <v>28</v>
      </c>
      <c r="B38" s="151">
        <v>22128</v>
      </c>
      <c r="C38" s="152" t="s">
        <v>151</v>
      </c>
      <c r="D38" s="171">
        <v>3</v>
      </c>
      <c r="E38" s="171">
        <v>5</v>
      </c>
      <c r="F38" s="171">
        <v>5</v>
      </c>
      <c r="G38" s="172">
        <v>3</v>
      </c>
      <c r="H38" s="171">
        <v>5</v>
      </c>
      <c r="I38" s="171">
        <v>3</v>
      </c>
      <c r="J38" s="171">
        <v>5</v>
      </c>
      <c r="K38" s="172">
        <v>3</v>
      </c>
      <c r="L38" s="34">
        <f t="shared" si="0"/>
        <v>32</v>
      </c>
    </row>
    <row r="39" spans="1:12" ht="18" customHeight="1" thickBot="1">
      <c r="A39" s="69">
        <v>29</v>
      </c>
      <c r="B39" s="151">
        <v>22129</v>
      </c>
      <c r="C39" s="152" t="s">
        <v>152</v>
      </c>
      <c r="D39" s="171">
        <v>5</v>
      </c>
      <c r="E39" s="171">
        <v>5</v>
      </c>
      <c r="F39" s="171">
        <v>4</v>
      </c>
      <c r="G39" s="172">
        <v>4</v>
      </c>
      <c r="H39" s="171">
        <v>3</v>
      </c>
      <c r="I39" s="171">
        <v>4</v>
      </c>
      <c r="J39" s="171">
        <v>5</v>
      </c>
      <c r="K39" s="172">
        <v>4</v>
      </c>
      <c r="L39" s="34">
        <f t="shared" si="0"/>
        <v>34</v>
      </c>
    </row>
    <row r="40" spans="1:12" ht="18" customHeight="1" thickBot="1">
      <c r="A40" s="69">
        <v>30</v>
      </c>
      <c r="B40" s="151">
        <v>22130</v>
      </c>
      <c r="C40" s="152" t="s">
        <v>153</v>
      </c>
      <c r="D40" s="171">
        <v>5</v>
      </c>
      <c r="E40" s="171">
        <v>5</v>
      </c>
      <c r="F40" s="171">
        <v>4</v>
      </c>
      <c r="G40" s="172">
        <v>4</v>
      </c>
      <c r="H40" s="171">
        <v>5</v>
      </c>
      <c r="I40" s="171">
        <v>4</v>
      </c>
      <c r="J40" s="171">
        <v>3</v>
      </c>
      <c r="K40" s="172">
        <v>5</v>
      </c>
      <c r="L40" s="34">
        <f t="shared" si="0"/>
        <v>35</v>
      </c>
    </row>
    <row r="41" spans="1:12" ht="18" customHeight="1" thickBot="1">
      <c r="A41" s="69">
        <v>31</v>
      </c>
      <c r="B41" s="151">
        <v>22131</v>
      </c>
      <c r="C41" s="152" t="s">
        <v>154</v>
      </c>
      <c r="D41" s="171">
        <v>4</v>
      </c>
      <c r="E41" s="171">
        <v>5</v>
      </c>
      <c r="F41" s="171">
        <v>3</v>
      </c>
      <c r="G41" s="172">
        <v>5</v>
      </c>
      <c r="H41" s="171">
        <v>3</v>
      </c>
      <c r="I41" s="171">
        <v>5</v>
      </c>
      <c r="J41" s="171">
        <v>4</v>
      </c>
      <c r="K41" s="172">
        <v>5</v>
      </c>
      <c r="L41" s="34">
        <f t="shared" si="0"/>
        <v>34</v>
      </c>
    </row>
    <row r="42" spans="1:12" ht="18" customHeight="1" thickBot="1">
      <c r="A42" s="69">
        <v>32</v>
      </c>
      <c r="B42" s="151">
        <v>22132</v>
      </c>
      <c r="C42" s="152" t="s">
        <v>155</v>
      </c>
      <c r="D42" s="171">
        <v>5</v>
      </c>
      <c r="E42" s="171">
        <v>4</v>
      </c>
      <c r="F42" s="171">
        <v>5</v>
      </c>
      <c r="G42" s="172">
        <v>5</v>
      </c>
      <c r="H42" s="171">
        <v>4</v>
      </c>
      <c r="I42" s="171">
        <v>3</v>
      </c>
      <c r="J42" s="171">
        <v>3</v>
      </c>
      <c r="K42" s="172">
        <v>5</v>
      </c>
      <c r="L42" s="34">
        <f t="shared" si="0"/>
        <v>34</v>
      </c>
    </row>
    <row r="43" spans="1:12" ht="18" customHeight="1" thickBot="1">
      <c r="A43" s="69">
        <v>33</v>
      </c>
      <c r="B43" s="151">
        <v>22133</v>
      </c>
      <c r="C43" s="152" t="s">
        <v>156</v>
      </c>
      <c r="D43" s="171">
        <v>4</v>
      </c>
      <c r="E43" s="171">
        <v>5</v>
      </c>
      <c r="F43" s="171">
        <v>4</v>
      </c>
      <c r="G43" s="172">
        <v>4</v>
      </c>
      <c r="H43" s="171">
        <v>4</v>
      </c>
      <c r="I43" s="171">
        <v>4</v>
      </c>
      <c r="J43" s="171">
        <v>5</v>
      </c>
      <c r="K43" s="172">
        <v>3</v>
      </c>
      <c r="L43" s="34">
        <f t="shared" si="0"/>
        <v>33</v>
      </c>
    </row>
    <row r="44" spans="1:12" ht="18" customHeight="1" thickBot="1">
      <c r="A44" s="69">
        <v>34</v>
      </c>
      <c r="B44" s="151">
        <v>22134</v>
      </c>
      <c r="C44" s="152" t="s">
        <v>157</v>
      </c>
      <c r="D44" s="171">
        <v>5</v>
      </c>
      <c r="E44" s="171">
        <v>3</v>
      </c>
      <c r="F44" s="171">
        <v>5</v>
      </c>
      <c r="G44" s="172">
        <v>3</v>
      </c>
      <c r="H44" s="171">
        <v>4</v>
      </c>
      <c r="I44" s="171">
        <v>5</v>
      </c>
      <c r="J44" s="171">
        <v>4</v>
      </c>
      <c r="K44" s="172">
        <v>4</v>
      </c>
      <c r="L44" s="34">
        <f t="shared" si="0"/>
        <v>33</v>
      </c>
    </row>
    <row r="45" spans="1:12" ht="18" customHeight="1" thickBot="1">
      <c r="A45" s="69">
        <v>35</v>
      </c>
      <c r="B45" s="151">
        <v>22135</v>
      </c>
      <c r="C45" s="152" t="s">
        <v>158</v>
      </c>
      <c r="D45" s="171">
        <v>5</v>
      </c>
      <c r="E45" s="171">
        <v>4</v>
      </c>
      <c r="F45" s="171">
        <v>3</v>
      </c>
      <c r="G45" s="172">
        <v>3</v>
      </c>
      <c r="H45" s="171">
        <v>3</v>
      </c>
      <c r="I45" s="171">
        <v>5</v>
      </c>
      <c r="J45" s="171">
        <v>5</v>
      </c>
      <c r="K45" s="172">
        <v>4</v>
      </c>
      <c r="L45" s="34">
        <f t="shared" si="0"/>
        <v>32</v>
      </c>
    </row>
    <row r="46" spans="1:12" ht="18" customHeight="1" thickBot="1">
      <c r="A46" s="69">
        <v>36</v>
      </c>
      <c r="B46" s="151">
        <v>22136</v>
      </c>
      <c r="C46" s="152" t="s">
        <v>159</v>
      </c>
      <c r="D46" s="171">
        <v>3</v>
      </c>
      <c r="E46" s="171">
        <v>4</v>
      </c>
      <c r="F46" s="171">
        <v>4</v>
      </c>
      <c r="G46" s="172">
        <v>3</v>
      </c>
      <c r="H46" s="171">
        <v>5</v>
      </c>
      <c r="I46" s="171">
        <v>4</v>
      </c>
      <c r="J46" s="171">
        <v>4</v>
      </c>
      <c r="K46" s="172">
        <v>4</v>
      </c>
      <c r="L46" s="34">
        <f t="shared" si="0"/>
        <v>31</v>
      </c>
    </row>
    <row r="47" spans="1:12" ht="18" customHeight="1" thickBot="1">
      <c r="A47" s="69">
        <v>37</v>
      </c>
      <c r="B47" s="151">
        <v>22137</v>
      </c>
      <c r="C47" s="152" t="s">
        <v>160</v>
      </c>
      <c r="D47" s="171">
        <v>3</v>
      </c>
      <c r="E47" s="171">
        <v>5</v>
      </c>
      <c r="F47" s="171">
        <v>3</v>
      </c>
      <c r="G47" s="172">
        <v>3</v>
      </c>
      <c r="H47" s="171">
        <v>5</v>
      </c>
      <c r="I47" s="171">
        <v>5</v>
      </c>
      <c r="J47" s="171">
        <v>5</v>
      </c>
      <c r="K47" s="172">
        <v>5</v>
      </c>
      <c r="L47" s="34">
        <f t="shared" si="0"/>
        <v>34</v>
      </c>
    </row>
    <row r="48" spans="1:12" ht="18" customHeight="1" thickBot="1">
      <c r="A48" s="69">
        <v>38</v>
      </c>
      <c r="B48" s="151">
        <v>22138</v>
      </c>
      <c r="C48" s="152" t="s">
        <v>161</v>
      </c>
      <c r="D48" s="171">
        <v>5</v>
      </c>
      <c r="E48" s="171">
        <v>5</v>
      </c>
      <c r="F48" s="171">
        <v>3</v>
      </c>
      <c r="G48" s="172">
        <v>3</v>
      </c>
      <c r="H48" s="171">
        <v>3</v>
      </c>
      <c r="I48" s="171">
        <v>4</v>
      </c>
      <c r="J48" s="171">
        <v>3</v>
      </c>
      <c r="K48" s="172">
        <v>3</v>
      </c>
      <c r="L48" s="34">
        <f t="shared" si="0"/>
        <v>29</v>
      </c>
    </row>
    <row r="49" spans="1:12" ht="18" customHeight="1" thickBot="1">
      <c r="A49" s="69">
        <v>39</v>
      </c>
      <c r="B49" s="151">
        <v>22139</v>
      </c>
      <c r="C49" s="152" t="s">
        <v>162</v>
      </c>
      <c r="D49" s="171">
        <v>5</v>
      </c>
      <c r="E49" s="171">
        <v>4</v>
      </c>
      <c r="F49" s="171">
        <v>4</v>
      </c>
      <c r="G49" s="172">
        <v>4</v>
      </c>
      <c r="H49" s="171">
        <v>5</v>
      </c>
      <c r="I49" s="171">
        <v>4</v>
      </c>
      <c r="J49" s="171">
        <v>4</v>
      </c>
      <c r="K49" s="172">
        <v>4</v>
      </c>
      <c r="L49" s="34">
        <f t="shared" si="0"/>
        <v>34</v>
      </c>
    </row>
    <row r="50" spans="1:12" ht="18" customHeight="1" thickBot="1">
      <c r="A50" s="69">
        <v>40</v>
      </c>
      <c r="B50" s="151">
        <v>22140</v>
      </c>
      <c r="C50" s="152" t="s">
        <v>163</v>
      </c>
      <c r="D50" s="171">
        <v>3</v>
      </c>
      <c r="E50" s="171">
        <v>3</v>
      </c>
      <c r="F50" s="171">
        <v>5</v>
      </c>
      <c r="G50" s="172">
        <v>3</v>
      </c>
      <c r="H50" s="171">
        <v>3</v>
      </c>
      <c r="I50" s="171">
        <v>5</v>
      </c>
      <c r="J50" s="171">
        <v>4</v>
      </c>
      <c r="K50" s="172">
        <v>4</v>
      </c>
      <c r="L50" s="34">
        <f t="shared" si="0"/>
        <v>30</v>
      </c>
    </row>
    <row r="51" spans="1:12" ht="18" customHeight="1" thickBot="1">
      <c r="A51" s="69">
        <v>41</v>
      </c>
      <c r="B51" s="151">
        <v>22141</v>
      </c>
      <c r="C51" s="152" t="s">
        <v>164</v>
      </c>
      <c r="D51" s="171">
        <v>3</v>
      </c>
      <c r="E51" s="171">
        <v>4</v>
      </c>
      <c r="F51" s="171">
        <v>4</v>
      </c>
      <c r="G51" s="172">
        <v>5</v>
      </c>
      <c r="H51" s="171">
        <v>3</v>
      </c>
      <c r="I51" s="171">
        <v>5</v>
      </c>
      <c r="J51" s="171">
        <v>5</v>
      </c>
      <c r="K51" s="172">
        <v>4</v>
      </c>
      <c r="L51" s="34">
        <f t="shared" si="0"/>
        <v>33</v>
      </c>
    </row>
    <row r="52" spans="1:12" ht="18" customHeight="1" thickBot="1">
      <c r="A52" s="69">
        <v>42</v>
      </c>
      <c r="B52" s="151">
        <v>22142</v>
      </c>
      <c r="C52" s="152" t="s">
        <v>165</v>
      </c>
      <c r="D52" s="171">
        <v>5</v>
      </c>
      <c r="E52" s="171">
        <v>4</v>
      </c>
      <c r="F52" s="171">
        <v>5</v>
      </c>
      <c r="G52" s="172">
        <v>5</v>
      </c>
      <c r="H52" s="171">
        <v>4</v>
      </c>
      <c r="I52" s="171">
        <v>5</v>
      </c>
      <c r="J52" s="171">
        <v>5</v>
      </c>
      <c r="K52" s="172">
        <v>3</v>
      </c>
      <c r="L52" s="34">
        <f t="shared" si="0"/>
        <v>36</v>
      </c>
    </row>
    <row r="53" spans="1:12" ht="18" customHeight="1" thickBot="1">
      <c r="A53" s="69">
        <v>43</v>
      </c>
      <c r="B53" s="151">
        <v>22143</v>
      </c>
      <c r="C53" s="152" t="s">
        <v>166</v>
      </c>
      <c r="D53" s="171">
        <v>5</v>
      </c>
      <c r="E53" s="171">
        <v>5</v>
      </c>
      <c r="F53" s="171">
        <v>3</v>
      </c>
      <c r="G53" s="172">
        <v>5</v>
      </c>
      <c r="H53" s="171">
        <v>4</v>
      </c>
      <c r="I53" s="171">
        <v>4</v>
      </c>
      <c r="J53" s="171">
        <v>3</v>
      </c>
      <c r="K53" s="172">
        <v>4</v>
      </c>
      <c r="L53" s="34">
        <f t="shared" si="0"/>
        <v>33</v>
      </c>
    </row>
    <row r="54" spans="1:12" ht="18" customHeight="1" thickBot="1">
      <c r="A54" s="69">
        <v>44</v>
      </c>
      <c r="B54" s="151">
        <v>22144</v>
      </c>
      <c r="C54" s="152" t="s">
        <v>167</v>
      </c>
      <c r="D54" s="171">
        <v>5</v>
      </c>
      <c r="E54" s="171">
        <v>4</v>
      </c>
      <c r="F54" s="171">
        <v>5</v>
      </c>
      <c r="G54" s="172">
        <v>4</v>
      </c>
      <c r="H54" s="171">
        <v>4</v>
      </c>
      <c r="I54" s="171">
        <v>4</v>
      </c>
      <c r="J54" s="171">
        <v>5</v>
      </c>
      <c r="K54" s="172">
        <v>5</v>
      </c>
      <c r="L54" s="34">
        <f t="shared" si="0"/>
        <v>36</v>
      </c>
    </row>
    <row r="55" spans="1:12" ht="18" customHeight="1" thickBot="1">
      <c r="A55" s="69">
        <v>45</v>
      </c>
      <c r="B55" s="151">
        <v>22145</v>
      </c>
      <c r="C55" s="152" t="s">
        <v>168</v>
      </c>
      <c r="D55" s="171">
        <v>3</v>
      </c>
      <c r="E55" s="171">
        <v>3</v>
      </c>
      <c r="F55" s="171">
        <v>4</v>
      </c>
      <c r="G55" s="172">
        <v>5</v>
      </c>
      <c r="H55" s="171">
        <v>5</v>
      </c>
      <c r="I55" s="171">
        <v>4</v>
      </c>
      <c r="J55" s="171">
        <v>3</v>
      </c>
      <c r="K55" s="172">
        <v>5</v>
      </c>
      <c r="L55" s="34">
        <f t="shared" si="0"/>
        <v>32</v>
      </c>
    </row>
    <row r="56" spans="1:12" ht="18" customHeight="1" thickBot="1">
      <c r="A56" s="69">
        <v>46</v>
      </c>
      <c r="B56" s="151">
        <v>22146</v>
      </c>
      <c r="C56" s="152" t="s">
        <v>169</v>
      </c>
      <c r="D56" s="171">
        <v>2</v>
      </c>
      <c r="E56" s="171">
        <v>5</v>
      </c>
      <c r="F56" s="171">
        <v>4</v>
      </c>
      <c r="G56" s="172">
        <v>5</v>
      </c>
      <c r="H56" s="171">
        <v>3</v>
      </c>
      <c r="I56" s="171">
        <v>4</v>
      </c>
      <c r="J56" s="171">
        <v>5</v>
      </c>
      <c r="K56" s="172">
        <v>3</v>
      </c>
      <c r="L56" s="34">
        <f t="shared" si="0"/>
        <v>31</v>
      </c>
    </row>
    <row r="57" spans="1:12" ht="18" customHeight="1" thickBot="1">
      <c r="A57" s="69">
        <v>47</v>
      </c>
      <c r="B57" s="151">
        <v>22147</v>
      </c>
      <c r="C57" s="152" t="s">
        <v>170</v>
      </c>
      <c r="D57" s="171">
        <v>5</v>
      </c>
      <c r="E57" s="171">
        <v>4</v>
      </c>
      <c r="F57" s="171">
        <v>5</v>
      </c>
      <c r="G57" s="172">
        <v>4</v>
      </c>
      <c r="H57" s="171">
        <v>3</v>
      </c>
      <c r="I57" s="171">
        <v>3</v>
      </c>
      <c r="J57" s="171">
        <v>3</v>
      </c>
      <c r="K57" s="172">
        <v>4</v>
      </c>
      <c r="L57" s="34">
        <f t="shared" si="0"/>
        <v>31</v>
      </c>
    </row>
    <row r="58" spans="1:12" ht="18" customHeight="1" thickBot="1">
      <c r="A58" s="69">
        <v>48</v>
      </c>
      <c r="B58" s="151">
        <v>22148</v>
      </c>
      <c r="C58" s="152" t="s">
        <v>171</v>
      </c>
      <c r="D58" s="171">
        <v>3</v>
      </c>
      <c r="E58" s="171">
        <v>3</v>
      </c>
      <c r="F58" s="171">
        <v>5</v>
      </c>
      <c r="G58" s="172">
        <v>5</v>
      </c>
      <c r="H58" s="171">
        <v>5</v>
      </c>
      <c r="I58" s="171">
        <v>5</v>
      </c>
      <c r="J58" s="171">
        <v>5</v>
      </c>
      <c r="K58" s="172">
        <v>5</v>
      </c>
      <c r="L58" s="34">
        <f t="shared" si="0"/>
        <v>36</v>
      </c>
    </row>
    <row r="59" spans="1:12" ht="18" customHeight="1" thickBot="1">
      <c r="A59" s="69">
        <v>49</v>
      </c>
      <c r="B59" s="151">
        <v>22149</v>
      </c>
      <c r="C59" s="152" t="s">
        <v>172</v>
      </c>
      <c r="D59" s="171">
        <v>5</v>
      </c>
      <c r="E59" s="171">
        <v>5</v>
      </c>
      <c r="F59" s="171">
        <v>5</v>
      </c>
      <c r="G59" s="172">
        <v>2</v>
      </c>
      <c r="H59" s="171">
        <v>5</v>
      </c>
      <c r="I59" s="171">
        <v>3</v>
      </c>
      <c r="J59" s="171">
        <v>4</v>
      </c>
      <c r="K59" s="172">
        <v>5</v>
      </c>
      <c r="L59" s="34">
        <f t="shared" si="0"/>
        <v>34</v>
      </c>
    </row>
    <row r="60" spans="1:12" ht="18" customHeight="1" thickBot="1">
      <c r="A60" s="69">
        <v>50</v>
      </c>
      <c r="B60" s="151">
        <v>22150</v>
      </c>
      <c r="C60" s="152" t="s">
        <v>173</v>
      </c>
      <c r="D60" s="171">
        <v>5</v>
      </c>
      <c r="E60" s="171">
        <v>4</v>
      </c>
      <c r="F60" s="171">
        <v>5</v>
      </c>
      <c r="G60" s="172">
        <v>4</v>
      </c>
      <c r="H60" s="171">
        <v>5</v>
      </c>
      <c r="I60" s="171">
        <v>3</v>
      </c>
      <c r="J60" s="171">
        <v>5</v>
      </c>
      <c r="K60" s="172">
        <v>5</v>
      </c>
      <c r="L60" s="34">
        <f t="shared" si="0"/>
        <v>36</v>
      </c>
    </row>
    <row r="61" spans="1:12" ht="18" customHeight="1" thickBot="1">
      <c r="A61" s="69">
        <v>51</v>
      </c>
      <c r="B61" s="151">
        <v>22151</v>
      </c>
      <c r="C61" s="152" t="s">
        <v>174</v>
      </c>
      <c r="D61" s="171">
        <v>5</v>
      </c>
      <c r="E61" s="171">
        <v>5</v>
      </c>
      <c r="F61" s="171">
        <v>5</v>
      </c>
      <c r="G61" s="172">
        <v>3</v>
      </c>
      <c r="H61" s="171">
        <v>5</v>
      </c>
      <c r="I61" s="171">
        <v>4</v>
      </c>
      <c r="J61" s="171">
        <v>4</v>
      </c>
      <c r="K61" s="172">
        <v>4</v>
      </c>
      <c r="L61" s="34">
        <f t="shared" si="0"/>
        <v>35</v>
      </c>
    </row>
    <row r="62" spans="1:12" ht="18" customHeight="1" thickBot="1">
      <c r="A62" s="69">
        <v>52</v>
      </c>
      <c r="B62" s="151">
        <v>22152</v>
      </c>
      <c r="C62" s="152" t="s">
        <v>175</v>
      </c>
      <c r="D62" s="171">
        <v>4</v>
      </c>
      <c r="E62" s="171">
        <v>5</v>
      </c>
      <c r="F62" s="171">
        <v>4</v>
      </c>
      <c r="G62" s="172">
        <v>4</v>
      </c>
      <c r="H62" s="171">
        <v>3</v>
      </c>
      <c r="I62" s="171">
        <v>3</v>
      </c>
      <c r="J62" s="171">
        <v>5</v>
      </c>
      <c r="K62" s="172">
        <v>5</v>
      </c>
      <c r="L62" s="34">
        <f t="shared" si="0"/>
        <v>33</v>
      </c>
    </row>
    <row r="63" spans="1:12" ht="18" customHeight="1" thickBot="1">
      <c r="A63" s="69">
        <v>53</v>
      </c>
      <c r="B63" s="151">
        <v>22153</v>
      </c>
      <c r="C63" s="152" t="s">
        <v>176</v>
      </c>
      <c r="D63" s="171">
        <v>5</v>
      </c>
      <c r="E63" s="171">
        <v>4</v>
      </c>
      <c r="F63" s="171">
        <v>3</v>
      </c>
      <c r="G63" s="172">
        <v>3</v>
      </c>
      <c r="H63" s="171">
        <v>3</v>
      </c>
      <c r="I63" s="171">
        <v>3</v>
      </c>
      <c r="J63" s="171">
        <v>5</v>
      </c>
      <c r="K63" s="172">
        <v>5</v>
      </c>
      <c r="L63" s="34">
        <f t="shared" si="0"/>
        <v>31</v>
      </c>
    </row>
    <row r="64" spans="1:12" ht="18" customHeight="1" thickBot="1">
      <c r="A64" s="69">
        <v>54</v>
      </c>
      <c r="B64" s="151">
        <v>22154</v>
      </c>
      <c r="C64" s="152" t="s">
        <v>177</v>
      </c>
      <c r="D64" s="171">
        <v>3</v>
      </c>
      <c r="E64" s="171">
        <v>4</v>
      </c>
      <c r="F64" s="171">
        <v>4</v>
      </c>
      <c r="G64" s="172">
        <v>4</v>
      </c>
      <c r="H64" s="171">
        <v>3</v>
      </c>
      <c r="I64" s="171">
        <v>5</v>
      </c>
      <c r="J64" s="171">
        <v>3</v>
      </c>
      <c r="K64" s="172">
        <v>4</v>
      </c>
      <c r="L64" s="34">
        <f t="shared" si="0"/>
        <v>30</v>
      </c>
    </row>
    <row r="65" spans="1:12" ht="18" customHeight="1" thickBot="1">
      <c r="A65" s="69">
        <v>55</v>
      </c>
      <c r="B65" s="151">
        <v>22155</v>
      </c>
      <c r="C65" s="152" t="s">
        <v>178</v>
      </c>
      <c r="D65" s="171">
        <v>3</v>
      </c>
      <c r="E65" s="171">
        <v>4</v>
      </c>
      <c r="F65" s="171">
        <v>3</v>
      </c>
      <c r="G65" s="172">
        <v>5</v>
      </c>
      <c r="H65" s="171">
        <v>5</v>
      </c>
      <c r="I65" s="171">
        <v>4</v>
      </c>
      <c r="J65" s="171">
        <v>5</v>
      </c>
      <c r="K65" s="172">
        <v>4</v>
      </c>
      <c r="L65" s="34">
        <f t="shared" si="0"/>
        <v>33</v>
      </c>
    </row>
    <row r="66" spans="1:12" ht="18" customHeight="1" thickBot="1">
      <c r="A66" s="69">
        <v>56</v>
      </c>
      <c r="B66" s="151">
        <v>22156</v>
      </c>
      <c r="C66" s="152" t="s">
        <v>179</v>
      </c>
      <c r="D66" s="171">
        <v>5</v>
      </c>
      <c r="E66" s="171">
        <v>4</v>
      </c>
      <c r="F66" s="171">
        <v>3</v>
      </c>
      <c r="G66" s="172">
        <v>4</v>
      </c>
      <c r="H66" s="171">
        <v>5</v>
      </c>
      <c r="I66" s="171">
        <v>4</v>
      </c>
      <c r="J66" s="171">
        <v>4</v>
      </c>
      <c r="K66" s="172">
        <v>5</v>
      </c>
      <c r="L66" s="34">
        <f t="shared" si="0"/>
        <v>34</v>
      </c>
    </row>
    <row r="67" spans="1:12" ht="18" customHeight="1" thickBot="1">
      <c r="A67" s="69">
        <v>57</v>
      </c>
      <c r="B67" s="151">
        <v>22157</v>
      </c>
      <c r="C67" s="152" t="s">
        <v>180</v>
      </c>
      <c r="D67" s="171">
        <v>3</v>
      </c>
      <c r="E67" s="171">
        <v>4</v>
      </c>
      <c r="F67" s="171">
        <v>4</v>
      </c>
      <c r="G67" s="172">
        <v>4</v>
      </c>
      <c r="H67" s="171">
        <v>3</v>
      </c>
      <c r="I67" s="171">
        <v>5</v>
      </c>
      <c r="J67" s="171">
        <v>3</v>
      </c>
      <c r="K67" s="172">
        <v>3</v>
      </c>
      <c r="L67" s="34">
        <f t="shared" si="0"/>
        <v>29</v>
      </c>
    </row>
    <row r="68" spans="1:12" ht="18" customHeight="1" thickBot="1">
      <c r="A68" s="69">
        <v>58</v>
      </c>
      <c r="B68" s="151">
        <v>22158</v>
      </c>
      <c r="C68" s="152" t="s">
        <v>181</v>
      </c>
      <c r="D68" s="171">
        <v>4</v>
      </c>
      <c r="E68" s="171">
        <v>4</v>
      </c>
      <c r="F68" s="171">
        <v>4</v>
      </c>
      <c r="G68" s="172">
        <v>3</v>
      </c>
      <c r="H68" s="171">
        <v>3</v>
      </c>
      <c r="I68" s="171">
        <v>3</v>
      </c>
      <c r="J68" s="171">
        <v>5</v>
      </c>
      <c r="K68" s="172">
        <v>5</v>
      </c>
      <c r="L68" s="34">
        <f t="shared" si="0"/>
        <v>31</v>
      </c>
    </row>
    <row r="69" spans="1:12" ht="18" customHeight="1" thickBot="1">
      <c r="A69" s="69">
        <v>59</v>
      </c>
      <c r="B69" s="151">
        <v>22159</v>
      </c>
      <c r="C69" s="152" t="s">
        <v>182</v>
      </c>
      <c r="D69" s="171">
        <v>4</v>
      </c>
      <c r="E69" s="171">
        <v>3</v>
      </c>
      <c r="F69" s="171">
        <v>3</v>
      </c>
      <c r="G69" s="172">
        <v>4</v>
      </c>
      <c r="H69" s="171">
        <v>5</v>
      </c>
      <c r="I69" s="171">
        <v>4</v>
      </c>
      <c r="J69" s="171">
        <v>4</v>
      </c>
      <c r="K69" s="172">
        <v>4</v>
      </c>
      <c r="L69" s="34">
        <f t="shared" si="0"/>
        <v>31</v>
      </c>
    </row>
    <row r="70" spans="1:12" ht="18" customHeight="1" thickBot="1">
      <c r="A70" s="69">
        <v>60</v>
      </c>
      <c r="B70" s="151">
        <v>22160</v>
      </c>
      <c r="C70" s="152" t="s">
        <v>183</v>
      </c>
      <c r="D70" s="171">
        <v>3</v>
      </c>
      <c r="E70" s="171">
        <v>3</v>
      </c>
      <c r="F70" s="171">
        <v>4</v>
      </c>
      <c r="G70" s="172">
        <v>3</v>
      </c>
      <c r="H70" s="171">
        <v>2</v>
      </c>
      <c r="I70" s="171">
        <v>5</v>
      </c>
      <c r="J70" s="171">
        <v>5</v>
      </c>
      <c r="K70" s="172">
        <v>3</v>
      </c>
      <c r="L70" s="34">
        <f t="shared" si="0"/>
        <v>28</v>
      </c>
    </row>
    <row r="71" spans="1:12" ht="18" customHeight="1" thickBot="1">
      <c r="A71" s="69">
        <v>61</v>
      </c>
      <c r="B71" s="151">
        <v>22161</v>
      </c>
      <c r="C71" s="152" t="s">
        <v>184</v>
      </c>
      <c r="D71" s="171">
        <v>5</v>
      </c>
      <c r="E71" s="171">
        <v>5</v>
      </c>
      <c r="F71" s="171">
        <v>5</v>
      </c>
      <c r="G71" s="172">
        <v>5</v>
      </c>
      <c r="H71" s="171">
        <v>4</v>
      </c>
      <c r="I71" s="171">
        <v>4</v>
      </c>
      <c r="J71" s="171">
        <v>5</v>
      </c>
      <c r="K71" s="172">
        <v>5</v>
      </c>
      <c r="L71" s="34">
        <f t="shared" si="0"/>
        <v>38</v>
      </c>
    </row>
    <row r="72" spans="1:12" ht="18" customHeight="1" thickBot="1">
      <c r="A72" s="69">
        <v>62</v>
      </c>
      <c r="B72" s="151">
        <v>22162</v>
      </c>
      <c r="C72" s="152" t="s">
        <v>185</v>
      </c>
      <c r="D72" s="171">
        <v>3</v>
      </c>
      <c r="E72" s="171">
        <v>3</v>
      </c>
      <c r="F72" s="171">
        <v>5</v>
      </c>
      <c r="G72" s="172">
        <v>3</v>
      </c>
      <c r="H72" s="171">
        <v>3</v>
      </c>
      <c r="I72" s="171">
        <v>3</v>
      </c>
      <c r="J72" s="171">
        <v>4</v>
      </c>
      <c r="K72" s="172">
        <v>5</v>
      </c>
      <c r="L72" s="34">
        <f t="shared" si="0"/>
        <v>29</v>
      </c>
    </row>
    <row r="73" spans="1:12" ht="18" customHeight="1" thickBot="1">
      <c r="A73" s="69">
        <v>63</v>
      </c>
      <c r="B73" s="151">
        <v>22163</v>
      </c>
      <c r="C73" s="152" t="s">
        <v>186</v>
      </c>
      <c r="D73" s="171">
        <v>5</v>
      </c>
      <c r="E73" s="171">
        <v>5</v>
      </c>
      <c r="F73" s="171">
        <v>5</v>
      </c>
      <c r="G73" s="172">
        <v>5</v>
      </c>
      <c r="H73" s="171">
        <v>4</v>
      </c>
      <c r="I73" s="171">
        <v>3</v>
      </c>
      <c r="J73" s="171">
        <v>3</v>
      </c>
      <c r="K73" s="172">
        <v>5</v>
      </c>
      <c r="L73" s="34">
        <f t="shared" si="0"/>
        <v>35</v>
      </c>
    </row>
    <row r="74" spans="1:12" ht="18" customHeight="1" thickBot="1">
      <c r="A74" s="69">
        <v>64</v>
      </c>
      <c r="B74" s="151">
        <v>22164</v>
      </c>
      <c r="C74" s="152" t="s">
        <v>187</v>
      </c>
      <c r="D74" s="171">
        <v>4</v>
      </c>
      <c r="E74" s="171">
        <v>5</v>
      </c>
      <c r="F74" s="171">
        <v>4</v>
      </c>
      <c r="G74" s="172">
        <v>5</v>
      </c>
      <c r="H74" s="171">
        <v>5</v>
      </c>
      <c r="I74" s="171">
        <v>4</v>
      </c>
      <c r="J74" s="171">
        <v>5</v>
      </c>
      <c r="K74" s="172">
        <v>4</v>
      </c>
      <c r="L74" s="34">
        <f t="shared" si="0"/>
        <v>36</v>
      </c>
    </row>
    <row r="75" spans="1:12" ht="18" customHeight="1" thickBot="1">
      <c r="A75" s="69">
        <v>65</v>
      </c>
      <c r="B75" s="151">
        <v>22165</v>
      </c>
      <c r="C75" s="152" t="s">
        <v>188</v>
      </c>
      <c r="D75" s="171">
        <v>3</v>
      </c>
      <c r="E75" s="171">
        <v>4</v>
      </c>
      <c r="F75" s="171">
        <v>3</v>
      </c>
      <c r="G75" s="172">
        <v>5</v>
      </c>
      <c r="H75" s="171">
        <v>4</v>
      </c>
      <c r="I75" s="171">
        <v>5</v>
      </c>
      <c r="J75" s="171">
        <v>5</v>
      </c>
      <c r="K75" s="172">
        <v>5</v>
      </c>
      <c r="L75" s="34">
        <f t="shared" si="0"/>
        <v>34</v>
      </c>
    </row>
    <row r="76" spans="1:12" ht="18" customHeight="1" thickBot="1">
      <c r="A76" s="69">
        <v>66</v>
      </c>
      <c r="B76" s="151">
        <v>22166</v>
      </c>
      <c r="C76" s="152" t="s">
        <v>189</v>
      </c>
      <c r="D76" s="171">
        <v>5</v>
      </c>
      <c r="E76" s="171">
        <v>4</v>
      </c>
      <c r="F76" s="171">
        <v>5</v>
      </c>
      <c r="G76" s="172">
        <v>3</v>
      </c>
      <c r="H76" s="171">
        <v>4</v>
      </c>
      <c r="I76" s="171">
        <v>5</v>
      </c>
      <c r="J76" s="171">
        <v>4</v>
      </c>
      <c r="K76" s="172">
        <v>5</v>
      </c>
      <c r="L76" s="34">
        <f t="shared" ref="L76:L118" si="1">IF(E76&lt;&gt;"AB",SUM(D76:K76),"AB")</f>
        <v>35</v>
      </c>
    </row>
    <row r="77" spans="1:12" ht="18" customHeight="1" thickBot="1">
      <c r="A77" s="69">
        <v>67</v>
      </c>
      <c r="B77" s="151">
        <v>22167</v>
      </c>
      <c r="C77" s="152" t="s">
        <v>190</v>
      </c>
      <c r="D77" s="171">
        <v>4</v>
      </c>
      <c r="E77" s="171">
        <v>3</v>
      </c>
      <c r="F77" s="171">
        <v>4</v>
      </c>
      <c r="G77" s="172">
        <v>5</v>
      </c>
      <c r="H77" s="171">
        <v>4</v>
      </c>
      <c r="I77" s="171">
        <v>5</v>
      </c>
      <c r="J77" s="171">
        <v>3</v>
      </c>
      <c r="K77" s="172">
        <v>4</v>
      </c>
      <c r="L77" s="34">
        <f t="shared" si="1"/>
        <v>32</v>
      </c>
    </row>
    <row r="78" spans="1:12" ht="18" customHeight="1" thickBot="1">
      <c r="A78" s="69">
        <v>68</v>
      </c>
      <c r="B78" s="151">
        <v>22168</v>
      </c>
      <c r="C78" s="152" t="s">
        <v>191</v>
      </c>
      <c r="D78" s="171">
        <v>3</v>
      </c>
      <c r="E78" s="171">
        <v>3</v>
      </c>
      <c r="F78" s="171">
        <v>4</v>
      </c>
      <c r="G78" s="172">
        <v>3</v>
      </c>
      <c r="H78" s="171">
        <v>4</v>
      </c>
      <c r="I78" s="171">
        <v>4</v>
      </c>
      <c r="J78" s="171">
        <v>3</v>
      </c>
      <c r="K78" s="172">
        <v>4</v>
      </c>
      <c r="L78" s="34">
        <f t="shared" si="1"/>
        <v>28</v>
      </c>
    </row>
    <row r="79" spans="1:12" ht="18" customHeight="1" thickBot="1">
      <c r="A79" s="69">
        <v>69</v>
      </c>
      <c r="B79" s="151">
        <v>22201</v>
      </c>
      <c r="C79" s="152" t="s">
        <v>192</v>
      </c>
      <c r="D79" s="171">
        <v>5</v>
      </c>
      <c r="E79" s="171">
        <v>4</v>
      </c>
      <c r="F79" s="171">
        <v>3</v>
      </c>
      <c r="G79" s="172">
        <v>5</v>
      </c>
      <c r="H79" s="171">
        <v>3</v>
      </c>
      <c r="I79" s="171">
        <v>5</v>
      </c>
      <c r="J79" s="171">
        <v>4</v>
      </c>
      <c r="K79" s="172">
        <v>3</v>
      </c>
      <c r="L79" s="34">
        <f t="shared" si="1"/>
        <v>32</v>
      </c>
    </row>
    <row r="80" spans="1:12" ht="18" customHeight="1" thickBot="1">
      <c r="A80" s="69">
        <v>70</v>
      </c>
      <c r="B80" s="151">
        <v>22202</v>
      </c>
      <c r="C80" s="152" t="s">
        <v>193</v>
      </c>
      <c r="D80" s="171">
        <v>5</v>
      </c>
      <c r="E80" s="171">
        <v>4</v>
      </c>
      <c r="F80" s="171">
        <v>4</v>
      </c>
      <c r="G80" s="172">
        <v>3</v>
      </c>
      <c r="H80" s="171">
        <v>5</v>
      </c>
      <c r="I80" s="171">
        <v>4</v>
      </c>
      <c r="J80" s="171">
        <v>4</v>
      </c>
      <c r="K80" s="172">
        <v>3</v>
      </c>
      <c r="L80" s="34">
        <f t="shared" si="1"/>
        <v>32</v>
      </c>
    </row>
    <row r="81" spans="1:12" ht="18" customHeight="1" thickBot="1">
      <c r="A81" s="69">
        <v>71</v>
      </c>
      <c r="B81" s="151">
        <v>22203</v>
      </c>
      <c r="C81" s="152" t="s">
        <v>194</v>
      </c>
      <c r="D81" s="171">
        <v>3</v>
      </c>
      <c r="E81" s="171">
        <v>5</v>
      </c>
      <c r="F81" s="171">
        <v>3</v>
      </c>
      <c r="G81" s="172">
        <v>4</v>
      </c>
      <c r="H81" s="171">
        <v>3</v>
      </c>
      <c r="I81" s="171">
        <v>3</v>
      </c>
      <c r="J81" s="171">
        <v>5</v>
      </c>
      <c r="K81" s="172">
        <v>3</v>
      </c>
      <c r="L81" s="34">
        <f t="shared" si="1"/>
        <v>29</v>
      </c>
    </row>
    <row r="82" spans="1:12" ht="18" customHeight="1" thickBot="1">
      <c r="A82" s="69">
        <v>72</v>
      </c>
      <c r="B82" s="151">
        <v>22204</v>
      </c>
      <c r="C82" s="152" t="s">
        <v>195</v>
      </c>
      <c r="D82" s="171">
        <v>4</v>
      </c>
      <c r="E82" s="171">
        <v>4</v>
      </c>
      <c r="F82" s="171">
        <v>3</v>
      </c>
      <c r="G82" s="172">
        <v>5</v>
      </c>
      <c r="H82" s="171">
        <v>5</v>
      </c>
      <c r="I82" s="171">
        <v>4</v>
      </c>
      <c r="J82" s="171">
        <v>5</v>
      </c>
      <c r="K82" s="172">
        <v>3</v>
      </c>
      <c r="L82" s="34">
        <f t="shared" si="1"/>
        <v>33</v>
      </c>
    </row>
    <row r="83" spans="1:12" ht="18" customHeight="1" thickBot="1">
      <c r="A83" s="69">
        <v>73</v>
      </c>
      <c r="B83" s="151">
        <v>22205</v>
      </c>
      <c r="C83" s="152" t="s">
        <v>196</v>
      </c>
      <c r="D83" s="171">
        <v>1</v>
      </c>
      <c r="E83" s="171">
        <v>0</v>
      </c>
      <c r="F83" s="171">
        <v>2</v>
      </c>
      <c r="G83" s="172">
        <v>5</v>
      </c>
      <c r="H83" s="171">
        <v>4</v>
      </c>
      <c r="I83" s="171">
        <v>3</v>
      </c>
      <c r="J83" s="171">
        <v>5</v>
      </c>
      <c r="K83" s="172">
        <v>5</v>
      </c>
      <c r="L83" s="34">
        <f t="shared" si="1"/>
        <v>25</v>
      </c>
    </row>
    <row r="84" spans="1:12" ht="18" customHeight="1" thickBot="1">
      <c r="A84" s="69">
        <v>74</v>
      </c>
      <c r="B84" s="151">
        <v>22206</v>
      </c>
      <c r="C84" s="152" t="s">
        <v>197</v>
      </c>
      <c r="D84" s="171">
        <v>4</v>
      </c>
      <c r="E84" s="171">
        <v>3</v>
      </c>
      <c r="F84" s="171">
        <v>3</v>
      </c>
      <c r="G84" s="172">
        <v>4</v>
      </c>
      <c r="H84" s="171">
        <v>5</v>
      </c>
      <c r="I84" s="171">
        <v>5</v>
      </c>
      <c r="J84" s="171">
        <v>3</v>
      </c>
      <c r="K84" s="172">
        <v>4</v>
      </c>
      <c r="L84" s="34">
        <f t="shared" si="1"/>
        <v>31</v>
      </c>
    </row>
    <row r="85" spans="1:12" ht="18" customHeight="1" thickBot="1">
      <c r="A85" s="69">
        <v>75</v>
      </c>
      <c r="B85" s="151">
        <v>22207</v>
      </c>
      <c r="C85" s="152" t="s">
        <v>198</v>
      </c>
      <c r="D85" s="171">
        <v>4</v>
      </c>
      <c r="E85" s="171">
        <v>3</v>
      </c>
      <c r="F85" s="171">
        <v>4</v>
      </c>
      <c r="G85" s="172">
        <v>4</v>
      </c>
      <c r="H85" s="171">
        <v>3</v>
      </c>
      <c r="I85" s="171">
        <v>5</v>
      </c>
      <c r="J85" s="171">
        <v>4</v>
      </c>
      <c r="K85" s="172">
        <v>3</v>
      </c>
      <c r="L85" s="34">
        <f t="shared" si="1"/>
        <v>30</v>
      </c>
    </row>
    <row r="86" spans="1:12" ht="18" customHeight="1" thickBot="1">
      <c r="A86" s="69">
        <v>76</v>
      </c>
      <c r="B86" s="151">
        <v>22208</v>
      </c>
      <c r="C86" s="152" t="s">
        <v>199</v>
      </c>
      <c r="D86" s="171">
        <v>5</v>
      </c>
      <c r="E86" s="171">
        <v>2</v>
      </c>
      <c r="F86" s="171">
        <v>2</v>
      </c>
      <c r="G86" s="172">
        <v>2</v>
      </c>
      <c r="H86" s="171">
        <v>3</v>
      </c>
      <c r="I86" s="171">
        <v>3</v>
      </c>
      <c r="J86" s="171">
        <v>4</v>
      </c>
      <c r="K86" s="172">
        <v>4</v>
      </c>
      <c r="L86" s="34">
        <f t="shared" si="1"/>
        <v>25</v>
      </c>
    </row>
    <row r="87" spans="1:12" ht="18" customHeight="1" thickBot="1">
      <c r="A87" s="69">
        <v>77</v>
      </c>
      <c r="B87" s="151">
        <v>22209</v>
      </c>
      <c r="C87" s="152" t="s">
        <v>200</v>
      </c>
      <c r="D87" s="171">
        <v>5</v>
      </c>
      <c r="E87" s="171">
        <v>3</v>
      </c>
      <c r="F87" s="171">
        <v>3</v>
      </c>
      <c r="G87" s="172">
        <v>5</v>
      </c>
      <c r="H87" s="171">
        <v>4</v>
      </c>
      <c r="I87" s="171">
        <v>5</v>
      </c>
      <c r="J87" s="171">
        <v>5</v>
      </c>
      <c r="K87" s="172">
        <v>4</v>
      </c>
      <c r="L87" s="34">
        <f t="shared" si="1"/>
        <v>34</v>
      </c>
    </row>
    <row r="88" spans="1:12" ht="18" customHeight="1" thickBot="1">
      <c r="A88" s="69">
        <v>78</v>
      </c>
      <c r="B88" s="151">
        <v>22210</v>
      </c>
      <c r="C88" s="152" t="s">
        <v>201</v>
      </c>
      <c r="D88" s="171">
        <v>5</v>
      </c>
      <c r="E88" s="171">
        <v>5</v>
      </c>
      <c r="F88" s="171">
        <v>4</v>
      </c>
      <c r="G88" s="172">
        <v>3</v>
      </c>
      <c r="H88" s="171">
        <v>5</v>
      </c>
      <c r="I88" s="171">
        <v>4</v>
      </c>
      <c r="J88" s="171">
        <v>4</v>
      </c>
      <c r="K88" s="172">
        <v>5</v>
      </c>
      <c r="L88" s="34">
        <f t="shared" si="1"/>
        <v>35</v>
      </c>
    </row>
    <row r="89" spans="1:12" ht="18" customHeight="1" thickBot="1">
      <c r="A89" s="69">
        <v>79</v>
      </c>
      <c r="B89" s="151">
        <v>22211</v>
      </c>
      <c r="C89" s="152" t="s">
        <v>202</v>
      </c>
      <c r="D89" s="171">
        <v>4</v>
      </c>
      <c r="E89" s="171">
        <v>3</v>
      </c>
      <c r="F89" s="171">
        <v>5</v>
      </c>
      <c r="G89" s="172">
        <v>5</v>
      </c>
      <c r="H89" s="171">
        <v>5</v>
      </c>
      <c r="I89" s="171">
        <v>5</v>
      </c>
      <c r="J89" s="171">
        <v>5</v>
      </c>
      <c r="K89" s="172">
        <v>4</v>
      </c>
      <c r="L89" s="34">
        <f t="shared" si="1"/>
        <v>36</v>
      </c>
    </row>
    <row r="90" spans="1:12" ht="18" customHeight="1" thickBot="1">
      <c r="A90" s="69">
        <v>80</v>
      </c>
      <c r="B90" s="151">
        <v>22212</v>
      </c>
      <c r="C90" s="152" t="s">
        <v>203</v>
      </c>
      <c r="D90" s="171">
        <v>5</v>
      </c>
      <c r="E90" s="171">
        <v>5</v>
      </c>
      <c r="F90" s="171">
        <v>4</v>
      </c>
      <c r="G90" s="172">
        <v>5</v>
      </c>
      <c r="H90" s="171">
        <v>4</v>
      </c>
      <c r="I90" s="171">
        <v>5</v>
      </c>
      <c r="J90" s="171">
        <v>4</v>
      </c>
      <c r="K90" s="172">
        <v>4</v>
      </c>
      <c r="L90" s="34">
        <f t="shared" si="1"/>
        <v>36</v>
      </c>
    </row>
    <row r="91" spans="1:12" ht="18" customHeight="1" thickBot="1">
      <c r="A91" s="69">
        <v>81</v>
      </c>
      <c r="B91" s="151">
        <v>22213</v>
      </c>
      <c r="C91" s="152" t="s">
        <v>204</v>
      </c>
      <c r="D91" s="171">
        <v>4</v>
      </c>
      <c r="E91" s="171">
        <v>4</v>
      </c>
      <c r="F91" s="171">
        <v>4</v>
      </c>
      <c r="G91" s="172">
        <v>5</v>
      </c>
      <c r="H91" s="171">
        <v>3</v>
      </c>
      <c r="I91" s="171">
        <v>3</v>
      </c>
      <c r="J91" s="171">
        <v>4</v>
      </c>
      <c r="K91" s="172">
        <v>4</v>
      </c>
      <c r="L91" s="34">
        <f t="shared" si="1"/>
        <v>31</v>
      </c>
    </row>
    <row r="92" spans="1:12" ht="18" customHeight="1" thickBot="1">
      <c r="A92" s="69">
        <v>82</v>
      </c>
      <c r="B92" s="151">
        <v>22214</v>
      </c>
      <c r="C92" s="152" t="s">
        <v>205</v>
      </c>
      <c r="D92" s="171">
        <v>4</v>
      </c>
      <c r="E92" s="171">
        <v>3</v>
      </c>
      <c r="F92" s="171">
        <v>5</v>
      </c>
      <c r="G92" s="172">
        <v>4</v>
      </c>
      <c r="H92" s="171">
        <v>4</v>
      </c>
      <c r="I92" s="171">
        <v>3</v>
      </c>
      <c r="J92" s="171">
        <v>5</v>
      </c>
      <c r="K92" s="172">
        <v>3</v>
      </c>
      <c r="L92" s="34">
        <f t="shared" si="1"/>
        <v>31</v>
      </c>
    </row>
    <row r="93" spans="1:12" ht="18" customHeight="1" thickBot="1">
      <c r="A93" s="69">
        <v>83</v>
      </c>
      <c r="B93" s="151">
        <v>22215</v>
      </c>
      <c r="C93" s="152" t="s">
        <v>206</v>
      </c>
      <c r="D93" s="171">
        <v>3</v>
      </c>
      <c r="E93" s="171">
        <v>3</v>
      </c>
      <c r="F93" s="171">
        <v>5</v>
      </c>
      <c r="G93" s="172">
        <v>5</v>
      </c>
      <c r="H93" s="171">
        <v>3</v>
      </c>
      <c r="I93" s="171">
        <v>5</v>
      </c>
      <c r="J93" s="171">
        <v>3</v>
      </c>
      <c r="K93" s="172">
        <v>4</v>
      </c>
      <c r="L93" s="34">
        <f t="shared" si="1"/>
        <v>31</v>
      </c>
    </row>
    <row r="94" spans="1:12" ht="18" customHeight="1" thickBot="1">
      <c r="A94" s="69">
        <v>84</v>
      </c>
      <c r="B94" s="151">
        <v>22216</v>
      </c>
      <c r="C94" s="152" t="s">
        <v>207</v>
      </c>
      <c r="D94" s="171">
        <v>3</v>
      </c>
      <c r="E94" s="171">
        <v>3</v>
      </c>
      <c r="F94" s="171">
        <v>5</v>
      </c>
      <c r="G94" s="172">
        <v>3</v>
      </c>
      <c r="H94" s="171">
        <v>5</v>
      </c>
      <c r="I94" s="171">
        <v>5</v>
      </c>
      <c r="J94" s="171">
        <v>3</v>
      </c>
      <c r="K94" s="172">
        <v>3</v>
      </c>
      <c r="L94" s="34">
        <f t="shared" si="1"/>
        <v>30</v>
      </c>
    </row>
    <row r="95" spans="1:12" ht="18" customHeight="1" thickBot="1">
      <c r="A95" s="69">
        <v>85</v>
      </c>
      <c r="B95" s="151">
        <v>22217</v>
      </c>
      <c r="C95" s="152" t="s">
        <v>208</v>
      </c>
      <c r="D95" s="171">
        <v>5</v>
      </c>
      <c r="E95" s="171">
        <v>5</v>
      </c>
      <c r="F95" s="171">
        <v>3</v>
      </c>
      <c r="G95" s="172">
        <v>3</v>
      </c>
      <c r="H95" s="171">
        <v>4</v>
      </c>
      <c r="I95" s="171">
        <v>5</v>
      </c>
      <c r="J95" s="171">
        <v>5</v>
      </c>
      <c r="K95" s="172">
        <v>5</v>
      </c>
      <c r="L95" s="34">
        <f t="shared" si="1"/>
        <v>35</v>
      </c>
    </row>
    <row r="96" spans="1:12" ht="18" customHeight="1" thickBot="1">
      <c r="A96" s="69">
        <v>86</v>
      </c>
      <c r="B96" s="151">
        <v>22218</v>
      </c>
      <c r="C96" s="152" t="s">
        <v>209</v>
      </c>
      <c r="D96" s="171">
        <v>4</v>
      </c>
      <c r="E96" s="171">
        <v>3</v>
      </c>
      <c r="F96" s="171">
        <v>4</v>
      </c>
      <c r="G96" s="172">
        <v>4</v>
      </c>
      <c r="H96" s="171">
        <v>3</v>
      </c>
      <c r="I96" s="171">
        <v>3</v>
      </c>
      <c r="J96" s="171">
        <v>5</v>
      </c>
      <c r="K96" s="172">
        <v>4</v>
      </c>
      <c r="L96" s="34">
        <f t="shared" si="1"/>
        <v>30</v>
      </c>
    </row>
    <row r="97" spans="1:12" ht="18" customHeight="1" thickBot="1">
      <c r="A97" s="69">
        <v>87</v>
      </c>
      <c r="B97" s="151">
        <v>22219</v>
      </c>
      <c r="C97" s="152" t="s">
        <v>210</v>
      </c>
      <c r="D97" s="171">
        <v>5</v>
      </c>
      <c r="E97" s="171">
        <v>4</v>
      </c>
      <c r="F97" s="171">
        <v>3</v>
      </c>
      <c r="G97" s="172">
        <v>5</v>
      </c>
      <c r="H97" s="171">
        <v>3</v>
      </c>
      <c r="I97" s="171">
        <v>3</v>
      </c>
      <c r="J97" s="171">
        <v>4</v>
      </c>
      <c r="K97" s="172">
        <v>5</v>
      </c>
      <c r="L97" s="34">
        <f t="shared" si="1"/>
        <v>32</v>
      </c>
    </row>
    <row r="98" spans="1:12" ht="18" customHeight="1" thickBot="1">
      <c r="A98" s="69">
        <v>88</v>
      </c>
      <c r="B98" s="151">
        <v>22220</v>
      </c>
      <c r="C98" s="152" t="s">
        <v>211</v>
      </c>
      <c r="D98" s="171">
        <v>4</v>
      </c>
      <c r="E98" s="171">
        <v>3</v>
      </c>
      <c r="F98" s="171">
        <v>3</v>
      </c>
      <c r="G98" s="172">
        <v>4</v>
      </c>
      <c r="H98" s="171">
        <v>5</v>
      </c>
      <c r="I98" s="171">
        <v>3</v>
      </c>
      <c r="J98" s="171">
        <v>4</v>
      </c>
      <c r="K98" s="172">
        <v>4</v>
      </c>
      <c r="L98" s="34">
        <f t="shared" si="1"/>
        <v>30</v>
      </c>
    </row>
    <row r="99" spans="1:12" ht="18" customHeight="1" thickBot="1">
      <c r="A99" s="69">
        <v>89</v>
      </c>
      <c r="B99" s="151">
        <v>22221</v>
      </c>
      <c r="C99" s="152" t="s">
        <v>212</v>
      </c>
      <c r="D99" s="171">
        <v>5</v>
      </c>
      <c r="E99" s="171">
        <v>3</v>
      </c>
      <c r="F99" s="171">
        <v>5</v>
      </c>
      <c r="G99" s="172">
        <v>5</v>
      </c>
      <c r="H99" s="171">
        <v>4</v>
      </c>
      <c r="I99" s="171">
        <v>4</v>
      </c>
      <c r="J99" s="171">
        <v>5</v>
      </c>
      <c r="K99" s="172">
        <v>4</v>
      </c>
      <c r="L99" s="34">
        <f t="shared" si="1"/>
        <v>35</v>
      </c>
    </row>
    <row r="100" spans="1:12" ht="18" customHeight="1" thickBot="1">
      <c r="A100" s="69">
        <v>90</v>
      </c>
      <c r="B100" s="151">
        <v>22222</v>
      </c>
      <c r="C100" s="152" t="s">
        <v>213</v>
      </c>
      <c r="D100" s="171">
        <v>4</v>
      </c>
      <c r="E100" s="171">
        <v>3</v>
      </c>
      <c r="F100" s="171">
        <v>5</v>
      </c>
      <c r="G100" s="172">
        <v>5</v>
      </c>
      <c r="H100" s="171">
        <v>4</v>
      </c>
      <c r="I100" s="171">
        <v>5</v>
      </c>
      <c r="J100" s="171">
        <v>5</v>
      </c>
      <c r="K100" s="172">
        <v>3</v>
      </c>
      <c r="L100" s="34">
        <f t="shared" si="1"/>
        <v>34</v>
      </c>
    </row>
    <row r="101" spans="1:12" ht="18" customHeight="1" thickBot="1">
      <c r="A101" s="69">
        <v>91</v>
      </c>
      <c r="B101" s="151">
        <v>22223</v>
      </c>
      <c r="C101" s="152" t="s">
        <v>214</v>
      </c>
      <c r="D101" s="171">
        <v>4</v>
      </c>
      <c r="E101" s="171">
        <v>5</v>
      </c>
      <c r="F101" s="171">
        <v>4</v>
      </c>
      <c r="G101" s="172">
        <v>5</v>
      </c>
      <c r="H101" s="171">
        <v>5</v>
      </c>
      <c r="I101" s="171">
        <v>5</v>
      </c>
      <c r="J101" s="171">
        <v>5</v>
      </c>
      <c r="K101" s="172">
        <v>4</v>
      </c>
      <c r="L101" s="34">
        <f t="shared" si="1"/>
        <v>37</v>
      </c>
    </row>
    <row r="102" spans="1:12" ht="18" customHeight="1" thickBot="1">
      <c r="A102" s="69">
        <v>92</v>
      </c>
      <c r="B102" s="151">
        <v>22224</v>
      </c>
      <c r="C102" s="152" t="s">
        <v>215</v>
      </c>
      <c r="D102" s="171">
        <v>4</v>
      </c>
      <c r="E102" s="171">
        <v>4</v>
      </c>
      <c r="F102" s="171">
        <v>4</v>
      </c>
      <c r="G102" s="172">
        <v>3</v>
      </c>
      <c r="H102" s="171">
        <v>4</v>
      </c>
      <c r="I102" s="171">
        <v>4</v>
      </c>
      <c r="J102" s="171">
        <v>5</v>
      </c>
      <c r="K102" s="172">
        <v>4</v>
      </c>
      <c r="L102" s="34">
        <f t="shared" si="1"/>
        <v>32</v>
      </c>
    </row>
    <row r="103" spans="1:12" ht="18" customHeight="1" thickBot="1">
      <c r="A103" s="69">
        <v>93</v>
      </c>
      <c r="B103" s="151">
        <v>22225</v>
      </c>
      <c r="C103" s="152" t="s">
        <v>216</v>
      </c>
      <c r="D103" s="171">
        <v>5</v>
      </c>
      <c r="E103" s="171">
        <v>3</v>
      </c>
      <c r="F103" s="171">
        <v>3</v>
      </c>
      <c r="G103" s="172">
        <v>4</v>
      </c>
      <c r="H103" s="171">
        <v>3</v>
      </c>
      <c r="I103" s="171">
        <v>3</v>
      </c>
      <c r="J103" s="171">
        <v>4</v>
      </c>
      <c r="K103" s="172">
        <v>5</v>
      </c>
      <c r="L103" s="34">
        <f t="shared" si="1"/>
        <v>30</v>
      </c>
    </row>
    <row r="104" spans="1:12" ht="18" customHeight="1" thickBot="1">
      <c r="A104" s="69">
        <v>94</v>
      </c>
      <c r="B104" s="151">
        <v>22226</v>
      </c>
      <c r="C104" s="152" t="s">
        <v>217</v>
      </c>
      <c r="D104" s="171">
        <v>1</v>
      </c>
      <c r="E104" s="171">
        <v>2</v>
      </c>
      <c r="F104" s="171">
        <v>0</v>
      </c>
      <c r="G104" s="172">
        <v>2</v>
      </c>
      <c r="H104" s="171">
        <v>3</v>
      </c>
      <c r="I104" s="171">
        <v>2</v>
      </c>
      <c r="J104" s="171">
        <v>2</v>
      </c>
      <c r="K104" s="172">
        <v>3</v>
      </c>
      <c r="L104" s="34">
        <f t="shared" si="1"/>
        <v>15</v>
      </c>
    </row>
    <row r="105" spans="1:12" ht="18" customHeight="1" thickBot="1">
      <c r="A105" s="69">
        <v>95</v>
      </c>
      <c r="B105" s="151">
        <v>22227</v>
      </c>
      <c r="C105" s="152" t="s">
        <v>218</v>
      </c>
      <c r="D105" s="171">
        <v>5</v>
      </c>
      <c r="E105" s="171">
        <v>5</v>
      </c>
      <c r="F105" s="171">
        <v>3</v>
      </c>
      <c r="G105" s="172">
        <v>5</v>
      </c>
      <c r="H105" s="171">
        <v>5</v>
      </c>
      <c r="I105" s="171">
        <v>4</v>
      </c>
      <c r="J105" s="171">
        <v>4</v>
      </c>
      <c r="K105" s="172">
        <v>5</v>
      </c>
      <c r="L105" s="34">
        <f t="shared" si="1"/>
        <v>36</v>
      </c>
    </row>
    <row r="106" spans="1:12" ht="18" customHeight="1" thickBot="1">
      <c r="A106" s="69">
        <v>96</v>
      </c>
      <c r="B106" s="151">
        <v>22228</v>
      </c>
      <c r="C106" s="152" t="s">
        <v>219</v>
      </c>
      <c r="D106" s="171">
        <v>3</v>
      </c>
      <c r="E106" s="171">
        <v>4</v>
      </c>
      <c r="F106" s="171">
        <v>4</v>
      </c>
      <c r="G106" s="172">
        <v>5</v>
      </c>
      <c r="H106" s="171">
        <v>5</v>
      </c>
      <c r="I106" s="171">
        <v>4</v>
      </c>
      <c r="J106" s="171">
        <v>4</v>
      </c>
      <c r="K106" s="172">
        <v>3</v>
      </c>
      <c r="L106" s="34">
        <f t="shared" si="1"/>
        <v>32</v>
      </c>
    </row>
    <row r="107" spans="1:12" ht="18" customHeight="1" thickBot="1">
      <c r="A107" s="69">
        <v>97</v>
      </c>
      <c r="B107" s="151">
        <v>22229</v>
      </c>
      <c r="C107" s="152" t="s">
        <v>220</v>
      </c>
      <c r="D107" s="171">
        <v>4</v>
      </c>
      <c r="E107" s="171">
        <v>4</v>
      </c>
      <c r="F107" s="171">
        <v>4</v>
      </c>
      <c r="G107" s="172">
        <v>3</v>
      </c>
      <c r="H107" s="171">
        <v>5</v>
      </c>
      <c r="I107" s="171">
        <v>3</v>
      </c>
      <c r="J107" s="171">
        <v>5</v>
      </c>
      <c r="K107" s="172">
        <v>3</v>
      </c>
      <c r="L107" s="34">
        <f t="shared" si="1"/>
        <v>31</v>
      </c>
    </row>
    <row r="108" spans="1:12" ht="18" customHeight="1" thickBot="1">
      <c r="A108" s="69">
        <v>98</v>
      </c>
      <c r="B108" s="151">
        <v>22230</v>
      </c>
      <c r="C108" s="152" t="s">
        <v>221</v>
      </c>
      <c r="D108" s="171">
        <v>3</v>
      </c>
      <c r="E108" s="171">
        <v>5</v>
      </c>
      <c r="F108" s="171">
        <v>3</v>
      </c>
      <c r="G108" s="172">
        <v>4</v>
      </c>
      <c r="H108" s="171">
        <v>4</v>
      </c>
      <c r="I108" s="171">
        <v>4</v>
      </c>
      <c r="J108" s="171">
        <v>3</v>
      </c>
      <c r="K108" s="172">
        <v>4</v>
      </c>
      <c r="L108" s="34">
        <f t="shared" si="1"/>
        <v>30</v>
      </c>
    </row>
    <row r="109" spans="1:12" ht="18" customHeight="1" thickBot="1">
      <c r="A109" s="69">
        <v>99</v>
      </c>
      <c r="B109" s="151">
        <v>22231</v>
      </c>
      <c r="C109" s="152" t="s">
        <v>222</v>
      </c>
      <c r="D109" s="171">
        <v>5</v>
      </c>
      <c r="E109" s="171">
        <v>3</v>
      </c>
      <c r="F109" s="171">
        <v>3</v>
      </c>
      <c r="G109" s="172">
        <v>4</v>
      </c>
      <c r="H109" s="171">
        <v>4</v>
      </c>
      <c r="I109" s="171">
        <v>4</v>
      </c>
      <c r="J109" s="171">
        <v>3</v>
      </c>
      <c r="K109" s="172">
        <v>5</v>
      </c>
      <c r="L109" s="34">
        <f t="shared" si="1"/>
        <v>31</v>
      </c>
    </row>
    <row r="110" spans="1:12" ht="18" customHeight="1" thickBot="1">
      <c r="A110" s="69">
        <v>100</v>
      </c>
      <c r="B110" s="151">
        <v>22232</v>
      </c>
      <c r="C110" s="152" t="s">
        <v>223</v>
      </c>
      <c r="D110" s="171">
        <v>4</v>
      </c>
      <c r="E110" s="171">
        <v>5</v>
      </c>
      <c r="F110" s="171">
        <v>4</v>
      </c>
      <c r="G110" s="172">
        <v>4</v>
      </c>
      <c r="H110" s="171">
        <v>5</v>
      </c>
      <c r="I110" s="171">
        <v>4</v>
      </c>
      <c r="J110" s="171">
        <v>5</v>
      </c>
      <c r="K110" s="172">
        <v>3</v>
      </c>
      <c r="L110" s="34">
        <f t="shared" si="1"/>
        <v>34</v>
      </c>
    </row>
    <row r="111" spans="1:12" ht="18" customHeight="1" thickBot="1">
      <c r="A111" s="69">
        <v>101</v>
      </c>
      <c r="B111" s="151">
        <v>22233</v>
      </c>
      <c r="C111" s="152" t="s">
        <v>224</v>
      </c>
      <c r="D111" s="171">
        <v>5</v>
      </c>
      <c r="E111" s="171">
        <v>3</v>
      </c>
      <c r="F111" s="171">
        <v>4</v>
      </c>
      <c r="G111" s="172">
        <v>5</v>
      </c>
      <c r="H111" s="171">
        <v>3</v>
      </c>
      <c r="I111" s="171">
        <v>5</v>
      </c>
      <c r="J111" s="171">
        <v>3</v>
      </c>
      <c r="K111" s="172">
        <v>4</v>
      </c>
      <c r="L111" s="34">
        <f t="shared" si="1"/>
        <v>32</v>
      </c>
    </row>
    <row r="112" spans="1:12" ht="18" customHeight="1" thickBot="1">
      <c r="A112" s="69">
        <v>102</v>
      </c>
      <c r="B112" s="151">
        <v>22234</v>
      </c>
      <c r="C112" s="152" t="s">
        <v>225</v>
      </c>
      <c r="D112" s="171">
        <v>4</v>
      </c>
      <c r="E112" s="171">
        <v>4</v>
      </c>
      <c r="F112" s="171">
        <v>4</v>
      </c>
      <c r="G112" s="172">
        <v>3</v>
      </c>
      <c r="H112" s="171">
        <v>3</v>
      </c>
      <c r="I112" s="171">
        <v>5</v>
      </c>
      <c r="J112" s="171">
        <v>4</v>
      </c>
      <c r="K112" s="172">
        <v>3</v>
      </c>
      <c r="L112" s="34">
        <f t="shared" si="1"/>
        <v>30</v>
      </c>
    </row>
    <row r="113" spans="1:17" ht="18" customHeight="1" thickBot="1">
      <c r="A113" s="69">
        <v>103</v>
      </c>
      <c r="B113" s="151">
        <v>22235</v>
      </c>
      <c r="C113" s="152" t="s">
        <v>226</v>
      </c>
      <c r="D113" s="171">
        <v>5</v>
      </c>
      <c r="E113" s="171">
        <v>4</v>
      </c>
      <c r="F113" s="171">
        <v>5</v>
      </c>
      <c r="G113" s="172">
        <v>3</v>
      </c>
      <c r="H113" s="171">
        <v>5</v>
      </c>
      <c r="I113" s="171">
        <v>3</v>
      </c>
      <c r="J113" s="171">
        <v>3</v>
      </c>
      <c r="K113" s="172">
        <v>4</v>
      </c>
      <c r="L113" s="34">
        <f t="shared" si="1"/>
        <v>32</v>
      </c>
    </row>
    <row r="114" spans="1:17" ht="18" customHeight="1" thickBot="1">
      <c r="A114" s="69">
        <v>104</v>
      </c>
      <c r="B114" s="151">
        <v>22236</v>
      </c>
      <c r="C114" s="152" t="s">
        <v>227</v>
      </c>
      <c r="D114" s="171">
        <v>4</v>
      </c>
      <c r="E114" s="171">
        <v>3</v>
      </c>
      <c r="F114" s="171">
        <v>5</v>
      </c>
      <c r="G114" s="172">
        <v>4</v>
      </c>
      <c r="H114" s="171">
        <v>5</v>
      </c>
      <c r="I114" s="171">
        <v>3</v>
      </c>
      <c r="J114" s="171">
        <v>5</v>
      </c>
      <c r="K114" s="172">
        <v>4</v>
      </c>
      <c r="L114" s="34">
        <f t="shared" si="1"/>
        <v>33</v>
      </c>
    </row>
    <row r="115" spans="1:17" ht="18" customHeight="1" thickBot="1">
      <c r="A115" s="69">
        <v>105</v>
      </c>
      <c r="B115" s="151">
        <v>22237</v>
      </c>
      <c r="C115" s="152" t="s">
        <v>228</v>
      </c>
      <c r="D115" s="171">
        <v>3</v>
      </c>
      <c r="E115" s="171">
        <v>5</v>
      </c>
      <c r="F115" s="171">
        <v>4</v>
      </c>
      <c r="G115" s="172">
        <v>4</v>
      </c>
      <c r="H115" s="171">
        <v>4</v>
      </c>
      <c r="I115" s="171">
        <v>4</v>
      </c>
      <c r="J115" s="171">
        <v>4</v>
      </c>
      <c r="K115" s="172">
        <v>3</v>
      </c>
      <c r="L115" s="34">
        <f t="shared" si="1"/>
        <v>31</v>
      </c>
    </row>
    <row r="116" spans="1:17" ht="18" customHeight="1" thickBot="1">
      <c r="A116" s="69">
        <v>106</v>
      </c>
      <c r="B116" s="151">
        <v>22238</v>
      </c>
      <c r="C116" s="152" t="s">
        <v>229</v>
      </c>
      <c r="D116" s="171">
        <v>5</v>
      </c>
      <c r="E116" s="171">
        <v>3</v>
      </c>
      <c r="F116" s="171">
        <v>5</v>
      </c>
      <c r="G116" s="172">
        <v>3</v>
      </c>
      <c r="H116" s="171">
        <v>5</v>
      </c>
      <c r="I116" s="171">
        <v>5</v>
      </c>
      <c r="J116" s="171">
        <v>5</v>
      </c>
      <c r="K116" s="172">
        <v>5</v>
      </c>
      <c r="L116" s="34">
        <f t="shared" si="1"/>
        <v>36</v>
      </c>
    </row>
    <row r="117" spans="1:17" ht="18" customHeight="1" thickBot="1">
      <c r="A117" s="69">
        <v>107</v>
      </c>
      <c r="B117" s="151">
        <v>22239</v>
      </c>
      <c r="C117" s="152" t="s">
        <v>230</v>
      </c>
      <c r="D117" s="171">
        <v>5</v>
      </c>
      <c r="E117" s="171">
        <v>3</v>
      </c>
      <c r="F117" s="171">
        <v>4</v>
      </c>
      <c r="G117" s="172">
        <v>5</v>
      </c>
      <c r="H117" s="171">
        <v>3</v>
      </c>
      <c r="I117" s="171">
        <v>5</v>
      </c>
      <c r="J117" s="171">
        <v>4</v>
      </c>
      <c r="K117" s="172">
        <v>5</v>
      </c>
      <c r="L117" s="34">
        <f t="shared" si="1"/>
        <v>34</v>
      </c>
    </row>
    <row r="118" spans="1:17" ht="18" customHeight="1">
      <c r="A118" s="69">
        <v>108</v>
      </c>
      <c r="B118" s="151">
        <v>22240</v>
      </c>
      <c r="C118" s="152" t="s">
        <v>231</v>
      </c>
      <c r="D118" s="173">
        <v>2</v>
      </c>
      <c r="E118" s="173">
        <v>3</v>
      </c>
      <c r="F118" s="173">
        <v>2</v>
      </c>
      <c r="G118" s="174">
        <v>3</v>
      </c>
      <c r="H118" s="173">
        <v>3</v>
      </c>
      <c r="I118" s="173">
        <v>3</v>
      </c>
      <c r="J118" s="173">
        <v>2</v>
      </c>
      <c r="K118" s="174">
        <v>3</v>
      </c>
      <c r="L118" s="34">
        <f t="shared" si="1"/>
        <v>21</v>
      </c>
    </row>
    <row r="119" spans="1:17" ht="15.75" customHeight="1">
      <c r="A119" s="4" t="s">
        <v>13</v>
      </c>
      <c r="C119" s="51">
        <f>COUNT(A11:A118)</f>
        <v>108</v>
      </c>
      <c r="G119" s="53"/>
      <c r="H119" s="175"/>
      <c r="I119" s="175"/>
      <c r="J119" s="175"/>
      <c r="K119" s="175"/>
    </row>
    <row r="120" spans="1:17" ht="15.75" customHeight="1">
      <c r="A120"/>
      <c r="B120"/>
      <c r="C120"/>
      <c r="D120"/>
      <c r="E120"/>
      <c r="F120"/>
      <c r="G120"/>
      <c r="H120" s="176"/>
      <c r="I120" s="176"/>
      <c r="J120" s="176"/>
      <c r="K120" s="176"/>
      <c r="L120"/>
      <c r="M120"/>
      <c r="N120"/>
      <c r="O120"/>
      <c r="P120"/>
      <c r="Q120"/>
    </row>
    <row r="121" spans="1:17" ht="15.75" customHeight="1">
      <c r="A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</row>
    <row r="122" spans="1:17" ht="15.7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 s="80"/>
    </row>
    <row r="123" spans="1:17" ht="15.7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 s="80"/>
    </row>
    <row r="124" spans="1:17" ht="15.75" customHeight="1">
      <c r="A124"/>
      <c r="B124"/>
      <c r="C124" t="str">
        <f>Faculty</f>
        <v xml:space="preserve">Dr. Ashwini Chavan, </v>
      </c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</row>
    <row r="125" spans="1:17" ht="15.75" customHeight="1">
      <c r="A125" s="82"/>
      <c r="B125" s="82"/>
      <c r="C125" t="str">
        <f>SubjectDetails!E17</f>
        <v>Subject Faculty</v>
      </c>
      <c r="H125" s="2"/>
      <c r="I125" s="148"/>
      <c r="J125" s="148"/>
      <c r="M125" s="82"/>
      <c r="N125"/>
      <c r="O125" s="82"/>
      <c r="Q125"/>
    </row>
    <row r="126" spans="1:17" ht="15.75" customHeight="1">
      <c r="A126" s="82"/>
      <c r="B126" s="82"/>
      <c r="C126" s="199"/>
      <c r="D126" s="199"/>
      <c r="E126" s="199"/>
      <c r="F126" s="202"/>
      <c r="G126" s="202"/>
      <c r="H126" s="2"/>
      <c r="I126" s="148"/>
      <c r="J126" s="148"/>
      <c r="L126" s="48"/>
      <c r="M126" s="82"/>
      <c r="N126"/>
      <c r="O126" s="82"/>
    </row>
    <row r="127" spans="1:17" ht="15.75" customHeight="1">
      <c r="A127"/>
      <c r="B127"/>
      <c r="C127" s="83"/>
      <c r="D127" s="83"/>
      <c r="E127" s="83"/>
      <c r="F127" s="202"/>
      <c r="G127" s="202"/>
      <c r="H127"/>
      <c r="I127"/>
      <c r="J127"/>
      <c r="K127" s="2"/>
      <c r="L127" s="48"/>
      <c r="M127"/>
      <c r="N127"/>
      <c r="O127"/>
      <c r="P127" s="3"/>
    </row>
    <row r="128" spans="1:17" ht="15.75" customHeight="1">
      <c r="C128" s="1"/>
      <c r="D128" s="2"/>
      <c r="E128" s="2"/>
      <c r="F128" s="2"/>
      <c r="G128" s="2"/>
      <c r="H128" s="2"/>
      <c r="I128" s="148"/>
      <c r="J128" s="148"/>
      <c r="K128" s="2"/>
      <c r="L128" s="2"/>
      <c r="M128" s="2"/>
      <c r="N128" s="2"/>
      <c r="O128" s="2"/>
      <c r="P128" s="3"/>
    </row>
    <row r="129" spans="1:17" s="36" customFormat="1">
      <c r="A129" s="199" t="str">
        <f>SubjectDetails!A24</f>
        <v>Dr. Ravi Chourasiya</v>
      </c>
      <c r="B129" s="199"/>
      <c r="C129" s="199"/>
      <c r="D129" s="202" t="str">
        <f>SubjectDetails!E24</f>
        <v>Dr. Ashwini Chavan</v>
      </c>
      <c r="E129" s="202"/>
      <c r="F129" s="202"/>
      <c r="G129" s="202"/>
      <c r="H129"/>
      <c r="I129"/>
      <c r="J129"/>
      <c r="K129" s="200" t="str">
        <f>SubjectDetails!H24</f>
        <v>Dr. Priyanka Singh</v>
      </c>
      <c r="L129" s="200"/>
      <c r="M129" s="82"/>
      <c r="N129"/>
      <c r="O129" s="82"/>
      <c r="P129" s="48"/>
      <c r="Q129"/>
    </row>
    <row r="130" spans="1:17" s="36" customFormat="1">
      <c r="A130" s="199" t="str">
        <f>SubjectDetails!A25</f>
        <v>(College Examination Officer)</v>
      </c>
      <c r="B130" s="199"/>
      <c r="C130" s="199"/>
      <c r="D130" s="202" t="str">
        <f>SubjectDetails!E25</f>
        <v>HOD (MCA)</v>
      </c>
      <c r="E130" s="202"/>
      <c r="F130" s="202"/>
      <c r="G130" s="202"/>
      <c r="H130"/>
      <c r="I130"/>
      <c r="J130"/>
      <c r="K130" s="200" t="str">
        <f>SubjectDetails!H25</f>
        <v>Director</v>
      </c>
      <c r="L130" s="200"/>
      <c r="M130" s="82"/>
      <c r="N130"/>
      <c r="O130" s="82"/>
      <c r="P130" s="48"/>
      <c r="Q130" s="7"/>
    </row>
  </sheetData>
  <sortState ref="A11:I201">
    <sortCondition ref="B11:B201"/>
  </sortState>
  <mergeCells count="22">
    <mergeCell ref="A1:L1"/>
    <mergeCell ref="A2:L2"/>
    <mergeCell ref="A3:L3"/>
    <mergeCell ref="A4:L4"/>
    <mergeCell ref="A7:A10"/>
    <mergeCell ref="B7:B10"/>
    <mergeCell ref="L9:L10"/>
    <mergeCell ref="A5:L5"/>
    <mergeCell ref="A129:C129"/>
    <mergeCell ref="K129:L129"/>
    <mergeCell ref="A130:C130"/>
    <mergeCell ref="K130:L130"/>
    <mergeCell ref="D129:G129"/>
    <mergeCell ref="D130:G130"/>
    <mergeCell ref="C126:E126"/>
    <mergeCell ref="F126:G126"/>
    <mergeCell ref="F127:G127"/>
    <mergeCell ref="A6:B6"/>
    <mergeCell ref="L7:L8"/>
    <mergeCell ref="D6:L6"/>
    <mergeCell ref="D7:K7"/>
    <mergeCell ref="C7:C8"/>
  </mergeCells>
  <pageMargins left="0.7" right="0.7" top="0.75" bottom="0.75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1"/>
  <sheetViews>
    <sheetView workbookViewId="0">
      <selection activeCell="F115" sqref="F115"/>
    </sheetView>
  </sheetViews>
  <sheetFormatPr defaultColWidth="12.7109375" defaultRowHeight="15.75" customHeight="1"/>
  <cols>
    <col min="1" max="1" width="9.28515625" style="1" customWidth="1"/>
    <col min="2" max="2" width="18.28515625" style="1" customWidth="1"/>
    <col min="3" max="3" width="44.28515625" style="52" bestFit="1" customWidth="1"/>
    <col min="4" max="13" width="7.7109375" style="52" customWidth="1"/>
    <col min="14" max="14" width="15.28515625" style="53" customWidth="1"/>
    <col min="15" max="16384" width="12.7109375" style="7"/>
  </cols>
  <sheetData>
    <row r="1" spans="1:14" ht="21" customHeight="1">
      <c r="A1" s="192" t="s">
        <v>73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</row>
    <row r="2" spans="1:14" ht="25.15" customHeight="1">
      <c r="A2" s="193" t="s">
        <v>74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</row>
    <row r="3" spans="1:14" ht="21.6" customHeight="1">
      <c r="A3" s="194" t="s">
        <v>75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</row>
    <row r="4" spans="1:14" ht="19.899999999999999" customHeight="1">
      <c r="A4" s="194" t="s">
        <v>9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</row>
    <row r="5" spans="1:14" s="38" customFormat="1" ht="32.450000000000003" customHeight="1">
      <c r="A5" s="269" t="s">
        <v>5</v>
      </c>
      <c r="B5" s="270"/>
      <c r="C5" s="270"/>
      <c r="D5" s="270"/>
      <c r="E5" s="270"/>
      <c r="F5" s="270"/>
      <c r="G5" s="270"/>
      <c r="H5" s="270"/>
      <c r="I5" s="270"/>
      <c r="J5" s="270"/>
      <c r="K5" s="270"/>
      <c r="L5" s="270"/>
      <c r="M5" s="270"/>
      <c r="N5" s="271"/>
    </row>
    <row r="6" spans="1:14" s="38" customFormat="1" ht="36" customHeight="1">
      <c r="A6" s="272" t="str">
        <f>CONCATENATE(Class," ", spl)</f>
        <v xml:space="preserve">MCA I SEM I AY 2023-24 </v>
      </c>
      <c r="B6" s="272"/>
      <c r="C6" s="115" t="str">
        <f>CONCATENATE("Name of Faculty: ", Faculty)</f>
        <v xml:space="preserve">Name of Faculty: Dr. Ashwini Chavan, </v>
      </c>
      <c r="D6" s="259" t="str">
        <f>CONCATENATE("Course Name: ", Sub_Code)</f>
        <v>Course Name: Network Technologies</v>
      </c>
      <c r="E6" s="262"/>
      <c r="F6" s="262"/>
      <c r="G6" s="262"/>
      <c r="H6" s="262"/>
      <c r="I6" s="262"/>
      <c r="J6" s="262"/>
      <c r="K6" s="262"/>
      <c r="L6" s="262"/>
      <c r="M6" s="262"/>
      <c r="N6" s="260"/>
    </row>
    <row r="7" spans="1:14" ht="18" customHeight="1">
      <c r="A7" s="264" t="s">
        <v>0</v>
      </c>
      <c r="B7" s="264" t="s">
        <v>6</v>
      </c>
      <c r="C7" s="255" t="s">
        <v>1</v>
      </c>
      <c r="D7" s="263" t="s">
        <v>98</v>
      </c>
      <c r="E7" s="263"/>
      <c r="F7" s="263"/>
      <c r="G7" s="263"/>
      <c r="H7" s="263"/>
      <c r="I7" s="263"/>
      <c r="J7" s="263"/>
      <c r="K7" s="263"/>
      <c r="L7" s="263"/>
      <c r="M7" s="263"/>
      <c r="N7" s="261" t="s">
        <v>49</v>
      </c>
    </row>
    <row r="8" spans="1:14" ht="18" customHeight="1">
      <c r="A8" s="265"/>
      <c r="B8" s="265"/>
      <c r="C8" s="256"/>
      <c r="D8" s="120" t="s">
        <v>106</v>
      </c>
      <c r="E8" s="120" t="s">
        <v>107</v>
      </c>
      <c r="F8" s="120" t="s">
        <v>108</v>
      </c>
      <c r="G8" s="120" t="s">
        <v>109</v>
      </c>
      <c r="H8" s="120" t="s">
        <v>110</v>
      </c>
      <c r="I8" s="120"/>
      <c r="J8" s="120"/>
      <c r="K8" s="120"/>
      <c r="L8" s="120"/>
      <c r="M8" s="120"/>
      <c r="N8" s="261"/>
    </row>
    <row r="9" spans="1:14" ht="18" customHeight="1">
      <c r="A9" s="265"/>
      <c r="B9" s="265"/>
      <c r="C9" s="84" t="s">
        <v>72</v>
      </c>
      <c r="D9" s="121">
        <v>10</v>
      </c>
      <c r="E9" s="121">
        <v>10</v>
      </c>
      <c r="F9" s="121">
        <v>10</v>
      </c>
      <c r="G9" s="121">
        <v>10</v>
      </c>
      <c r="H9" s="121">
        <v>10</v>
      </c>
      <c r="I9" s="121"/>
      <c r="J9" s="121"/>
      <c r="K9" s="121"/>
      <c r="L9" s="121"/>
      <c r="M9" s="121"/>
      <c r="N9" s="242">
        <f>D9+E9+F9+G9+H9+I9+J9+K9+L9+M9</f>
        <v>50</v>
      </c>
    </row>
    <row r="10" spans="1:14" ht="18" customHeight="1" thickBot="1">
      <c r="A10" s="266"/>
      <c r="B10" s="267"/>
      <c r="C10" s="84" t="s">
        <v>112</v>
      </c>
      <c r="D10" s="119" t="s">
        <v>2</v>
      </c>
      <c r="E10" s="119" t="s">
        <v>3</v>
      </c>
      <c r="F10" s="119" t="s">
        <v>4</v>
      </c>
      <c r="G10" s="119" t="s">
        <v>10</v>
      </c>
      <c r="H10" s="119" t="s">
        <v>12</v>
      </c>
      <c r="I10" s="119"/>
      <c r="J10" s="119"/>
      <c r="K10" s="119"/>
      <c r="L10" s="119"/>
      <c r="M10" s="119"/>
      <c r="N10" s="243"/>
    </row>
    <row r="11" spans="1:14" ht="18" customHeight="1" thickBot="1">
      <c r="A11" s="116">
        <v>1</v>
      </c>
      <c r="B11" s="151">
        <v>22101</v>
      </c>
      <c r="C11" s="152" t="s">
        <v>124</v>
      </c>
      <c r="D11" s="171">
        <v>6</v>
      </c>
      <c r="E11" s="171">
        <v>8</v>
      </c>
      <c r="F11" s="171">
        <v>8</v>
      </c>
      <c r="G11" s="171">
        <v>8</v>
      </c>
      <c r="H11" s="172">
        <v>9</v>
      </c>
      <c r="I11" s="153"/>
      <c r="J11" s="153"/>
      <c r="K11" s="153"/>
      <c r="L11" s="153"/>
      <c r="M11" s="153"/>
      <c r="N11" s="34">
        <f t="shared" ref="N11:N74" si="0">IF(D11&lt;&gt;"AB",SUM(D11:M11),"AB")</f>
        <v>39</v>
      </c>
    </row>
    <row r="12" spans="1:14" ht="18" customHeight="1" thickBot="1">
      <c r="A12" s="116">
        <v>2</v>
      </c>
      <c r="B12" s="151">
        <v>22102</v>
      </c>
      <c r="C12" s="152" t="s">
        <v>125</v>
      </c>
      <c r="D12" s="171">
        <v>5</v>
      </c>
      <c r="E12" s="171">
        <v>8</v>
      </c>
      <c r="F12" s="171">
        <v>6</v>
      </c>
      <c r="G12" s="171">
        <v>8</v>
      </c>
      <c r="H12" s="172">
        <v>5</v>
      </c>
      <c r="I12" s="153"/>
      <c r="J12" s="153"/>
      <c r="K12" s="153"/>
      <c r="L12" s="153"/>
      <c r="M12" s="153"/>
      <c r="N12" s="34">
        <f t="shared" si="0"/>
        <v>32</v>
      </c>
    </row>
    <row r="13" spans="1:14" ht="18" customHeight="1" thickBot="1">
      <c r="A13" s="116">
        <v>3</v>
      </c>
      <c r="B13" s="151">
        <v>22103</v>
      </c>
      <c r="C13" s="152" t="s">
        <v>126</v>
      </c>
      <c r="D13" s="171">
        <v>9</v>
      </c>
      <c r="E13" s="171">
        <v>8</v>
      </c>
      <c r="F13" s="171">
        <v>9</v>
      </c>
      <c r="G13" s="171">
        <v>9</v>
      </c>
      <c r="H13" s="172">
        <v>8</v>
      </c>
      <c r="I13" s="153"/>
      <c r="J13" s="153"/>
      <c r="K13" s="153"/>
      <c r="L13" s="153"/>
      <c r="M13" s="153"/>
      <c r="N13" s="34">
        <f t="shared" si="0"/>
        <v>43</v>
      </c>
    </row>
    <row r="14" spans="1:14" ht="18" customHeight="1" thickBot="1">
      <c r="A14" s="116">
        <v>4</v>
      </c>
      <c r="B14" s="151">
        <v>22104</v>
      </c>
      <c r="C14" s="152" t="s">
        <v>127</v>
      </c>
      <c r="D14" s="171">
        <v>9</v>
      </c>
      <c r="E14" s="171">
        <v>8</v>
      </c>
      <c r="F14" s="171">
        <v>8</v>
      </c>
      <c r="G14" s="171">
        <v>8</v>
      </c>
      <c r="H14" s="172">
        <v>9</v>
      </c>
      <c r="I14" s="153"/>
      <c r="J14" s="153"/>
      <c r="K14" s="153"/>
      <c r="L14" s="153"/>
      <c r="M14" s="153"/>
      <c r="N14" s="34">
        <f t="shared" si="0"/>
        <v>42</v>
      </c>
    </row>
    <row r="15" spans="1:14" ht="18" customHeight="1" thickBot="1">
      <c r="A15" s="116">
        <v>5</v>
      </c>
      <c r="B15" s="151">
        <v>22105</v>
      </c>
      <c r="C15" s="152" t="s">
        <v>128</v>
      </c>
      <c r="D15" s="171">
        <v>8</v>
      </c>
      <c r="E15" s="171">
        <v>9</v>
      </c>
      <c r="F15" s="171">
        <v>6</v>
      </c>
      <c r="G15" s="171">
        <v>5</v>
      </c>
      <c r="H15" s="172">
        <v>9</v>
      </c>
      <c r="I15" s="153"/>
      <c r="J15" s="153"/>
      <c r="K15" s="153"/>
      <c r="L15" s="153"/>
      <c r="M15" s="153"/>
      <c r="N15" s="34">
        <f t="shared" si="0"/>
        <v>37</v>
      </c>
    </row>
    <row r="16" spans="1:14" ht="18" customHeight="1" thickBot="1">
      <c r="A16" s="116">
        <v>6</v>
      </c>
      <c r="B16" s="151">
        <v>22106</v>
      </c>
      <c r="C16" s="152" t="s">
        <v>129</v>
      </c>
      <c r="D16" s="171">
        <v>8</v>
      </c>
      <c r="E16" s="171">
        <v>4</v>
      </c>
      <c r="F16" s="171">
        <v>8</v>
      </c>
      <c r="G16" s="171">
        <v>8</v>
      </c>
      <c r="H16" s="172">
        <v>8</v>
      </c>
      <c r="I16" s="153"/>
      <c r="J16" s="153"/>
      <c r="K16" s="153"/>
      <c r="L16" s="153"/>
      <c r="M16" s="153"/>
      <c r="N16" s="34">
        <f t="shared" si="0"/>
        <v>36</v>
      </c>
    </row>
    <row r="17" spans="1:14" ht="18" customHeight="1" thickBot="1">
      <c r="A17" s="116">
        <v>7</v>
      </c>
      <c r="B17" s="151">
        <v>22107</v>
      </c>
      <c r="C17" s="152" t="s">
        <v>130</v>
      </c>
      <c r="D17" s="171">
        <v>8</v>
      </c>
      <c r="E17" s="171">
        <v>9</v>
      </c>
      <c r="F17" s="171">
        <v>9</v>
      </c>
      <c r="G17" s="171">
        <v>7</v>
      </c>
      <c r="H17" s="172">
        <v>8</v>
      </c>
      <c r="I17" s="153"/>
      <c r="J17" s="153"/>
      <c r="K17" s="153"/>
      <c r="L17" s="153"/>
      <c r="M17" s="153"/>
      <c r="N17" s="34">
        <f t="shared" si="0"/>
        <v>41</v>
      </c>
    </row>
    <row r="18" spans="1:14" ht="18" customHeight="1" thickBot="1">
      <c r="A18" s="116">
        <v>8</v>
      </c>
      <c r="B18" s="151">
        <v>22108</v>
      </c>
      <c r="C18" s="152" t="s">
        <v>131</v>
      </c>
      <c r="D18" s="171">
        <v>7</v>
      </c>
      <c r="E18" s="171">
        <v>8</v>
      </c>
      <c r="F18" s="171">
        <v>9</v>
      </c>
      <c r="G18" s="171">
        <v>7</v>
      </c>
      <c r="H18" s="172">
        <v>8</v>
      </c>
      <c r="I18" s="153"/>
      <c r="J18" s="153"/>
      <c r="K18" s="153"/>
      <c r="L18" s="153"/>
      <c r="M18" s="153"/>
      <c r="N18" s="34">
        <f t="shared" si="0"/>
        <v>39</v>
      </c>
    </row>
    <row r="19" spans="1:14" ht="18" customHeight="1" thickBot="1">
      <c r="A19" s="116">
        <v>9</v>
      </c>
      <c r="B19" s="151">
        <v>22109</v>
      </c>
      <c r="C19" s="152" t="s">
        <v>132</v>
      </c>
      <c r="D19" s="171">
        <v>9</v>
      </c>
      <c r="E19" s="171">
        <v>8</v>
      </c>
      <c r="F19" s="171">
        <v>9</v>
      </c>
      <c r="G19" s="171">
        <v>8</v>
      </c>
      <c r="H19" s="172">
        <v>7</v>
      </c>
      <c r="I19" s="153"/>
      <c r="J19" s="153"/>
      <c r="K19" s="153"/>
      <c r="L19" s="153"/>
      <c r="M19" s="153"/>
      <c r="N19" s="34">
        <f t="shared" si="0"/>
        <v>41</v>
      </c>
    </row>
    <row r="20" spans="1:14" ht="18" customHeight="1" thickBot="1">
      <c r="A20" s="116">
        <v>10</v>
      </c>
      <c r="B20" s="151">
        <v>22110</v>
      </c>
      <c r="C20" s="152" t="s">
        <v>133</v>
      </c>
      <c r="D20" s="171">
        <v>8</v>
      </c>
      <c r="E20" s="171">
        <v>8</v>
      </c>
      <c r="F20" s="171">
        <v>7</v>
      </c>
      <c r="G20" s="171">
        <v>9</v>
      </c>
      <c r="H20" s="172">
        <v>9</v>
      </c>
      <c r="I20" s="153"/>
      <c r="J20" s="153"/>
      <c r="K20" s="153"/>
      <c r="L20" s="153"/>
      <c r="M20" s="153"/>
      <c r="N20" s="34">
        <f t="shared" si="0"/>
        <v>41</v>
      </c>
    </row>
    <row r="21" spans="1:14" ht="18" customHeight="1" thickBot="1">
      <c r="A21" s="116">
        <v>11</v>
      </c>
      <c r="B21" s="151">
        <v>22111</v>
      </c>
      <c r="C21" s="152" t="s">
        <v>134</v>
      </c>
      <c r="D21" s="171">
        <v>10</v>
      </c>
      <c r="E21" s="171">
        <v>9</v>
      </c>
      <c r="F21" s="171">
        <v>9</v>
      </c>
      <c r="G21" s="171">
        <v>10</v>
      </c>
      <c r="H21" s="172">
        <v>7</v>
      </c>
      <c r="I21" s="153"/>
      <c r="J21" s="153"/>
      <c r="K21" s="153"/>
      <c r="L21" s="153"/>
      <c r="M21" s="153"/>
      <c r="N21" s="34">
        <f t="shared" si="0"/>
        <v>45</v>
      </c>
    </row>
    <row r="22" spans="1:14" ht="18" customHeight="1" thickBot="1">
      <c r="A22" s="116">
        <v>12</v>
      </c>
      <c r="B22" s="151">
        <v>22112</v>
      </c>
      <c r="C22" s="152" t="s">
        <v>135</v>
      </c>
      <c r="D22" s="171">
        <v>9</v>
      </c>
      <c r="E22" s="171">
        <v>8</v>
      </c>
      <c r="F22" s="171">
        <v>8</v>
      </c>
      <c r="G22" s="171">
        <v>9</v>
      </c>
      <c r="H22" s="172">
        <v>9</v>
      </c>
      <c r="I22" s="153"/>
      <c r="J22" s="153"/>
      <c r="K22" s="153"/>
      <c r="L22" s="153"/>
      <c r="M22" s="153"/>
      <c r="N22" s="34">
        <f t="shared" si="0"/>
        <v>43</v>
      </c>
    </row>
    <row r="23" spans="1:14" ht="18" customHeight="1" thickBot="1">
      <c r="A23" s="116">
        <v>13</v>
      </c>
      <c r="B23" s="151">
        <v>22113</v>
      </c>
      <c r="C23" s="152" t="s">
        <v>136</v>
      </c>
      <c r="D23" s="171">
        <v>9</v>
      </c>
      <c r="E23" s="171">
        <v>9</v>
      </c>
      <c r="F23" s="171">
        <v>8</v>
      </c>
      <c r="G23" s="171">
        <v>10</v>
      </c>
      <c r="H23" s="172">
        <v>9</v>
      </c>
      <c r="I23" s="153"/>
      <c r="J23" s="153"/>
      <c r="K23" s="153"/>
      <c r="L23" s="153"/>
      <c r="M23" s="153"/>
      <c r="N23" s="34">
        <f t="shared" si="0"/>
        <v>45</v>
      </c>
    </row>
    <row r="24" spans="1:14" ht="18" customHeight="1" thickBot="1">
      <c r="A24" s="116">
        <v>14</v>
      </c>
      <c r="B24" s="151">
        <v>22114</v>
      </c>
      <c r="C24" s="152" t="s">
        <v>137</v>
      </c>
      <c r="D24" s="171">
        <v>8</v>
      </c>
      <c r="E24" s="171">
        <v>9</v>
      </c>
      <c r="F24" s="171">
        <v>7</v>
      </c>
      <c r="G24" s="171">
        <v>8</v>
      </c>
      <c r="H24" s="172">
        <v>9</v>
      </c>
      <c r="I24" s="153"/>
      <c r="J24" s="153"/>
      <c r="K24" s="153"/>
      <c r="L24" s="153"/>
      <c r="M24" s="153"/>
      <c r="N24" s="34">
        <f t="shared" si="0"/>
        <v>41</v>
      </c>
    </row>
    <row r="25" spans="1:14" ht="18" customHeight="1" thickBot="1">
      <c r="A25" s="116">
        <v>15</v>
      </c>
      <c r="B25" s="151">
        <v>22115</v>
      </c>
      <c r="C25" s="152" t="s">
        <v>138</v>
      </c>
      <c r="D25" s="171">
        <v>8</v>
      </c>
      <c r="E25" s="171">
        <v>10</v>
      </c>
      <c r="F25" s="171">
        <v>7</v>
      </c>
      <c r="G25" s="171">
        <v>9</v>
      </c>
      <c r="H25" s="172">
        <v>8</v>
      </c>
      <c r="I25" s="153"/>
      <c r="J25" s="153"/>
      <c r="K25" s="153"/>
      <c r="L25" s="153"/>
      <c r="M25" s="153"/>
      <c r="N25" s="34">
        <f t="shared" si="0"/>
        <v>42</v>
      </c>
    </row>
    <row r="26" spans="1:14" ht="18" customHeight="1" thickBot="1">
      <c r="A26" s="116">
        <v>16</v>
      </c>
      <c r="B26" s="151">
        <v>22116</v>
      </c>
      <c r="C26" s="152" t="s">
        <v>139</v>
      </c>
      <c r="D26" s="171">
        <v>8</v>
      </c>
      <c r="E26" s="171">
        <v>8</v>
      </c>
      <c r="F26" s="171">
        <v>9</v>
      </c>
      <c r="G26" s="171">
        <v>9</v>
      </c>
      <c r="H26" s="172">
        <v>8</v>
      </c>
      <c r="I26" s="153"/>
      <c r="J26" s="153"/>
      <c r="K26" s="153"/>
      <c r="L26" s="153"/>
      <c r="M26" s="153"/>
      <c r="N26" s="34">
        <f t="shared" si="0"/>
        <v>42</v>
      </c>
    </row>
    <row r="27" spans="1:14" ht="18" customHeight="1" thickBot="1">
      <c r="A27" s="116">
        <v>17</v>
      </c>
      <c r="B27" s="151">
        <v>22117</v>
      </c>
      <c r="C27" s="152" t="s">
        <v>140</v>
      </c>
      <c r="D27" s="171">
        <v>9</v>
      </c>
      <c r="E27" s="171">
        <v>8</v>
      </c>
      <c r="F27" s="171">
        <v>9</v>
      </c>
      <c r="G27" s="171">
        <v>9</v>
      </c>
      <c r="H27" s="172">
        <v>9</v>
      </c>
      <c r="I27" s="153"/>
      <c r="J27" s="153"/>
      <c r="K27" s="153"/>
      <c r="L27" s="153"/>
      <c r="M27" s="153"/>
      <c r="N27" s="34">
        <f t="shared" si="0"/>
        <v>44</v>
      </c>
    </row>
    <row r="28" spans="1:14" ht="18" customHeight="1" thickBot="1">
      <c r="A28" s="116">
        <v>18</v>
      </c>
      <c r="B28" s="151">
        <v>22118</v>
      </c>
      <c r="C28" s="152" t="s">
        <v>141</v>
      </c>
      <c r="D28" s="171">
        <v>10</v>
      </c>
      <c r="E28" s="171">
        <v>9</v>
      </c>
      <c r="F28" s="171">
        <v>10</v>
      </c>
      <c r="G28" s="171">
        <v>10</v>
      </c>
      <c r="H28" s="172">
        <v>8</v>
      </c>
      <c r="I28" s="153"/>
      <c r="J28" s="153"/>
      <c r="K28" s="153"/>
      <c r="L28" s="153"/>
      <c r="M28" s="153"/>
      <c r="N28" s="34">
        <f t="shared" si="0"/>
        <v>47</v>
      </c>
    </row>
    <row r="29" spans="1:14" ht="18" customHeight="1" thickBot="1">
      <c r="A29" s="116">
        <v>19</v>
      </c>
      <c r="B29" s="151">
        <v>22119</v>
      </c>
      <c r="C29" s="152" t="s">
        <v>142</v>
      </c>
      <c r="D29" s="171">
        <v>9</v>
      </c>
      <c r="E29" s="171">
        <v>10</v>
      </c>
      <c r="F29" s="171">
        <v>8</v>
      </c>
      <c r="G29" s="171">
        <v>9</v>
      </c>
      <c r="H29" s="172">
        <v>8</v>
      </c>
      <c r="I29" s="153"/>
      <c r="J29" s="153"/>
      <c r="K29" s="153"/>
      <c r="L29" s="153"/>
      <c r="M29" s="153"/>
      <c r="N29" s="34">
        <f t="shared" si="0"/>
        <v>44</v>
      </c>
    </row>
    <row r="30" spans="1:14" ht="18" customHeight="1" thickBot="1">
      <c r="A30" s="116">
        <v>20</v>
      </c>
      <c r="B30" s="151">
        <v>22120</v>
      </c>
      <c r="C30" s="152" t="s">
        <v>143</v>
      </c>
      <c r="D30" s="171">
        <v>8</v>
      </c>
      <c r="E30" s="171">
        <v>9</v>
      </c>
      <c r="F30" s="171">
        <v>8</v>
      </c>
      <c r="G30" s="171">
        <v>8</v>
      </c>
      <c r="H30" s="172">
        <v>8</v>
      </c>
      <c r="I30" s="153"/>
      <c r="J30" s="153"/>
      <c r="K30" s="153"/>
      <c r="L30" s="153"/>
      <c r="M30" s="153"/>
      <c r="N30" s="34">
        <f t="shared" si="0"/>
        <v>41</v>
      </c>
    </row>
    <row r="31" spans="1:14" ht="18" customHeight="1" thickBot="1">
      <c r="A31" s="116">
        <v>21</v>
      </c>
      <c r="B31" s="151">
        <v>22121</v>
      </c>
      <c r="C31" s="152" t="s">
        <v>144</v>
      </c>
      <c r="D31" s="171">
        <v>10</v>
      </c>
      <c r="E31" s="171">
        <v>8</v>
      </c>
      <c r="F31" s="171">
        <v>7</v>
      </c>
      <c r="G31" s="171">
        <v>7</v>
      </c>
      <c r="H31" s="172">
        <v>9</v>
      </c>
      <c r="I31" s="153"/>
      <c r="J31" s="153"/>
      <c r="K31" s="153"/>
      <c r="L31" s="153"/>
      <c r="M31" s="153"/>
      <c r="N31" s="34">
        <f t="shared" si="0"/>
        <v>41</v>
      </c>
    </row>
    <row r="32" spans="1:14" ht="18" customHeight="1" thickBot="1">
      <c r="A32" s="116">
        <v>22</v>
      </c>
      <c r="B32" s="151">
        <v>22122</v>
      </c>
      <c r="C32" s="152" t="s">
        <v>145</v>
      </c>
      <c r="D32" s="171">
        <v>10</v>
      </c>
      <c r="E32" s="171">
        <v>10</v>
      </c>
      <c r="F32" s="171">
        <v>8</v>
      </c>
      <c r="G32" s="171">
        <v>8</v>
      </c>
      <c r="H32" s="172">
        <v>8</v>
      </c>
      <c r="I32" s="153"/>
      <c r="J32" s="153"/>
      <c r="K32" s="153"/>
      <c r="L32" s="153"/>
      <c r="M32" s="153"/>
      <c r="N32" s="34">
        <f t="shared" si="0"/>
        <v>44</v>
      </c>
    </row>
    <row r="33" spans="1:14" ht="18" customHeight="1" thickBot="1">
      <c r="A33" s="116">
        <v>23</v>
      </c>
      <c r="B33" s="151">
        <v>22123</v>
      </c>
      <c r="C33" s="152" t="s">
        <v>146</v>
      </c>
      <c r="D33" s="171">
        <v>8</v>
      </c>
      <c r="E33" s="171">
        <v>8</v>
      </c>
      <c r="F33" s="171">
        <v>10</v>
      </c>
      <c r="G33" s="171">
        <v>7</v>
      </c>
      <c r="H33" s="172">
        <v>7</v>
      </c>
      <c r="I33" s="153"/>
      <c r="J33" s="153"/>
      <c r="K33" s="153"/>
      <c r="L33" s="153"/>
      <c r="M33" s="153"/>
      <c r="N33" s="34">
        <f t="shared" si="0"/>
        <v>40</v>
      </c>
    </row>
    <row r="34" spans="1:14" ht="18" customHeight="1" thickBot="1">
      <c r="A34" s="116">
        <v>24</v>
      </c>
      <c r="B34" s="151">
        <v>22124</v>
      </c>
      <c r="C34" s="152" t="s">
        <v>147</v>
      </c>
      <c r="D34" s="171">
        <v>10</v>
      </c>
      <c r="E34" s="171">
        <v>10</v>
      </c>
      <c r="F34" s="171">
        <v>9</v>
      </c>
      <c r="G34" s="171">
        <v>9</v>
      </c>
      <c r="H34" s="172">
        <v>7</v>
      </c>
      <c r="I34" s="153"/>
      <c r="J34" s="153"/>
      <c r="K34" s="153"/>
      <c r="L34" s="153"/>
      <c r="M34" s="153"/>
      <c r="N34" s="34">
        <f t="shared" si="0"/>
        <v>45</v>
      </c>
    </row>
    <row r="35" spans="1:14" ht="18" customHeight="1" thickBot="1">
      <c r="A35" s="116">
        <v>25</v>
      </c>
      <c r="B35" s="151">
        <v>22125</v>
      </c>
      <c r="C35" s="152" t="s">
        <v>148</v>
      </c>
      <c r="D35" s="171">
        <v>9</v>
      </c>
      <c r="E35" s="171">
        <v>10</v>
      </c>
      <c r="F35" s="171">
        <v>10</v>
      </c>
      <c r="G35" s="171">
        <v>8</v>
      </c>
      <c r="H35" s="172">
        <v>8</v>
      </c>
      <c r="I35" s="153"/>
      <c r="J35" s="153"/>
      <c r="K35" s="153"/>
      <c r="L35" s="153"/>
      <c r="M35" s="153"/>
      <c r="N35" s="34">
        <f t="shared" si="0"/>
        <v>45</v>
      </c>
    </row>
    <row r="36" spans="1:14" ht="18" customHeight="1" thickBot="1">
      <c r="A36" s="116">
        <v>26</v>
      </c>
      <c r="B36" s="151">
        <v>22126</v>
      </c>
      <c r="C36" s="152" t="s">
        <v>149</v>
      </c>
      <c r="D36" s="171">
        <v>9</v>
      </c>
      <c r="E36" s="171">
        <v>9</v>
      </c>
      <c r="F36" s="171">
        <v>9</v>
      </c>
      <c r="G36" s="171">
        <v>10</v>
      </c>
      <c r="H36" s="172">
        <v>9</v>
      </c>
      <c r="I36" s="153"/>
      <c r="J36" s="153"/>
      <c r="K36" s="153"/>
      <c r="L36" s="153"/>
      <c r="M36" s="153"/>
      <c r="N36" s="34">
        <f t="shared" si="0"/>
        <v>46</v>
      </c>
    </row>
    <row r="37" spans="1:14" ht="18" customHeight="1" thickBot="1">
      <c r="A37" s="116">
        <v>27</v>
      </c>
      <c r="B37" s="151">
        <v>22127</v>
      </c>
      <c r="C37" s="152" t="s">
        <v>150</v>
      </c>
      <c r="D37" s="171">
        <v>9</v>
      </c>
      <c r="E37" s="171">
        <v>9</v>
      </c>
      <c r="F37" s="171">
        <v>9</v>
      </c>
      <c r="G37" s="171">
        <v>9</v>
      </c>
      <c r="H37" s="172">
        <v>9</v>
      </c>
      <c r="I37" s="153"/>
      <c r="J37" s="153"/>
      <c r="K37" s="153"/>
      <c r="L37" s="153"/>
      <c r="M37" s="153"/>
      <c r="N37" s="34">
        <f t="shared" si="0"/>
        <v>45</v>
      </c>
    </row>
    <row r="38" spans="1:14" ht="18" customHeight="1" thickBot="1">
      <c r="A38" s="116">
        <v>28</v>
      </c>
      <c r="B38" s="151">
        <v>22128</v>
      </c>
      <c r="C38" s="152" t="s">
        <v>151</v>
      </c>
      <c r="D38" s="171">
        <v>10</v>
      </c>
      <c r="E38" s="171">
        <v>10</v>
      </c>
      <c r="F38" s="171">
        <v>8</v>
      </c>
      <c r="G38" s="171">
        <v>8</v>
      </c>
      <c r="H38" s="172">
        <v>8</v>
      </c>
      <c r="I38" s="153"/>
      <c r="J38" s="153"/>
      <c r="K38" s="153"/>
      <c r="L38" s="153"/>
      <c r="M38" s="153"/>
      <c r="N38" s="34">
        <f t="shared" si="0"/>
        <v>44</v>
      </c>
    </row>
    <row r="39" spans="1:14" ht="18" customHeight="1" thickBot="1">
      <c r="A39" s="116">
        <v>29</v>
      </c>
      <c r="B39" s="151">
        <v>22129</v>
      </c>
      <c r="C39" s="152" t="s">
        <v>152</v>
      </c>
      <c r="D39" s="171">
        <v>9</v>
      </c>
      <c r="E39" s="171">
        <v>10</v>
      </c>
      <c r="F39" s="171">
        <v>9</v>
      </c>
      <c r="G39" s="171">
        <v>8</v>
      </c>
      <c r="H39" s="172">
        <v>9</v>
      </c>
      <c r="I39" s="153"/>
      <c r="J39" s="153"/>
      <c r="K39" s="153"/>
      <c r="L39" s="153"/>
      <c r="M39" s="153"/>
      <c r="N39" s="34">
        <f t="shared" si="0"/>
        <v>45</v>
      </c>
    </row>
    <row r="40" spans="1:14" ht="18" customHeight="1" thickBot="1">
      <c r="A40" s="116">
        <v>30</v>
      </c>
      <c r="B40" s="151">
        <v>22130</v>
      </c>
      <c r="C40" s="152" t="s">
        <v>153</v>
      </c>
      <c r="D40" s="171">
        <v>8</v>
      </c>
      <c r="E40" s="171">
        <v>8</v>
      </c>
      <c r="F40" s="171">
        <v>10</v>
      </c>
      <c r="G40" s="171">
        <v>8</v>
      </c>
      <c r="H40" s="172">
        <v>9</v>
      </c>
      <c r="I40" s="153"/>
      <c r="J40" s="153"/>
      <c r="K40" s="153"/>
      <c r="L40" s="153"/>
      <c r="M40" s="153"/>
      <c r="N40" s="34">
        <f t="shared" si="0"/>
        <v>43</v>
      </c>
    </row>
    <row r="41" spans="1:14" ht="18" customHeight="1" thickBot="1">
      <c r="A41" s="116">
        <v>31</v>
      </c>
      <c r="B41" s="151">
        <v>22131</v>
      </c>
      <c r="C41" s="152" t="s">
        <v>154</v>
      </c>
      <c r="D41" s="171">
        <v>6</v>
      </c>
      <c r="E41" s="171">
        <v>5</v>
      </c>
      <c r="F41" s="171">
        <v>8</v>
      </c>
      <c r="G41" s="171">
        <v>8</v>
      </c>
      <c r="H41" s="172">
        <v>8</v>
      </c>
      <c r="I41" s="153"/>
      <c r="J41" s="153"/>
      <c r="K41" s="153"/>
      <c r="L41" s="153"/>
      <c r="M41" s="153"/>
      <c r="N41" s="34">
        <f t="shared" si="0"/>
        <v>35</v>
      </c>
    </row>
    <row r="42" spans="1:14" ht="18" customHeight="1" thickBot="1">
      <c r="A42" s="116">
        <v>32</v>
      </c>
      <c r="B42" s="151">
        <v>22132</v>
      </c>
      <c r="C42" s="152" t="s">
        <v>155</v>
      </c>
      <c r="D42" s="171">
        <v>9</v>
      </c>
      <c r="E42" s="171">
        <v>9</v>
      </c>
      <c r="F42" s="171">
        <v>8</v>
      </c>
      <c r="G42" s="171">
        <v>8</v>
      </c>
      <c r="H42" s="172">
        <v>6</v>
      </c>
      <c r="I42" s="153"/>
      <c r="J42" s="153"/>
      <c r="K42" s="153"/>
      <c r="L42" s="153"/>
      <c r="M42" s="153"/>
      <c r="N42" s="34">
        <f t="shared" si="0"/>
        <v>40</v>
      </c>
    </row>
    <row r="43" spans="1:14" ht="18" customHeight="1" thickBot="1">
      <c r="A43" s="116">
        <v>33</v>
      </c>
      <c r="B43" s="151">
        <v>22133</v>
      </c>
      <c r="C43" s="152" t="s">
        <v>156</v>
      </c>
      <c r="D43" s="171">
        <v>9</v>
      </c>
      <c r="E43" s="171">
        <v>8</v>
      </c>
      <c r="F43" s="171">
        <v>9</v>
      </c>
      <c r="G43" s="171">
        <v>5</v>
      </c>
      <c r="H43" s="172">
        <v>8</v>
      </c>
      <c r="I43" s="153"/>
      <c r="J43" s="153"/>
      <c r="K43" s="153"/>
      <c r="L43" s="153"/>
      <c r="M43" s="153"/>
      <c r="N43" s="34">
        <f t="shared" si="0"/>
        <v>39</v>
      </c>
    </row>
    <row r="44" spans="1:14" ht="18" customHeight="1" thickBot="1">
      <c r="A44" s="116">
        <v>34</v>
      </c>
      <c r="B44" s="151">
        <v>22134</v>
      </c>
      <c r="C44" s="152" t="s">
        <v>157</v>
      </c>
      <c r="D44" s="171">
        <v>10</v>
      </c>
      <c r="E44" s="171">
        <v>9</v>
      </c>
      <c r="F44" s="171">
        <v>9</v>
      </c>
      <c r="G44" s="171">
        <v>8</v>
      </c>
      <c r="H44" s="172">
        <v>8</v>
      </c>
      <c r="I44" s="153"/>
      <c r="J44" s="153"/>
      <c r="K44" s="153"/>
      <c r="L44" s="153"/>
      <c r="M44" s="153"/>
      <c r="N44" s="34">
        <f t="shared" si="0"/>
        <v>44</v>
      </c>
    </row>
    <row r="45" spans="1:14" ht="18" customHeight="1" thickBot="1">
      <c r="A45" s="116">
        <v>35</v>
      </c>
      <c r="B45" s="151">
        <v>22135</v>
      </c>
      <c r="C45" s="152" t="s">
        <v>158</v>
      </c>
      <c r="D45" s="171">
        <v>8</v>
      </c>
      <c r="E45" s="171">
        <v>9</v>
      </c>
      <c r="F45" s="171">
        <v>8</v>
      </c>
      <c r="G45" s="171">
        <v>9</v>
      </c>
      <c r="H45" s="172">
        <v>7</v>
      </c>
      <c r="I45" s="153"/>
      <c r="J45" s="153"/>
      <c r="K45" s="153"/>
      <c r="L45" s="153"/>
      <c r="M45" s="153"/>
      <c r="N45" s="34">
        <f t="shared" si="0"/>
        <v>41</v>
      </c>
    </row>
    <row r="46" spans="1:14" ht="18" customHeight="1" thickBot="1">
      <c r="A46" s="116">
        <v>36</v>
      </c>
      <c r="B46" s="151">
        <v>22136</v>
      </c>
      <c r="C46" s="152" t="s">
        <v>159</v>
      </c>
      <c r="D46" s="171">
        <v>9</v>
      </c>
      <c r="E46" s="171">
        <v>8</v>
      </c>
      <c r="F46" s="171">
        <v>8</v>
      </c>
      <c r="G46" s="171">
        <v>9</v>
      </c>
      <c r="H46" s="172">
        <v>8</v>
      </c>
      <c r="I46" s="153"/>
      <c r="J46" s="153"/>
      <c r="K46" s="153"/>
      <c r="L46" s="153"/>
      <c r="M46" s="153"/>
      <c r="N46" s="34">
        <f t="shared" si="0"/>
        <v>42</v>
      </c>
    </row>
    <row r="47" spans="1:14" ht="18" customHeight="1" thickBot="1">
      <c r="A47" s="116">
        <v>37</v>
      </c>
      <c r="B47" s="151">
        <v>22137</v>
      </c>
      <c r="C47" s="152" t="s">
        <v>160</v>
      </c>
      <c r="D47" s="171">
        <v>9</v>
      </c>
      <c r="E47" s="171">
        <v>8</v>
      </c>
      <c r="F47" s="171">
        <v>8</v>
      </c>
      <c r="G47" s="171">
        <v>5</v>
      </c>
      <c r="H47" s="172">
        <v>5</v>
      </c>
      <c r="I47" s="153"/>
      <c r="J47" s="153"/>
      <c r="K47" s="153"/>
      <c r="L47" s="153"/>
      <c r="M47" s="153"/>
      <c r="N47" s="34">
        <f t="shared" si="0"/>
        <v>35</v>
      </c>
    </row>
    <row r="48" spans="1:14" ht="18" customHeight="1" thickBot="1">
      <c r="A48" s="116">
        <v>38</v>
      </c>
      <c r="B48" s="151">
        <v>22138</v>
      </c>
      <c r="C48" s="152" t="s">
        <v>161</v>
      </c>
      <c r="D48" s="171">
        <v>7</v>
      </c>
      <c r="E48" s="171">
        <v>5</v>
      </c>
      <c r="F48" s="171">
        <v>9</v>
      </c>
      <c r="G48" s="171">
        <v>8</v>
      </c>
      <c r="H48" s="172">
        <v>9</v>
      </c>
      <c r="I48" s="153"/>
      <c r="J48" s="153"/>
      <c r="K48" s="153"/>
      <c r="L48" s="153"/>
      <c r="M48" s="153"/>
      <c r="N48" s="34">
        <f t="shared" si="0"/>
        <v>38</v>
      </c>
    </row>
    <row r="49" spans="1:14" ht="18" customHeight="1" thickBot="1">
      <c r="A49" s="116">
        <v>39</v>
      </c>
      <c r="B49" s="151">
        <v>22139</v>
      </c>
      <c r="C49" s="152" t="s">
        <v>162</v>
      </c>
      <c r="D49" s="171">
        <v>8</v>
      </c>
      <c r="E49" s="171">
        <v>8</v>
      </c>
      <c r="F49" s="171">
        <v>9</v>
      </c>
      <c r="G49" s="171">
        <v>8</v>
      </c>
      <c r="H49" s="172">
        <v>4</v>
      </c>
      <c r="I49" s="153"/>
      <c r="J49" s="153"/>
      <c r="K49" s="153"/>
      <c r="L49" s="153"/>
      <c r="M49" s="153"/>
      <c r="N49" s="34">
        <f t="shared" si="0"/>
        <v>37</v>
      </c>
    </row>
    <row r="50" spans="1:14" ht="18" customHeight="1" thickBot="1">
      <c r="A50" s="116">
        <v>40</v>
      </c>
      <c r="B50" s="151">
        <v>22140</v>
      </c>
      <c r="C50" s="152" t="s">
        <v>163</v>
      </c>
      <c r="D50" s="171">
        <v>8</v>
      </c>
      <c r="E50" s="171">
        <v>7</v>
      </c>
      <c r="F50" s="171">
        <v>8</v>
      </c>
      <c r="G50" s="171">
        <v>6</v>
      </c>
      <c r="H50" s="172">
        <v>9</v>
      </c>
      <c r="I50" s="153"/>
      <c r="J50" s="153"/>
      <c r="K50" s="153"/>
      <c r="L50" s="153"/>
      <c r="M50" s="153"/>
      <c r="N50" s="34">
        <f t="shared" si="0"/>
        <v>38</v>
      </c>
    </row>
    <row r="51" spans="1:14" ht="18" customHeight="1" thickBot="1">
      <c r="A51" s="116">
        <v>41</v>
      </c>
      <c r="B51" s="151">
        <v>22141</v>
      </c>
      <c r="C51" s="152" t="s">
        <v>164</v>
      </c>
      <c r="D51" s="171">
        <v>8</v>
      </c>
      <c r="E51" s="171">
        <v>8</v>
      </c>
      <c r="F51" s="171">
        <v>7</v>
      </c>
      <c r="G51" s="171">
        <v>8</v>
      </c>
      <c r="H51" s="172">
        <v>5</v>
      </c>
      <c r="I51" s="153"/>
      <c r="J51" s="153"/>
      <c r="K51" s="153"/>
      <c r="L51" s="153"/>
      <c r="M51" s="153"/>
      <c r="N51" s="34">
        <f t="shared" si="0"/>
        <v>36</v>
      </c>
    </row>
    <row r="52" spans="1:14" ht="18" customHeight="1" thickBot="1">
      <c r="A52" s="116">
        <v>42</v>
      </c>
      <c r="B52" s="151">
        <v>22142</v>
      </c>
      <c r="C52" s="152" t="s">
        <v>165</v>
      </c>
      <c r="D52" s="171">
        <v>9</v>
      </c>
      <c r="E52" s="171">
        <v>8</v>
      </c>
      <c r="F52" s="171">
        <v>8</v>
      </c>
      <c r="G52" s="171">
        <v>9</v>
      </c>
      <c r="H52" s="172">
        <v>8</v>
      </c>
      <c r="I52" s="153"/>
      <c r="J52" s="153"/>
      <c r="K52" s="153"/>
      <c r="L52" s="153"/>
      <c r="M52" s="153"/>
      <c r="N52" s="34">
        <f t="shared" si="0"/>
        <v>42</v>
      </c>
    </row>
    <row r="53" spans="1:14" ht="18" customHeight="1" thickBot="1">
      <c r="A53" s="116">
        <v>43</v>
      </c>
      <c r="B53" s="151">
        <v>22143</v>
      </c>
      <c r="C53" s="152" t="s">
        <v>166</v>
      </c>
      <c r="D53" s="171">
        <v>9</v>
      </c>
      <c r="E53" s="171">
        <v>8</v>
      </c>
      <c r="F53" s="171">
        <v>7</v>
      </c>
      <c r="G53" s="171">
        <v>8</v>
      </c>
      <c r="H53" s="172">
        <v>9</v>
      </c>
      <c r="I53" s="153"/>
      <c r="J53" s="153"/>
      <c r="K53" s="153"/>
      <c r="L53" s="153"/>
      <c r="M53" s="153"/>
      <c r="N53" s="34">
        <f t="shared" si="0"/>
        <v>41</v>
      </c>
    </row>
    <row r="54" spans="1:14" ht="18" customHeight="1" thickBot="1">
      <c r="A54" s="116">
        <v>44</v>
      </c>
      <c r="B54" s="151">
        <v>22144</v>
      </c>
      <c r="C54" s="152" t="s">
        <v>167</v>
      </c>
      <c r="D54" s="171">
        <v>7</v>
      </c>
      <c r="E54" s="171">
        <v>9</v>
      </c>
      <c r="F54" s="171">
        <v>7</v>
      </c>
      <c r="G54" s="171">
        <v>8</v>
      </c>
      <c r="H54" s="172">
        <v>6</v>
      </c>
      <c r="I54" s="153"/>
      <c r="J54" s="153"/>
      <c r="K54" s="153"/>
      <c r="L54" s="153"/>
      <c r="M54" s="153"/>
      <c r="N54" s="34">
        <f t="shared" si="0"/>
        <v>37</v>
      </c>
    </row>
    <row r="55" spans="1:14" ht="18" customHeight="1" thickBot="1">
      <c r="A55" s="116">
        <v>45</v>
      </c>
      <c r="B55" s="151">
        <v>22145</v>
      </c>
      <c r="C55" s="152" t="s">
        <v>168</v>
      </c>
      <c r="D55" s="171">
        <v>8</v>
      </c>
      <c r="E55" s="171">
        <v>10</v>
      </c>
      <c r="F55" s="171">
        <v>8</v>
      </c>
      <c r="G55" s="171">
        <v>7</v>
      </c>
      <c r="H55" s="172">
        <v>9</v>
      </c>
      <c r="I55" s="153"/>
      <c r="J55" s="153"/>
      <c r="K55" s="153"/>
      <c r="L55" s="153"/>
      <c r="M55" s="153"/>
      <c r="N55" s="34">
        <f t="shared" si="0"/>
        <v>42</v>
      </c>
    </row>
    <row r="56" spans="1:14" ht="18" customHeight="1" thickBot="1">
      <c r="A56" s="116">
        <v>46</v>
      </c>
      <c r="B56" s="151">
        <v>22146</v>
      </c>
      <c r="C56" s="152" t="s">
        <v>169</v>
      </c>
      <c r="D56" s="171">
        <v>10</v>
      </c>
      <c r="E56" s="171">
        <v>9</v>
      </c>
      <c r="F56" s="171">
        <v>8</v>
      </c>
      <c r="G56" s="171">
        <v>7</v>
      </c>
      <c r="H56" s="172">
        <v>9</v>
      </c>
      <c r="I56" s="153"/>
      <c r="J56" s="153"/>
      <c r="K56" s="153"/>
      <c r="L56" s="153"/>
      <c r="M56" s="153"/>
      <c r="N56" s="34">
        <f t="shared" si="0"/>
        <v>43</v>
      </c>
    </row>
    <row r="57" spans="1:14" ht="18" customHeight="1" thickBot="1">
      <c r="A57" s="116">
        <v>47</v>
      </c>
      <c r="B57" s="151">
        <v>22147</v>
      </c>
      <c r="C57" s="152" t="s">
        <v>170</v>
      </c>
      <c r="D57" s="171">
        <v>10</v>
      </c>
      <c r="E57" s="171">
        <v>10</v>
      </c>
      <c r="F57" s="171">
        <v>8</v>
      </c>
      <c r="G57" s="171">
        <v>10</v>
      </c>
      <c r="H57" s="172">
        <v>10</v>
      </c>
      <c r="I57" s="153"/>
      <c r="J57" s="153"/>
      <c r="K57" s="153"/>
      <c r="L57" s="153"/>
      <c r="M57" s="153"/>
      <c r="N57" s="34">
        <f t="shared" si="0"/>
        <v>48</v>
      </c>
    </row>
    <row r="58" spans="1:14" ht="18" customHeight="1" thickBot="1">
      <c r="A58" s="116">
        <v>48</v>
      </c>
      <c r="B58" s="151">
        <v>22148</v>
      </c>
      <c r="C58" s="152" t="s">
        <v>171</v>
      </c>
      <c r="D58" s="171">
        <v>9</v>
      </c>
      <c r="E58" s="171">
        <v>10</v>
      </c>
      <c r="F58" s="171">
        <v>10</v>
      </c>
      <c r="G58" s="171">
        <v>9</v>
      </c>
      <c r="H58" s="172">
        <v>8</v>
      </c>
      <c r="I58" s="153"/>
      <c r="J58" s="153"/>
      <c r="K58" s="153"/>
      <c r="L58" s="153"/>
      <c r="M58" s="153"/>
      <c r="N58" s="34">
        <f t="shared" si="0"/>
        <v>46</v>
      </c>
    </row>
    <row r="59" spans="1:14" ht="18" customHeight="1" thickBot="1">
      <c r="A59" s="116">
        <v>49</v>
      </c>
      <c r="B59" s="151">
        <v>22149</v>
      </c>
      <c r="C59" s="152" t="s">
        <v>172</v>
      </c>
      <c r="D59" s="171">
        <v>9</v>
      </c>
      <c r="E59" s="171">
        <v>10</v>
      </c>
      <c r="F59" s="171">
        <v>10</v>
      </c>
      <c r="G59" s="171">
        <v>9</v>
      </c>
      <c r="H59" s="172">
        <v>9</v>
      </c>
      <c r="I59" s="153"/>
      <c r="J59" s="153"/>
      <c r="K59" s="153"/>
      <c r="L59" s="153"/>
      <c r="M59" s="153"/>
      <c r="N59" s="34">
        <f t="shared" si="0"/>
        <v>47</v>
      </c>
    </row>
    <row r="60" spans="1:14" ht="18" customHeight="1" thickBot="1">
      <c r="A60" s="116">
        <v>50</v>
      </c>
      <c r="B60" s="151">
        <v>22150</v>
      </c>
      <c r="C60" s="152" t="s">
        <v>173</v>
      </c>
      <c r="D60" s="171">
        <v>10</v>
      </c>
      <c r="E60" s="171">
        <v>10</v>
      </c>
      <c r="F60" s="171">
        <v>9</v>
      </c>
      <c r="G60" s="171">
        <v>8</v>
      </c>
      <c r="H60" s="172">
        <v>9</v>
      </c>
      <c r="I60" s="153"/>
      <c r="J60" s="153"/>
      <c r="K60" s="153"/>
      <c r="L60" s="153"/>
      <c r="M60" s="153"/>
      <c r="N60" s="34">
        <f t="shared" si="0"/>
        <v>46</v>
      </c>
    </row>
    <row r="61" spans="1:14" ht="18" customHeight="1" thickBot="1">
      <c r="A61" s="116">
        <v>51</v>
      </c>
      <c r="B61" s="151">
        <v>22151</v>
      </c>
      <c r="C61" s="152" t="s">
        <v>174</v>
      </c>
      <c r="D61" s="171">
        <v>8</v>
      </c>
      <c r="E61" s="171">
        <v>9</v>
      </c>
      <c r="F61" s="171">
        <v>9</v>
      </c>
      <c r="G61" s="171">
        <v>10</v>
      </c>
      <c r="H61" s="172">
        <v>8</v>
      </c>
      <c r="I61" s="153"/>
      <c r="J61" s="153"/>
      <c r="K61" s="153"/>
      <c r="L61" s="153"/>
      <c r="M61" s="153"/>
      <c r="N61" s="34">
        <f t="shared" si="0"/>
        <v>44</v>
      </c>
    </row>
    <row r="62" spans="1:14" ht="18" customHeight="1" thickBot="1">
      <c r="A62" s="116">
        <v>52</v>
      </c>
      <c r="B62" s="151">
        <v>22152</v>
      </c>
      <c r="C62" s="152" t="s">
        <v>175</v>
      </c>
      <c r="D62" s="171">
        <v>9</v>
      </c>
      <c r="E62" s="171">
        <v>8</v>
      </c>
      <c r="F62" s="171">
        <v>10</v>
      </c>
      <c r="G62" s="171">
        <v>10</v>
      </c>
      <c r="H62" s="172">
        <v>10</v>
      </c>
      <c r="I62" s="153"/>
      <c r="J62" s="153"/>
      <c r="K62" s="153"/>
      <c r="L62" s="153"/>
      <c r="M62" s="153"/>
      <c r="N62" s="34">
        <f t="shared" si="0"/>
        <v>47</v>
      </c>
    </row>
    <row r="63" spans="1:14" ht="18" customHeight="1" thickBot="1">
      <c r="A63" s="116">
        <v>53</v>
      </c>
      <c r="B63" s="151">
        <v>22153</v>
      </c>
      <c r="C63" s="152" t="s">
        <v>176</v>
      </c>
      <c r="D63" s="171">
        <v>9</v>
      </c>
      <c r="E63" s="171">
        <v>10</v>
      </c>
      <c r="F63" s="171">
        <v>10</v>
      </c>
      <c r="G63" s="171">
        <v>8</v>
      </c>
      <c r="H63" s="172">
        <v>9</v>
      </c>
      <c r="I63" s="153"/>
      <c r="J63" s="153"/>
      <c r="K63" s="153"/>
      <c r="L63" s="153"/>
      <c r="M63" s="153"/>
      <c r="N63" s="34">
        <f t="shared" si="0"/>
        <v>46</v>
      </c>
    </row>
    <row r="64" spans="1:14" ht="18" customHeight="1" thickBot="1">
      <c r="A64" s="116">
        <v>54</v>
      </c>
      <c r="B64" s="151">
        <v>22154</v>
      </c>
      <c r="C64" s="152" t="s">
        <v>177</v>
      </c>
      <c r="D64" s="171">
        <v>9</v>
      </c>
      <c r="E64" s="171">
        <v>10</v>
      </c>
      <c r="F64" s="171">
        <v>8</v>
      </c>
      <c r="G64" s="171">
        <v>8</v>
      </c>
      <c r="H64" s="172">
        <v>8</v>
      </c>
      <c r="I64" s="153"/>
      <c r="J64" s="153"/>
      <c r="K64" s="153"/>
      <c r="L64" s="153"/>
      <c r="M64" s="153"/>
      <c r="N64" s="34">
        <f t="shared" si="0"/>
        <v>43</v>
      </c>
    </row>
    <row r="65" spans="1:14" ht="18" customHeight="1" thickBot="1">
      <c r="A65" s="116">
        <v>55</v>
      </c>
      <c r="B65" s="151">
        <v>22155</v>
      </c>
      <c r="C65" s="152" t="s">
        <v>178</v>
      </c>
      <c r="D65" s="171">
        <v>10</v>
      </c>
      <c r="E65" s="171">
        <v>8</v>
      </c>
      <c r="F65" s="171">
        <v>9</v>
      </c>
      <c r="G65" s="171">
        <v>5</v>
      </c>
      <c r="H65" s="172">
        <v>4</v>
      </c>
      <c r="I65" s="153"/>
      <c r="J65" s="153"/>
      <c r="K65" s="153"/>
      <c r="L65" s="153"/>
      <c r="M65" s="153"/>
      <c r="N65" s="34">
        <f t="shared" si="0"/>
        <v>36</v>
      </c>
    </row>
    <row r="66" spans="1:14" ht="18" customHeight="1" thickBot="1">
      <c r="A66" s="116">
        <v>56</v>
      </c>
      <c r="B66" s="151">
        <v>22156</v>
      </c>
      <c r="C66" s="152" t="s">
        <v>179</v>
      </c>
      <c r="D66" s="171">
        <v>9</v>
      </c>
      <c r="E66" s="171">
        <v>9</v>
      </c>
      <c r="F66" s="171">
        <v>8</v>
      </c>
      <c r="G66" s="171">
        <v>8</v>
      </c>
      <c r="H66" s="172">
        <v>8</v>
      </c>
      <c r="I66" s="153"/>
      <c r="J66" s="153"/>
      <c r="K66" s="153"/>
      <c r="L66" s="153"/>
      <c r="M66" s="153"/>
      <c r="N66" s="34">
        <f t="shared" si="0"/>
        <v>42</v>
      </c>
    </row>
    <row r="67" spans="1:14" ht="18" customHeight="1" thickBot="1">
      <c r="A67" s="116">
        <v>57</v>
      </c>
      <c r="B67" s="151">
        <v>22157</v>
      </c>
      <c r="C67" s="152" t="s">
        <v>180</v>
      </c>
      <c r="D67" s="171">
        <v>9</v>
      </c>
      <c r="E67" s="171">
        <v>8</v>
      </c>
      <c r="F67" s="171">
        <v>9</v>
      </c>
      <c r="G67" s="171">
        <v>9</v>
      </c>
      <c r="H67" s="172">
        <v>7</v>
      </c>
      <c r="I67" s="153"/>
      <c r="J67" s="153"/>
      <c r="K67" s="153"/>
      <c r="L67" s="153"/>
      <c r="M67" s="153"/>
      <c r="N67" s="34">
        <f t="shared" si="0"/>
        <v>42</v>
      </c>
    </row>
    <row r="68" spans="1:14" ht="18" customHeight="1" thickBot="1">
      <c r="A68" s="116">
        <v>58</v>
      </c>
      <c r="B68" s="151">
        <v>22158</v>
      </c>
      <c r="C68" s="152" t="s">
        <v>181</v>
      </c>
      <c r="D68" s="171">
        <v>8</v>
      </c>
      <c r="E68" s="171">
        <v>8</v>
      </c>
      <c r="F68" s="171">
        <v>9</v>
      </c>
      <c r="G68" s="171">
        <v>6</v>
      </c>
      <c r="H68" s="172">
        <v>8</v>
      </c>
      <c r="I68" s="153"/>
      <c r="J68" s="153"/>
      <c r="K68" s="153"/>
      <c r="L68" s="153"/>
      <c r="M68" s="153"/>
      <c r="N68" s="34">
        <f t="shared" si="0"/>
        <v>39</v>
      </c>
    </row>
    <row r="69" spans="1:14" ht="18" customHeight="1" thickBot="1">
      <c r="A69" s="116">
        <v>59</v>
      </c>
      <c r="B69" s="151">
        <v>22159</v>
      </c>
      <c r="C69" s="152" t="s">
        <v>182</v>
      </c>
      <c r="D69" s="171">
        <v>9</v>
      </c>
      <c r="E69" s="171">
        <v>8</v>
      </c>
      <c r="F69" s="171">
        <v>9</v>
      </c>
      <c r="G69" s="171">
        <v>8</v>
      </c>
      <c r="H69" s="172">
        <v>9</v>
      </c>
      <c r="I69" s="153"/>
      <c r="J69" s="153"/>
      <c r="K69" s="153"/>
      <c r="L69" s="153"/>
      <c r="M69" s="153"/>
      <c r="N69" s="34">
        <f t="shared" si="0"/>
        <v>43</v>
      </c>
    </row>
    <row r="70" spans="1:14" ht="18" customHeight="1" thickBot="1">
      <c r="A70" s="116">
        <v>60</v>
      </c>
      <c r="B70" s="151">
        <v>22160</v>
      </c>
      <c r="C70" s="152" t="s">
        <v>183</v>
      </c>
      <c r="D70" s="171">
        <v>8</v>
      </c>
      <c r="E70" s="171">
        <v>8</v>
      </c>
      <c r="F70" s="171">
        <v>10</v>
      </c>
      <c r="G70" s="171">
        <v>9</v>
      </c>
      <c r="H70" s="172">
        <v>9</v>
      </c>
      <c r="I70" s="153"/>
      <c r="J70" s="153"/>
      <c r="K70" s="153"/>
      <c r="L70" s="153"/>
      <c r="M70" s="153"/>
      <c r="N70" s="34">
        <f t="shared" si="0"/>
        <v>44</v>
      </c>
    </row>
    <row r="71" spans="1:14" ht="18" customHeight="1" thickBot="1">
      <c r="A71" s="116">
        <v>61</v>
      </c>
      <c r="B71" s="151">
        <v>22161</v>
      </c>
      <c r="C71" s="152" t="s">
        <v>184</v>
      </c>
      <c r="D71" s="171">
        <v>9</v>
      </c>
      <c r="E71" s="171">
        <v>8</v>
      </c>
      <c r="F71" s="171">
        <v>9</v>
      </c>
      <c r="G71" s="171">
        <v>10</v>
      </c>
      <c r="H71" s="172">
        <v>10</v>
      </c>
      <c r="I71" s="153"/>
      <c r="J71" s="153"/>
      <c r="K71" s="153"/>
      <c r="L71" s="153"/>
      <c r="M71" s="153"/>
      <c r="N71" s="34">
        <f t="shared" si="0"/>
        <v>46</v>
      </c>
    </row>
    <row r="72" spans="1:14" ht="18" customHeight="1" thickBot="1">
      <c r="A72" s="116">
        <v>62</v>
      </c>
      <c r="B72" s="151">
        <v>22162</v>
      </c>
      <c r="C72" s="152" t="s">
        <v>185</v>
      </c>
      <c r="D72" s="171">
        <v>10</v>
      </c>
      <c r="E72" s="171">
        <v>10</v>
      </c>
      <c r="F72" s="171">
        <v>9</v>
      </c>
      <c r="G72" s="171">
        <v>8</v>
      </c>
      <c r="H72" s="172">
        <v>8</v>
      </c>
      <c r="I72" s="153"/>
      <c r="J72" s="153"/>
      <c r="K72" s="153"/>
      <c r="L72" s="153"/>
      <c r="M72" s="153"/>
      <c r="N72" s="34">
        <f t="shared" si="0"/>
        <v>45</v>
      </c>
    </row>
    <row r="73" spans="1:14" ht="18" customHeight="1" thickBot="1">
      <c r="A73" s="116">
        <v>63</v>
      </c>
      <c r="B73" s="151">
        <v>22163</v>
      </c>
      <c r="C73" s="152" t="s">
        <v>186</v>
      </c>
      <c r="D73" s="171">
        <v>9</v>
      </c>
      <c r="E73" s="171">
        <v>10</v>
      </c>
      <c r="F73" s="171">
        <v>10</v>
      </c>
      <c r="G73" s="171">
        <v>8</v>
      </c>
      <c r="H73" s="172">
        <v>9</v>
      </c>
      <c r="I73" s="153"/>
      <c r="J73" s="153"/>
      <c r="K73" s="153"/>
      <c r="L73" s="153"/>
      <c r="M73" s="153"/>
      <c r="N73" s="34">
        <f t="shared" si="0"/>
        <v>46</v>
      </c>
    </row>
    <row r="74" spans="1:14" ht="18" customHeight="1" thickBot="1">
      <c r="A74" s="116">
        <v>64</v>
      </c>
      <c r="B74" s="151">
        <v>22164</v>
      </c>
      <c r="C74" s="152" t="s">
        <v>187</v>
      </c>
      <c r="D74" s="171">
        <v>10</v>
      </c>
      <c r="E74" s="171">
        <v>9</v>
      </c>
      <c r="F74" s="171">
        <v>9</v>
      </c>
      <c r="G74" s="171">
        <v>8</v>
      </c>
      <c r="H74" s="172">
        <v>8</v>
      </c>
      <c r="I74" s="153"/>
      <c r="J74" s="153"/>
      <c r="K74" s="153"/>
      <c r="L74" s="153"/>
      <c r="M74" s="153"/>
      <c r="N74" s="34">
        <f t="shared" si="0"/>
        <v>44</v>
      </c>
    </row>
    <row r="75" spans="1:14" ht="18" customHeight="1" thickBot="1">
      <c r="A75" s="116">
        <v>65</v>
      </c>
      <c r="B75" s="151">
        <v>22165</v>
      </c>
      <c r="C75" s="152" t="s">
        <v>188</v>
      </c>
      <c r="D75" s="171">
        <v>8</v>
      </c>
      <c r="E75" s="171">
        <v>9</v>
      </c>
      <c r="F75" s="171">
        <v>8</v>
      </c>
      <c r="G75" s="171">
        <v>10</v>
      </c>
      <c r="H75" s="172">
        <v>10</v>
      </c>
      <c r="I75" s="153"/>
      <c r="J75" s="153"/>
      <c r="K75" s="153"/>
      <c r="L75" s="153"/>
      <c r="M75" s="153"/>
      <c r="N75" s="34">
        <f t="shared" ref="N75:N118" si="1">IF(D75&lt;&gt;"AB",SUM(D75:M75),"AB")</f>
        <v>45</v>
      </c>
    </row>
    <row r="76" spans="1:14" ht="18" customHeight="1" thickBot="1">
      <c r="A76" s="116">
        <v>66</v>
      </c>
      <c r="B76" s="151">
        <v>22166</v>
      </c>
      <c r="C76" s="152" t="s">
        <v>189</v>
      </c>
      <c r="D76" s="171">
        <v>8</v>
      </c>
      <c r="E76" s="171">
        <v>10</v>
      </c>
      <c r="F76" s="171">
        <v>8</v>
      </c>
      <c r="G76" s="171">
        <v>8</v>
      </c>
      <c r="H76" s="172">
        <v>8</v>
      </c>
      <c r="I76" s="153"/>
      <c r="J76" s="153"/>
      <c r="K76" s="153"/>
      <c r="L76" s="153"/>
      <c r="M76" s="153"/>
      <c r="N76" s="34">
        <f t="shared" si="1"/>
        <v>42</v>
      </c>
    </row>
    <row r="77" spans="1:14" ht="18" customHeight="1" thickBot="1">
      <c r="A77" s="116">
        <v>67</v>
      </c>
      <c r="B77" s="151">
        <v>22167</v>
      </c>
      <c r="C77" s="152" t="s">
        <v>190</v>
      </c>
      <c r="D77" s="171">
        <v>9</v>
      </c>
      <c r="E77" s="171">
        <v>6</v>
      </c>
      <c r="F77" s="171">
        <v>5</v>
      </c>
      <c r="G77" s="171">
        <v>5</v>
      </c>
      <c r="H77" s="172">
        <v>4</v>
      </c>
      <c r="I77" s="153"/>
      <c r="J77" s="153"/>
      <c r="K77" s="153"/>
      <c r="L77" s="153"/>
      <c r="M77" s="153"/>
      <c r="N77" s="34">
        <f t="shared" si="1"/>
        <v>29</v>
      </c>
    </row>
    <row r="78" spans="1:14" ht="18" customHeight="1" thickBot="1">
      <c r="A78" s="116">
        <v>68</v>
      </c>
      <c r="B78" s="151">
        <v>22168</v>
      </c>
      <c r="C78" s="152" t="s">
        <v>191</v>
      </c>
      <c r="D78" s="171">
        <v>10</v>
      </c>
      <c r="E78" s="171">
        <v>10</v>
      </c>
      <c r="F78" s="171">
        <v>9</v>
      </c>
      <c r="G78" s="171">
        <v>8</v>
      </c>
      <c r="H78" s="172">
        <v>5</v>
      </c>
      <c r="I78" s="153"/>
      <c r="J78" s="153"/>
      <c r="K78" s="153"/>
      <c r="L78" s="153"/>
      <c r="M78" s="153"/>
      <c r="N78" s="34">
        <f t="shared" si="1"/>
        <v>42</v>
      </c>
    </row>
    <row r="79" spans="1:14" ht="18" customHeight="1" thickBot="1">
      <c r="A79" s="116">
        <v>69</v>
      </c>
      <c r="B79" s="151">
        <v>22201</v>
      </c>
      <c r="C79" s="152" t="s">
        <v>192</v>
      </c>
      <c r="D79" s="171">
        <v>9</v>
      </c>
      <c r="E79" s="171">
        <v>10</v>
      </c>
      <c r="F79" s="171">
        <v>8</v>
      </c>
      <c r="G79" s="171">
        <v>7</v>
      </c>
      <c r="H79" s="172">
        <v>8</v>
      </c>
      <c r="I79" s="153"/>
      <c r="J79" s="153"/>
      <c r="K79" s="153"/>
      <c r="L79" s="153"/>
      <c r="M79" s="153"/>
      <c r="N79" s="34">
        <f t="shared" si="1"/>
        <v>42</v>
      </c>
    </row>
    <row r="80" spans="1:14" ht="18" customHeight="1" thickBot="1">
      <c r="A80" s="116">
        <v>70</v>
      </c>
      <c r="B80" s="151">
        <v>22202</v>
      </c>
      <c r="C80" s="152" t="s">
        <v>193</v>
      </c>
      <c r="D80" s="171">
        <v>10</v>
      </c>
      <c r="E80" s="171">
        <v>10</v>
      </c>
      <c r="F80" s="171">
        <v>8</v>
      </c>
      <c r="G80" s="171">
        <v>10</v>
      </c>
      <c r="H80" s="172">
        <v>8</v>
      </c>
      <c r="I80" s="153"/>
      <c r="J80" s="153"/>
      <c r="K80" s="153"/>
      <c r="L80" s="153"/>
      <c r="M80" s="153"/>
      <c r="N80" s="34">
        <f t="shared" si="1"/>
        <v>46</v>
      </c>
    </row>
    <row r="81" spans="1:14" ht="18" customHeight="1" thickBot="1">
      <c r="A81" s="116">
        <v>71</v>
      </c>
      <c r="B81" s="151">
        <v>22203</v>
      </c>
      <c r="C81" s="152" t="s">
        <v>194</v>
      </c>
      <c r="D81" s="171">
        <v>6</v>
      </c>
      <c r="E81" s="171">
        <v>5</v>
      </c>
      <c r="F81" s="171">
        <v>5</v>
      </c>
      <c r="G81" s="171">
        <v>8</v>
      </c>
      <c r="H81" s="172">
        <v>5</v>
      </c>
      <c r="I81" s="153"/>
      <c r="J81" s="153"/>
      <c r="K81" s="153"/>
      <c r="L81" s="153"/>
      <c r="M81" s="153"/>
      <c r="N81" s="34">
        <f t="shared" si="1"/>
        <v>29</v>
      </c>
    </row>
    <row r="82" spans="1:14" ht="18" customHeight="1" thickBot="1">
      <c r="A82" s="116">
        <v>72</v>
      </c>
      <c r="B82" s="151">
        <v>22204</v>
      </c>
      <c r="C82" s="152" t="s">
        <v>195</v>
      </c>
      <c r="D82" s="171">
        <v>8</v>
      </c>
      <c r="E82" s="171">
        <v>10</v>
      </c>
      <c r="F82" s="171">
        <v>9</v>
      </c>
      <c r="G82" s="171">
        <v>9</v>
      </c>
      <c r="H82" s="172">
        <v>8</v>
      </c>
      <c r="I82" s="153"/>
      <c r="J82" s="153"/>
      <c r="K82" s="153"/>
      <c r="L82" s="153"/>
      <c r="M82" s="153"/>
      <c r="N82" s="34">
        <f t="shared" si="1"/>
        <v>44</v>
      </c>
    </row>
    <row r="83" spans="1:14" ht="18" customHeight="1" thickBot="1">
      <c r="A83" s="116">
        <v>73</v>
      </c>
      <c r="B83" s="151">
        <v>22205</v>
      </c>
      <c r="C83" s="152" t="s">
        <v>196</v>
      </c>
      <c r="D83" s="171">
        <v>10</v>
      </c>
      <c r="E83" s="171">
        <v>8</v>
      </c>
      <c r="F83" s="171">
        <v>8</v>
      </c>
      <c r="G83" s="171">
        <v>8</v>
      </c>
      <c r="H83" s="172">
        <v>8</v>
      </c>
      <c r="I83" s="153"/>
      <c r="J83" s="153"/>
      <c r="K83" s="153"/>
      <c r="L83" s="153"/>
      <c r="M83" s="153"/>
      <c r="N83" s="34">
        <f t="shared" si="1"/>
        <v>42</v>
      </c>
    </row>
    <row r="84" spans="1:14" ht="18" customHeight="1" thickBot="1">
      <c r="A84" s="116">
        <v>74</v>
      </c>
      <c r="B84" s="151">
        <v>22206</v>
      </c>
      <c r="C84" s="152" t="s">
        <v>197</v>
      </c>
      <c r="D84" s="171">
        <v>8</v>
      </c>
      <c r="E84" s="171">
        <v>8</v>
      </c>
      <c r="F84" s="171">
        <v>9</v>
      </c>
      <c r="G84" s="171">
        <v>10</v>
      </c>
      <c r="H84" s="172">
        <v>10</v>
      </c>
      <c r="I84" s="153"/>
      <c r="J84" s="153"/>
      <c r="K84" s="153"/>
      <c r="L84" s="153"/>
      <c r="M84" s="153"/>
      <c r="N84" s="34">
        <f t="shared" si="1"/>
        <v>45</v>
      </c>
    </row>
    <row r="85" spans="1:14" ht="18" customHeight="1" thickBot="1">
      <c r="A85" s="116">
        <v>75</v>
      </c>
      <c r="B85" s="151">
        <v>22207</v>
      </c>
      <c r="C85" s="152" t="s">
        <v>198</v>
      </c>
      <c r="D85" s="171">
        <v>9</v>
      </c>
      <c r="E85" s="171">
        <v>10</v>
      </c>
      <c r="F85" s="171">
        <v>8</v>
      </c>
      <c r="G85" s="171">
        <v>8</v>
      </c>
      <c r="H85" s="172">
        <v>9</v>
      </c>
      <c r="I85" s="153"/>
      <c r="J85" s="153"/>
      <c r="K85" s="153"/>
      <c r="L85" s="153"/>
      <c r="M85" s="153"/>
      <c r="N85" s="34">
        <f t="shared" si="1"/>
        <v>44</v>
      </c>
    </row>
    <row r="86" spans="1:14" ht="18" customHeight="1" thickBot="1">
      <c r="A86" s="116">
        <v>76</v>
      </c>
      <c r="B86" s="151">
        <v>22208</v>
      </c>
      <c r="C86" s="152" t="s">
        <v>199</v>
      </c>
      <c r="D86" s="171">
        <v>9</v>
      </c>
      <c r="E86" s="171">
        <v>6</v>
      </c>
      <c r="F86" s="171">
        <v>5</v>
      </c>
      <c r="G86" s="171">
        <v>5</v>
      </c>
      <c r="H86" s="172">
        <v>8</v>
      </c>
      <c r="I86" s="153"/>
      <c r="J86" s="153"/>
      <c r="K86" s="153"/>
      <c r="L86" s="153"/>
      <c r="M86" s="153"/>
      <c r="N86" s="34">
        <f t="shared" si="1"/>
        <v>33</v>
      </c>
    </row>
    <row r="87" spans="1:14" ht="18" customHeight="1" thickBot="1">
      <c r="A87" s="116">
        <v>77</v>
      </c>
      <c r="B87" s="151">
        <v>22209</v>
      </c>
      <c r="C87" s="152" t="s">
        <v>200</v>
      </c>
      <c r="D87" s="171">
        <v>8</v>
      </c>
      <c r="E87" s="171">
        <v>8</v>
      </c>
      <c r="F87" s="171">
        <v>10</v>
      </c>
      <c r="G87" s="171">
        <v>9</v>
      </c>
      <c r="H87" s="172">
        <v>9</v>
      </c>
      <c r="I87" s="153"/>
      <c r="J87" s="153"/>
      <c r="K87" s="153"/>
      <c r="L87" s="153"/>
      <c r="M87" s="153"/>
      <c r="N87" s="34">
        <f t="shared" si="1"/>
        <v>44</v>
      </c>
    </row>
    <row r="88" spans="1:14" ht="18" customHeight="1" thickBot="1">
      <c r="A88" s="116">
        <v>78</v>
      </c>
      <c r="B88" s="151">
        <v>22210</v>
      </c>
      <c r="C88" s="152" t="s">
        <v>201</v>
      </c>
      <c r="D88" s="171">
        <v>9</v>
      </c>
      <c r="E88" s="171">
        <v>8</v>
      </c>
      <c r="F88" s="171">
        <v>9</v>
      </c>
      <c r="G88" s="171">
        <v>8</v>
      </c>
      <c r="H88" s="172">
        <v>10</v>
      </c>
      <c r="I88" s="153"/>
      <c r="J88" s="153"/>
      <c r="K88" s="153"/>
      <c r="L88" s="153"/>
      <c r="M88" s="153"/>
      <c r="N88" s="34">
        <f t="shared" si="1"/>
        <v>44</v>
      </c>
    </row>
    <row r="89" spans="1:14" ht="18" customHeight="1" thickBot="1">
      <c r="A89" s="116">
        <v>79</v>
      </c>
      <c r="B89" s="151">
        <v>22211</v>
      </c>
      <c r="C89" s="152" t="s">
        <v>202</v>
      </c>
      <c r="D89" s="171">
        <v>10</v>
      </c>
      <c r="E89" s="171">
        <v>9</v>
      </c>
      <c r="F89" s="171">
        <v>9</v>
      </c>
      <c r="G89" s="171">
        <v>10</v>
      </c>
      <c r="H89" s="172">
        <v>10</v>
      </c>
      <c r="I89" s="153"/>
      <c r="J89" s="153"/>
      <c r="K89" s="153"/>
      <c r="L89" s="153"/>
      <c r="M89" s="153"/>
      <c r="N89" s="34">
        <f t="shared" si="1"/>
        <v>48</v>
      </c>
    </row>
    <row r="90" spans="1:14" ht="18" customHeight="1" thickBot="1">
      <c r="A90" s="116">
        <v>80</v>
      </c>
      <c r="B90" s="151">
        <v>22212</v>
      </c>
      <c r="C90" s="152" t="s">
        <v>203</v>
      </c>
      <c r="D90" s="171">
        <v>10</v>
      </c>
      <c r="E90" s="171">
        <v>8</v>
      </c>
      <c r="F90" s="171">
        <v>10</v>
      </c>
      <c r="G90" s="171">
        <v>8</v>
      </c>
      <c r="H90" s="172">
        <v>8</v>
      </c>
      <c r="I90" s="153"/>
      <c r="J90" s="153"/>
      <c r="K90" s="153"/>
      <c r="L90" s="153"/>
      <c r="M90" s="153"/>
      <c r="N90" s="34">
        <f t="shared" si="1"/>
        <v>44</v>
      </c>
    </row>
    <row r="91" spans="1:14" ht="18" customHeight="1" thickBot="1">
      <c r="A91" s="116">
        <v>81</v>
      </c>
      <c r="B91" s="151">
        <v>22213</v>
      </c>
      <c r="C91" s="152" t="s">
        <v>204</v>
      </c>
      <c r="D91" s="171">
        <v>10</v>
      </c>
      <c r="E91" s="171">
        <v>8</v>
      </c>
      <c r="F91" s="171">
        <v>9</v>
      </c>
      <c r="G91" s="171">
        <v>8</v>
      </c>
      <c r="H91" s="172">
        <v>10</v>
      </c>
      <c r="I91" s="153"/>
      <c r="J91" s="153"/>
      <c r="K91" s="153"/>
      <c r="L91" s="153"/>
      <c r="M91" s="153"/>
      <c r="N91" s="34">
        <f t="shared" si="1"/>
        <v>45</v>
      </c>
    </row>
    <row r="92" spans="1:14" ht="18" customHeight="1" thickBot="1">
      <c r="A92" s="116">
        <v>82</v>
      </c>
      <c r="B92" s="151">
        <v>22214</v>
      </c>
      <c r="C92" s="152" t="s">
        <v>205</v>
      </c>
      <c r="D92" s="171">
        <v>5</v>
      </c>
      <c r="E92" s="171">
        <v>9</v>
      </c>
      <c r="F92" s="171">
        <v>8</v>
      </c>
      <c r="G92" s="171">
        <v>4</v>
      </c>
      <c r="H92" s="172">
        <v>4</v>
      </c>
      <c r="I92" s="153"/>
      <c r="J92" s="153"/>
      <c r="K92" s="153"/>
      <c r="L92" s="153"/>
      <c r="M92" s="153"/>
      <c r="N92" s="34">
        <f t="shared" si="1"/>
        <v>30</v>
      </c>
    </row>
    <row r="93" spans="1:14" ht="18" customHeight="1" thickBot="1">
      <c r="A93" s="116">
        <v>83</v>
      </c>
      <c r="B93" s="151">
        <v>22215</v>
      </c>
      <c r="C93" s="152" t="s">
        <v>206</v>
      </c>
      <c r="D93" s="171">
        <v>8</v>
      </c>
      <c r="E93" s="171">
        <v>9</v>
      </c>
      <c r="F93" s="171">
        <v>8</v>
      </c>
      <c r="G93" s="171">
        <v>10</v>
      </c>
      <c r="H93" s="172">
        <v>10</v>
      </c>
      <c r="I93" s="153"/>
      <c r="J93" s="153"/>
      <c r="K93" s="153"/>
      <c r="L93" s="153"/>
      <c r="M93" s="153"/>
      <c r="N93" s="34">
        <f t="shared" si="1"/>
        <v>45</v>
      </c>
    </row>
    <row r="94" spans="1:14" ht="18" customHeight="1" thickBot="1">
      <c r="A94" s="116">
        <v>84</v>
      </c>
      <c r="B94" s="151">
        <v>22216</v>
      </c>
      <c r="C94" s="152" t="s">
        <v>207</v>
      </c>
      <c r="D94" s="171">
        <v>10</v>
      </c>
      <c r="E94" s="171">
        <v>8</v>
      </c>
      <c r="F94" s="171">
        <v>8</v>
      </c>
      <c r="G94" s="171">
        <v>10</v>
      </c>
      <c r="H94" s="172">
        <v>10</v>
      </c>
      <c r="I94" s="153"/>
      <c r="J94" s="153"/>
      <c r="K94" s="153"/>
      <c r="L94" s="153"/>
      <c r="M94" s="153"/>
      <c r="N94" s="34">
        <f t="shared" si="1"/>
        <v>46</v>
      </c>
    </row>
    <row r="95" spans="1:14" ht="18" customHeight="1" thickBot="1">
      <c r="A95" s="116">
        <v>85</v>
      </c>
      <c r="B95" s="151">
        <v>22217</v>
      </c>
      <c r="C95" s="152" t="s">
        <v>208</v>
      </c>
      <c r="D95" s="171">
        <v>9</v>
      </c>
      <c r="E95" s="171">
        <v>8</v>
      </c>
      <c r="F95" s="171">
        <v>9</v>
      </c>
      <c r="G95" s="171">
        <v>10</v>
      </c>
      <c r="H95" s="172">
        <v>8</v>
      </c>
      <c r="I95" s="153"/>
      <c r="J95" s="153"/>
      <c r="K95" s="153"/>
      <c r="L95" s="153"/>
      <c r="M95" s="153"/>
      <c r="N95" s="34">
        <f t="shared" si="1"/>
        <v>44</v>
      </c>
    </row>
    <row r="96" spans="1:14" ht="18" customHeight="1" thickBot="1">
      <c r="A96" s="116">
        <v>86</v>
      </c>
      <c r="B96" s="151">
        <v>22218</v>
      </c>
      <c r="C96" s="152" t="s">
        <v>209</v>
      </c>
      <c r="D96" s="171">
        <v>10</v>
      </c>
      <c r="E96" s="171">
        <v>10</v>
      </c>
      <c r="F96" s="171">
        <v>9</v>
      </c>
      <c r="G96" s="171">
        <v>8</v>
      </c>
      <c r="H96" s="172">
        <v>9</v>
      </c>
      <c r="I96" s="153"/>
      <c r="J96" s="153"/>
      <c r="K96" s="153"/>
      <c r="L96" s="153"/>
      <c r="M96" s="153"/>
      <c r="N96" s="34">
        <f t="shared" si="1"/>
        <v>46</v>
      </c>
    </row>
    <row r="97" spans="1:14" ht="18" customHeight="1" thickBot="1">
      <c r="A97" s="116">
        <v>87</v>
      </c>
      <c r="B97" s="151">
        <v>22219</v>
      </c>
      <c r="C97" s="152" t="s">
        <v>210</v>
      </c>
      <c r="D97" s="171">
        <v>9</v>
      </c>
      <c r="E97" s="171">
        <v>4</v>
      </c>
      <c r="F97" s="171">
        <v>9</v>
      </c>
      <c r="G97" s="171">
        <v>4</v>
      </c>
      <c r="H97" s="172">
        <v>5</v>
      </c>
      <c r="I97" s="153"/>
      <c r="J97" s="153"/>
      <c r="K97" s="153"/>
      <c r="L97" s="153"/>
      <c r="M97" s="153"/>
      <c r="N97" s="34">
        <f t="shared" si="1"/>
        <v>31</v>
      </c>
    </row>
    <row r="98" spans="1:14" ht="18" customHeight="1" thickBot="1">
      <c r="A98" s="116">
        <v>88</v>
      </c>
      <c r="B98" s="151">
        <v>22220</v>
      </c>
      <c r="C98" s="152" t="s">
        <v>211</v>
      </c>
      <c r="D98" s="171">
        <v>10</v>
      </c>
      <c r="E98" s="171">
        <v>10</v>
      </c>
      <c r="F98" s="171">
        <v>9</v>
      </c>
      <c r="G98" s="171">
        <v>9</v>
      </c>
      <c r="H98" s="172">
        <v>8</v>
      </c>
      <c r="I98" s="153"/>
      <c r="J98" s="153"/>
      <c r="K98" s="153"/>
      <c r="L98" s="153"/>
      <c r="M98" s="153"/>
      <c r="N98" s="34">
        <f t="shared" si="1"/>
        <v>46</v>
      </c>
    </row>
    <row r="99" spans="1:14" ht="18" customHeight="1" thickBot="1">
      <c r="A99" s="116">
        <v>89</v>
      </c>
      <c r="B99" s="151">
        <v>22221</v>
      </c>
      <c r="C99" s="152" t="s">
        <v>212</v>
      </c>
      <c r="D99" s="171">
        <v>8</v>
      </c>
      <c r="E99" s="171">
        <v>10</v>
      </c>
      <c r="F99" s="171">
        <v>10</v>
      </c>
      <c r="G99" s="171">
        <v>10</v>
      </c>
      <c r="H99" s="172">
        <v>8</v>
      </c>
      <c r="I99" s="153"/>
      <c r="J99" s="153"/>
      <c r="K99" s="153"/>
      <c r="L99" s="153"/>
      <c r="M99" s="153"/>
      <c r="N99" s="34">
        <f t="shared" si="1"/>
        <v>46</v>
      </c>
    </row>
    <row r="100" spans="1:14" ht="18" customHeight="1" thickBot="1">
      <c r="A100" s="116">
        <v>90</v>
      </c>
      <c r="B100" s="151">
        <v>22222</v>
      </c>
      <c r="C100" s="152" t="s">
        <v>213</v>
      </c>
      <c r="D100" s="171">
        <v>8</v>
      </c>
      <c r="E100" s="171">
        <v>8</v>
      </c>
      <c r="F100" s="171">
        <v>8</v>
      </c>
      <c r="G100" s="171">
        <v>8</v>
      </c>
      <c r="H100" s="172">
        <v>9</v>
      </c>
      <c r="I100" s="153"/>
      <c r="J100" s="153"/>
      <c r="K100" s="153"/>
      <c r="L100" s="153"/>
      <c r="M100" s="153"/>
      <c r="N100" s="34">
        <f t="shared" si="1"/>
        <v>41</v>
      </c>
    </row>
    <row r="101" spans="1:14" ht="18" customHeight="1" thickBot="1">
      <c r="A101" s="116">
        <v>91</v>
      </c>
      <c r="B101" s="151">
        <v>22223</v>
      </c>
      <c r="C101" s="152" t="s">
        <v>214</v>
      </c>
      <c r="D101" s="171">
        <v>8</v>
      </c>
      <c r="E101" s="171">
        <v>10</v>
      </c>
      <c r="F101" s="171">
        <v>9</v>
      </c>
      <c r="G101" s="171">
        <v>9</v>
      </c>
      <c r="H101" s="172">
        <v>8</v>
      </c>
      <c r="I101" s="153"/>
      <c r="J101" s="153"/>
      <c r="K101" s="153"/>
      <c r="L101" s="153"/>
      <c r="M101" s="153"/>
      <c r="N101" s="34">
        <f t="shared" si="1"/>
        <v>44</v>
      </c>
    </row>
    <row r="102" spans="1:14" ht="18" customHeight="1" thickBot="1">
      <c r="A102" s="116">
        <v>92</v>
      </c>
      <c r="B102" s="151">
        <v>22224</v>
      </c>
      <c r="C102" s="152" t="s">
        <v>215</v>
      </c>
      <c r="D102" s="171">
        <v>9</v>
      </c>
      <c r="E102" s="171">
        <v>10</v>
      </c>
      <c r="F102" s="171">
        <v>8</v>
      </c>
      <c r="G102" s="171">
        <v>8</v>
      </c>
      <c r="H102" s="172">
        <v>8</v>
      </c>
      <c r="I102" s="153"/>
      <c r="J102" s="153"/>
      <c r="K102" s="153"/>
      <c r="L102" s="153"/>
      <c r="M102" s="153"/>
      <c r="N102" s="34">
        <f t="shared" si="1"/>
        <v>43</v>
      </c>
    </row>
    <row r="103" spans="1:14" ht="18" customHeight="1" thickBot="1">
      <c r="A103" s="116">
        <v>93</v>
      </c>
      <c r="B103" s="151">
        <v>22225</v>
      </c>
      <c r="C103" s="152" t="s">
        <v>216</v>
      </c>
      <c r="D103" s="171">
        <v>10</v>
      </c>
      <c r="E103" s="171">
        <v>10</v>
      </c>
      <c r="F103" s="171">
        <v>9</v>
      </c>
      <c r="G103" s="171">
        <v>10</v>
      </c>
      <c r="H103" s="172">
        <v>8</v>
      </c>
      <c r="I103" s="153"/>
      <c r="J103" s="153"/>
      <c r="K103" s="153"/>
      <c r="L103" s="153"/>
      <c r="M103" s="153"/>
      <c r="N103" s="34">
        <f t="shared" si="1"/>
        <v>47</v>
      </c>
    </row>
    <row r="104" spans="1:14" ht="18" customHeight="1" thickBot="1">
      <c r="A104" s="116">
        <v>94</v>
      </c>
      <c r="B104" s="151">
        <v>22226</v>
      </c>
      <c r="C104" s="152" t="s">
        <v>217</v>
      </c>
      <c r="D104" s="171">
        <v>4</v>
      </c>
      <c r="E104" s="171">
        <v>3</v>
      </c>
      <c r="F104" s="171">
        <v>6</v>
      </c>
      <c r="G104" s="171">
        <v>8</v>
      </c>
      <c r="H104" s="172">
        <v>8</v>
      </c>
      <c r="I104" s="153"/>
      <c r="J104" s="153"/>
      <c r="K104" s="153"/>
      <c r="L104" s="153"/>
      <c r="M104" s="153"/>
      <c r="N104" s="34">
        <f t="shared" si="1"/>
        <v>29</v>
      </c>
    </row>
    <row r="105" spans="1:14" ht="18" customHeight="1" thickBot="1">
      <c r="A105" s="116">
        <v>95</v>
      </c>
      <c r="B105" s="151">
        <v>22227</v>
      </c>
      <c r="C105" s="152" t="s">
        <v>218</v>
      </c>
      <c r="D105" s="171">
        <v>10</v>
      </c>
      <c r="E105" s="171">
        <v>10</v>
      </c>
      <c r="F105" s="171">
        <v>9</v>
      </c>
      <c r="G105" s="171">
        <v>9</v>
      </c>
      <c r="H105" s="172">
        <v>9</v>
      </c>
      <c r="I105" s="153"/>
      <c r="J105" s="153"/>
      <c r="K105" s="153"/>
      <c r="L105" s="153"/>
      <c r="M105" s="153"/>
      <c r="N105" s="34">
        <f t="shared" si="1"/>
        <v>47</v>
      </c>
    </row>
    <row r="106" spans="1:14" ht="18" customHeight="1" thickBot="1">
      <c r="A106" s="116">
        <v>96</v>
      </c>
      <c r="B106" s="151">
        <v>22228</v>
      </c>
      <c r="C106" s="152" t="s">
        <v>219</v>
      </c>
      <c r="D106" s="171">
        <v>9</v>
      </c>
      <c r="E106" s="171">
        <v>10</v>
      </c>
      <c r="F106" s="171">
        <v>10</v>
      </c>
      <c r="G106" s="171">
        <v>10</v>
      </c>
      <c r="H106" s="172">
        <v>9</v>
      </c>
      <c r="I106" s="153"/>
      <c r="J106" s="153"/>
      <c r="K106" s="153"/>
      <c r="L106" s="153"/>
      <c r="M106" s="153"/>
      <c r="N106" s="34">
        <f t="shared" si="1"/>
        <v>48</v>
      </c>
    </row>
    <row r="107" spans="1:14" ht="18" customHeight="1" thickBot="1">
      <c r="A107" s="116">
        <v>97</v>
      </c>
      <c r="B107" s="151">
        <v>22229</v>
      </c>
      <c r="C107" s="152" t="s">
        <v>220</v>
      </c>
      <c r="D107" s="171">
        <v>8</v>
      </c>
      <c r="E107" s="171">
        <v>9</v>
      </c>
      <c r="F107" s="171">
        <v>9</v>
      </c>
      <c r="G107" s="171">
        <v>9</v>
      </c>
      <c r="H107" s="172">
        <v>10</v>
      </c>
      <c r="I107" s="153"/>
      <c r="J107" s="153"/>
      <c r="K107" s="153"/>
      <c r="L107" s="153"/>
      <c r="M107" s="153"/>
      <c r="N107" s="34">
        <f t="shared" si="1"/>
        <v>45</v>
      </c>
    </row>
    <row r="108" spans="1:14" ht="18" customHeight="1" thickBot="1">
      <c r="A108" s="116">
        <v>98</v>
      </c>
      <c r="B108" s="151">
        <v>22230</v>
      </c>
      <c r="C108" s="152" t="s">
        <v>221</v>
      </c>
      <c r="D108" s="171">
        <v>8</v>
      </c>
      <c r="E108" s="171">
        <v>10</v>
      </c>
      <c r="F108" s="171">
        <v>9</v>
      </c>
      <c r="G108" s="171">
        <v>10</v>
      </c>
      <c r="H108" s="172">
        <v>9</v>
      </c>
      <c r="I108" s="153"/>
      <c r="J108" s="153"/>
      <c r="K108" s="153"/>
      <c r="L108" s="153"/>
      <c r="M108" s="153"/>
      <c r="N108" s="34">
        <f t="shared" si="1"/>
        <v>46</v>
      </c>
    </row>
    <row r="109" spans="1:14" ht="18" customHeight="1" thickBot="1">
      <c r="A109" s="116">
        <v>99</v>
      </c>
      <c r="B109" s="151">
        <v>22231</v>
      </c>
      <c r="C109" s="152" t="s">
        <v>222</v>
      </c>
      <c r="D109" s="171">
        <v>8</v>
      </c>
      <c r="E109" s="171">
        <v>10</v>
      </c>
      <c r="F109" s="171">
        <v>10</v>
      </c>
      <c r="G109" s="171">
        <v>9</v>
      </c>
      <c r="H109" s="172">
        <v>9</v>
      </c>
      <c r="I109" s="153"/>
      <c r="J109" s="153"/>
      <c r="K109" s="153"/>
      <c r="L109" s="153"/>
      <c r="M109" s="153"/>
      <c r="N109" s="34">
        <f t="shared" si="1"/>
        <v>46</v>
      </c>
    </row>
    <row r="110" spans="1:14" ht="18" customHeight="1" thickBot="1">
      <c r="A110" s="116">
        <v>100</v>
      </c>
      <c r="B110" s="151">
        <v>22232</v>
      </c>
      <c r="C110" s="152" t="s">
        <v>223</v>
      </c>
      <c r="D110" s="171">
        <v>9</v>
      </c>
      <c r="E110" s="171">
        <v>9</v>
      </c>
      <c r="F110" s="171">
        <v>10</v>
      </c>
      <c r="G110" s="171">
        <v>9</v>
      </c>
      <c r="H110" s="172">
        <v>8</v>
      </c>
      <c r="I110" s="153"/>
      <c r="J110" s="153"/>
      <c r="K110" s="153"/>
      <c r="L110" s="153"/>
      <c r="M110" s="153"/>
      <c r="N110" s="34">
        <f t="shared" si="1"/>
        <v>45</v>
      </c>
    </row>
    <row r="111" spans="1:14" ht="18" customHeight="1" thickBot="1">
      <c r="A111" s="116">
        <v>101</v>
      </c>
      <c r="B111" s="151">
        <v>22233</v>
      </c>
      <c r="C111" s="152" t="s">
        <v>224</v>
      </c>
      <c r="D111" s="171">
        <v>8</v>
      </c>
      <c r="E111" s="171">
        <v>8</v>
      </c>
      <c r="F111" s="171">
        <v>10</v>
      </c>
      <c r="G111" s="171">
        <v>8</v>
      </c>
      <c r="H111" s="172">
        <v>8</v>
      </c>
      <c r="I111" s="153"/>
      <c r="J111" s="153"/>
      <c r="K111" s="153"/>
      <c r="L111" s="153"/>
      <c r="M111" s="153"/>
      <c r="N111" s="34">
        <f t="shared" si="1"/>
        <v>42</v>
      </c>
    </row>
    <row r="112" spans="1:14" ht="18" customHeight="1" thickBot="1">
      <c r="A112" s="116">
        <v>102</v>
      </c>
      <c r="B112" s="151">
        <v>22234</v>
      </c>
      <c r="C112" s="152" t="s">
        <v>225</v>
      </c>
      <c r="D112" s="171">
        <v>8</v>
      </c>
      <c r="E112" s="171">
        <v>8</v>
      </c>
      <c r="F112" s="171">
        <v>9</v>
      </c>
      <c r="G112" s="171">
        <v>6</v>
      </c>
      <c r="H112" s="172">
        <v>5</v>
      </c>
      <c r="I112" s="153"/>
      <c r="J112" s="153"/>
      <c r="K112" s="153"/>
      <c r="L112" s="153"/>
      <c r="M112" s="153"/>
      <c r="N112" s="34">
        <f t="shared" si="1"/>
        <v>36</v>
      </c>
    </row>
    <row r="113" spans="1:19" ht="18" customHeight="1" thickBot="1">
      <c r="A113" s="116">
        <v>103</v>
      </c>
      <c r="B113" s="151">
        <v>22235</v>
      </c>
      <c r="C113" s="152" t="s">
        <v>226</v>
      </c>
      <c r="D113" s="171">
        <v>9</v>
      </c>
      <c r="E113" s="171">
        <v>10</v>
      </c>
      <c r="F113" s="171">
        <v>10</v>
      </c>
      <c r="G113" s="171">
        <v>9</v>
      </c>
      <c r="H113" s="172">
        <v>9</v>
      </c>
      <c r="I113" s="153"/>
      <c r="J113" s="153"/>
      <c r="K113" s="153"/>
      <c r="L113" s="153"/>
      <c r="M113" s="153"/>
      <c r="N113" s="34">
        <f t="shared" si="1"/>
        <v>47</v>
      </c>
    </row>
    <row r="114" spans="1:19" ht="18" customHeight="1" thickBot="1">
      <c r="A114" s="116">
        <v>104</v>
      </c>
      <c r="B114" s="151">
        <v>22236</v>
      </c>
      <c r="C114" s="152" t="s">
        <v>227</v>
      </c>
      <c r="D114" s="171">
        <v>8</v>
      </c>
      <c r="E114" s="171">
        <v>8</v>
      </c>
      <c r="F114" s="171">
        <v>8</v>
      </c>
      <c r="G114" s="171">
        <v>9</v>
      </c>
      <c r="H114" s="172">
        <v>8</v>
      </c>
      <c r="I114" s="153"/>
      <c r="J114" s="153"/>
      <c r="K114" s="153"/>
      <c r="L114" s="153"/>
      <c r="M114" s="153"/>
      <c r="N114" s="34">
        <f t="shared" si="1"/>
        <v>41</v>
      </c>
    </row>
    <row r="115" spans="1:19" ht="18" customHeight="1" thickBot="1">
      <c r="A115" s="116">
        <v>105</v>
      </c>
      <c r="B115" s="151">
        <v>22237</v>
      </c>
      <c r="C115" s="152" t="s">
        <v>228</v>
      </c>
      <c r="D115" s="171">
        <v>9</v>
      </c>
      <c r="E115" s="171">
        <v>8</v>
      </c>
      <c r="F115" s="171">
        <v>9</v>
      </c>
      <c r="G115" s="171">
        <v>10</v>
      </c>
      <c r="H115" s="172">
        <v>8</v>
      </c>
      <c r="I115" s="153"/>
      <c r="J115" s="153"/>
      <c r="K115" s="153"/>
      <c r="L115" s="153"/>
      <c r="M115" s="153"/>
      <c r="N115" s="34">
        <f t="shared" si="1"/>
        <v>44</v>
      </c>
    </row>
    <row r="116" spans="1:19" ht="18" customHeight="1" thickBot="1">
      <c r="A116" s="116">
        <v>106</v>
      </c>
      <c r="B116" s="151">
        <v>22238</v>
      </c>
      <c r="C116" s="152" t="s">
        <v>229</v>
      </c>
      <c r="D116" s="171">
        <v>8</v>
      </c>
      <c r="E116" s="171">
        <v>10</v>
      </c>
      <c r="F116" s="171">
        <v>10</v>
      </c>
      <c r="G116" s="171">
        <v>9</v>
      </c>
      <c r="H116" s="172">
        <v>8</v>
      </c>
      <c r="I116" s="153"/>
      <c r="J116" s="153"/>
      <c r="K116" s="153"/>
      <c r="L116" s="153"/>
      <c r="M116" s="153"/>
      <c r="N116" s="34">
        <f t="shared" si="1"/>
        <v>45</v>
      </c>
    </row>
    <row r="117" spans="1:19" ht="18" customHeight="1" thickBot="1">
      <c r="A117" s="116">
        <v>107</v>
      </c>
      <c r="B117" s="151">
        <v>22239</v>
      </c>
      <c r="C117" s="152" t="s">
        <v>230</v>
      </c>
      <c r="D117" s="171">
        <v>8</v>
      </c>
      <c r="E117" s="171">
        <v>9</v>
      </c>
      <c r="F117" s="171">
        <v>10</v>
      </c>
      <c r="G117" s="171">
        <v>9</v>
      </c>
      <c r="H117" s="172">
        <v>9</v>
      </c>
      <c r="I117" s="153"/>
      <c r="J117" s="153"/>
      <c r="K117" s="153"/>
      <c r="L117" s="153"/>
      <c r="M117" s="153"/>
      <c r="N117" s="34">
        <f t="shared" si="1"/>
        <v>45</v>
      </c>
    </row>
    <row r="118" spans="1:19" ht="18" customHeight="1">
      <c r="A118" s="116">
        <v>108</v>
      </c>
      <c r="B118" s="151">
        <v>22240</v>
      </c>
      <c r="C118" s="152" t="s">
        <v>231</v>
      </c>
      <c r="D118" s="173">
        <v>8</v>
      </c>
      <c r="E118" s="173">
        <v>9</v>
      </c>
      <c r="F118" s="173">
        <v>10</v>
      </c>
      <c r="G118" s="173">
        <v>8</v>
      </c>
      <c r="H118" s="174">
        <v>9</v>
      </c>
      <c r="I118" s="153"/>
      <c r="J118" s="153"/>
      <c r="K118" s="153"/>
      <c r="L118" s="153"/>
      <c r="M118" s="153"/>
      <c r="N118" s="34">
        <f t="shared" si="1"/>
        <v>44</v>
      </c>
    </row>
    <row r="119" spans="1:19" ht="15.75" customHeight="1">
      <c r="A119" s="4" t="s">
        <v>13</v>
      </c>
      <c r="C119" s="51">
        <f>COUNT(A11:A118)</f>
        <v>108</v>
      </c>
      <c r="G119" s="53"/>
      <c r="H119" s="53"/>
      <c r="L119" s="53"/>
      <c r="M119" s="53"/>
      <c r="O119"/>
      <c r="P119"/>
      <c r="Q119"/>
      <c r="R119"/>
      <c r="S119" s="80"/>
    </row>
    <row r="120" spans="1:19" ht="15.75" customHeight="1">
      <c r="A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 s="80"/>
    </row>
    <row r="121" spans="1:19" ht="15.7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</row>
    <row r="122" spans="1:19" ht="15.7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 s="82"/>
      <c r="P122"/>
      <c r="Q122" s="82"/>
      <c r="S122"/>
    </row>
    <row r="123" spans="1:19" ht="15.75" customHeight="1">
      <c r="A123"/>
      <c r="C123" t="str">
        <f>Faculty</f>
        <v xml:space="preserve">Dr. Ashwini Chavan, </v>
      </c>
      <c r="D123"/>
      <c r="E123"/>
      <c r="F123"/>
      <c r="G123"/>
      <c r="H123"/>
      <c r="I123"/>
      <c r="J123"/>
      <c r="K123"/>
      <c r="L123"/>
      <c r="M123"/>
      <c r="N123"/>
      <c r="O123" s="82"/>
      <c r="P123"/>
      <c r="Q123" s="82"/>
    </row>
    <row r="124" spans="1:19" ht="15.75" customHeight="1">
      <c r="A124"/>
      <c r="C124" s="82" t="str">
        <f>SubjectDetails!E17</f>
        <v>Subject Faculty</v>
      </c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 s="3"/>
    </row>
    <row r="125" spans="1:19" ht="15.7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 s="2"/>
      <c r="P125" s="2"/>
      <c r="Q125" s="2"/>
      <c r="R125" s="3"/>
    </row>
    <row r="126" spans="1:19" s="36" customFormat="1">
      <c r="A126" s="202" t="str">
        <f>SubjectDetails!A24</f>
        <v>Dr. Ravi Chourasiya</v>
      </c>
      <c r="B126" s="202"/>
      <c r="C126" s="83"/>
      <c r="D126" s="199" t="str">
        <f>SubjectDetails!E24</f>
        <v>Dr. Ashwini Chavan</v>
      </c>
      <c r="E126" s="199"/>
      <c r="F126" s="199"/>
      <c r="G126" s="52"/>
      <c r="H126" s="268" t="str">
        <f>SubjectDetails!H24</f>
        <v>Dr. Priyanka Singh</v>
      </c>
      <c r="I126" s="268"/>
      <c r="J126" s="268"/>
      <c r="K126" s="268"/>
      <c r="L126" s="268"/>
      <c r="M126" s="268"/>
      <c r="N126" s="268"/>
      <c r="O126" s="82"/>
      <c r="P126"/>
      <c r="Q126" s="82"/>
      <c r="R126" s="48"/>
      <c r="S126"/>
    </row>
    <row r="127" spans="1:19" s="36" customFormat="1">
      <c r="A127" s="238" t="str">
        <f>SubjectDetails!A25</f>
        <v>(College Examination Officer)</v>
      </c>
      <c r="B127" s="238"/>
      <c r="C127" s="83"/>
      <c r="D127" s="199" t="str">
        <f>SubjectDetails!E25</f>
        <v>HOD (MCA)</v>
      </c>
      <c r="E127" s="199"/>
      <c r="F127" s="199"/>
      <c r="G127" s="52"/>
      <c r="H127" s="268" t="str">
        <f>SubjectDetails!H25</f>
        <v>Director</v>
      </c>
      <c r="I127" s="268"/>
      <c r="J127" s="268"/>
      <c r="K127" s="268"/>
      <c r="L127" s="268"/>
      <c r="M127" s="268"/>
      <c r="N127" s="268"/>
      <c r="O127" s="82"/>
      <c r="P127"/>
      <c r="Q127" s="82"/>
      <c r="R127" s="48"/>
      <c r="S127" s="7"/>
    </row>
    <row r="128" spans="1:19" ht="15.7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 s="2"/>
    </row>
    <row r="129" spans="1:14" ht="15.75" customHeight="1"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ht="15.75" customHeight="1">
      <c r="A130" s="199"/>
      <c r="B130" s="199"/>
      <c r="C130" s="199"/>
      <c r="D130"/>
      <c r="E130" s="202"/>
      <c r="F130" s="202"/>
      <c r="G130"/>
      <c r="H130"/>
      <c r="I130"/>
      <c r="J130" s="202"/>
      <c r="K130" s="202"/>
      <c r="L130"/>
      <c r="M130"/>
      <c r="N130" s="99"/>
    </row>
    <row r="131" spans="1:14" ht="15.75" customHeight="1">
      <c r="A131" s="199"/>
      <c r="B131" s="199"/>
      <c r="C131" s="199"/>
      <c r="D131"/>
      <c r="E131" s="202"/>
      <c r="F131" s="202"/>
      <c r="G131"/>
      <c r="H131"/>
      <c r="I131"/>
      <c r="J131" s="202"/>
      <c r="K131" s="202"/>
      <c r="L131"/>
      <c r="M131"/>
      <c r="N131" s="99"/>
    </row>
  </sheetData>
  <sortState ref="A12:J202">
    <sortCondition ref="B12:B202"/>
  </sortState>
  <mergeCells count="25">
    <mergeCell ref="A131:C131"/>
    <mergeCell ref="E131:F131"/>
    <mergeCell ref="J130:K130"/>
    <mergeCell ref="J131:K131"/>
    <mergeCell ref="D127:F127"/>
    <mergeCell ref="H127:N127"/>
    <mergeCell ref="A127:B127"/>
    <mergeCell ref="A130:C130"/>
    <mergeCell ref="E130:F130"/>
    <mergeCell ref="A1:N1"/>
    <mergeCell ref="A2:N2"/>
    <mergeCell ref="A3:N3"/>
    <mergeCell ref="A4:N4"/>
    <mergeCell ref="D126:F126"/>
    <mergeCell ref="H126:N126"/>
    <mergeCell ref="A126:B126"/>
    <mergeCell ref="A7:A10"/>
    <mergeCell ref="B7:B10"/>
    <mergeCell ref="N9:N10"/>
    <mergeCell ref="A5:N5"/>
    <mergeCell ref="A6:B6"/>
    <mergeCell ref="D6:N6"/>
    <mergeCell ref="D7:M7"/>
    <mergeCell ref="N7:N8"/>
    <mergeCell ref="C7:C8"/>
  </mergeCells>
  <pageMargins left="0.7" right="0.7" top="0.75" bottom="0.75" header="0.3" footer="0.3"/>
  <pageSetup scale="7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7"/>
  <sheetViews>
    <sheetView topLeftCell="A103" workbookViewId="0">
      <selection activeCell="F7" sqref="F7"/>
    </sheetView>
  </sheetViews>
  <sheetFormatPr defaultColWidth="8.85546875" defaultRowHeight="12.75"/>
  <cols>
    <col min="1" max="1" width="11.28515625" style="41" customWidth="1"/>
    <col min="2" max="2" width="15.140625" style="43" customWidth="1"/>
    <col min="3" max="3" width="41.42578125" style="41" bestFit="1" customWidth="1"/>
    <col min="4" max="4" width="18.5703125" style="41" customWidth="1"/>
    <col min="5" max="5" width="15.7109375" style="41" customWidth="1"/>
    <col min="6" max="6" width="17.85546875" style="41" customWidth="1"/>
    <col min="7" max="7" width="19" style="41" customWidth="1"/>
    <col min="8" max="8" width="18.5703125" style="41" customWidth="1"/>
    <col min="9" max="16384" width="8.85546875" style="41"/>
  </cols>
  <sheetData>
    <row r="1" spans="1:15" s="7" customFormat="1" ht="21" customHeight="1">
      <c r="A1" s="192" t="s">
        <v>73</v>
      </c>
      <c r="B1" s="192"/>
      <c r="C1" s="192"/>
      <c r="D1" s="192"/>
      <c r="E1" s="192"/>
      <c r="F1" s="192"/>
      <c r="G1" s="192"/>
      <c r="H1" s="192"/>
      <c r="I1" s="95"/>
      <c r="J1" s="95"/>
      <c r="K1" s="95"/>
      <c r="L1" s="95"/>
      <c r="M1" s="95"/>
      <c r="N1" s="95"/>
      <c r="O1" s="122"/>
    </row>
    <row r="2" spans="1:15" s="7" customFormat="1" ht="25.15" customHeight="1">
      <c r="A2" s="193" t="s">
        <v>74</v>
      </c>
      <c r="B2" s="193"/>
      <c r="C2" s="193"/>
      <c r="D2" s="193"/>
      <c r="E2" s="193"/>
      <c r="F2" s="193"/>
      <c r="G2" s="193"/>
      <c r="H2" s="193"/>
      <c r="I2" s="96"/>
      <c r="J2" s="96"/>
      <c r="K2" s="96"/>
      <c r="L2" s="96"/>
      <c r="M2" s="96"/>
      <c r="N2" s="96"/>
      <c r="O2" s="122"/>
    </row>
    <row r="3" spans="1:15" s="7" customFormat="1" ht="21.6" customHeight="1">
      <c r="A3" s="194" t="s">
        <v>75</v>
      </c>
      <c r="B3" s="194"/>
      <c r="C3" s="194"/>
      <c r="D3" s="194"/>
      <c r="E3" s="194"/>
      <c r="F3" s="194"/>
      <c r="G3" s="194"/>
      <c r="H3" s="194"/>
      <c r="I3" s="97"/>
      <c r="J3" s="97"/>
      <c r="K3" s="97"/>
      <c r="L3" s="97"/>
      <c r="M3" s="97"/>
      <c r="N3" s="97"/>
      <c r="O3" s="122"/>
    </row>
    <row r="4" spans="1:15" s="7" customFormat="1" ht="19.899999999999999" customHeight="1">
      <c r="A4" s="194" t="s">
        <v>9</v>
      </c>
      <c r="B4" s="194"/>
      <c r="C4" s="194"/>
      <c r="D4" s="194"/>
      <c r="E4" s="194"/>
      <c r="F4" s="194"/>
      <c r="G4" s="194"/>
      <c r="H4" s="194"/>
      <c r="I4" s="97"/>
      <c r="J4" s="97"/>
      <c r="K4" s="97"/>
      <c r="L4" s="97"/>
      <c r="M4" s="97"/>
      <c r="N4" s="97"/>
      <c r="O4" s="122"/>
    </row>
    <row r="5" spans="1:15" s="7" customFormat="1" ht="20.25">
      <c r="A5" s="274" t="s">
        <v>5</v>
      </c>
      <c r="B5" s="274"/>
      <c r="C5" s="274"/>
      <c r="D5" s="274"/>
      <c r="E5" s="274"/>
      <c r="F5" s="274"/>
      <c r="G5" s="274"/>
      <c r="H5" s="275"/>
      <c r="I5" s="122"/>
      <c r="J5" s="122"/>
      <c r="K5" s="122"/>
      <c r="L5" s="122"/>
      <c r="M5" s="122"/>
      <c r="N5" s="122"/>
      <c r="O5" s="122"/>
    </row>
    <row r="6" spans="1:15" s="7" customFormat="1" ht="43.15" customHeight="1">
      <c r="A6" s="272" t="str">
        <f>CONCATENATE(Class," ", spl)</f>
        <v xml:space="preserve">MCA I SEM I AY 2023-24 </v>
      </c>
      <c r="B6" s="272"/>
      <c r="C6" s="115" t="str">
        <f>CONCATENATE("Name of Faculty: ", Faculty)</f>
        <v xml:space="preserve">Name of Faculty: Dr. Ashwini Chavan, </v>
      </c>
      <c r="D6" s="259" t="str">
        <f>CONCATENATE("Course Name: ", Sub_Code)</f>
        <v>Course Name: Network Technologies</v>
      </c>
      <c r="E6" s="262"/>
      <c r="F6" s="262"/>
      <c r="G6" s="262"/>
      <c r="H6" s="260"/>
    </row>
    <row r="7" spans="1:15" s="39" customFormat="1" ht="25.5">
      <c r="A7" s="123" t="s">
        <v>0</v>
      </c>
      <c r="B7" s="124" t="s">
        <v>6</v>
      </c>
      <c r="C7" s="124" t="s">
        <v>7</v>
      </c>
      <c r="D7" s="125" t="s">
        <v>99</v>
      </c>
      <c r="E7" s="125" t="s">
        <v>100</v>
      </c>
      <c r="F7" s="125" t="s">
        <v>101</v>
      </c>
      <c r="G7" s="125" t="s">
        <v>102</v>
      </c>
      <c r="H7" s="126" t="s">
        <v>103</v>
      </c>
    </row>
    <row r="8" spans="1:15" s="39" customFormat="1" ht="15.75">
      <c r="A8" s="157">
        <v>1</v>
      </c>
      <c r="B8" s="151">
        <v>22101</v>
      </c>
      <c r="C8" s="152" t="s">
        <v>124</v>
      </c>
      <c r="D8" s="154">
        <f>'CCE1'!J11</f>
        <v>29</v>
      </c>
      <c r="E8" s="154">
        <f>'CCE2'!L11</f>
        <v>37</v>
      </c>
      <c r="F8" s="154">
        <f>'CCE3'!N11</f>
        <v>39</v>
      </c>
      <c r="G8" s="155">
        <f>SUM(Table3[[#This Row],[CCE'#1  (30)]:[CCE'#3 (50)]])</f>
        <v>105</v>
      </c>
      <c r="H8" s="156">
        <f>Table3[[#This Row],[Total (100)]]/('CCE1'!$J$9+'CCE2'!$L$9+'CCE3'!$N$9)*25</f>
        <v>21.875</v>
      </c>
    </row>
    <row r="9" spans="1:15" s="39" customFormat="1" ht="15.75">
      <c r="A9" s="157">
        <v>2</v>
      </c>
      <c r="B9" s="151">
        <v>22102</v>
      </c>
      <c r="C9" s="152" t="s">
        <v>125</v>
      </c>
      <c r="D9" s="154">
        <f>'CCE1'!J12</f>
        <v>28</v>
      </c>
      <c r="E9" s="154">
        <f>'CCE2'!L12</f>
        <v>29</v>
      </c>
      <c r="F9" s="154">
        <f>'CCE3'!N12</f>
        <v>32</v>
      </c>
      <c r="G9" s="155">
        <f>SUM(Table3[[#This Row],[CCE'#1  (30)]:[CCE'#3 (50)]])</f>
        <v>89</v>
      </c>
      <c r="H9" s="156">
        <f>Table3[[#This Row],[Total (100)]]/('CCE1'!$J$9+'CCE2'!$L$9+'CCE3'!$N$9)*25</f>
        <v>18.541666666666668</v>
      </c>
    </row>
    <row r="10" spans="1:15" s="39" customFormat="1" ht="15.75">
      <c r="A10" s="157">
        <v>3</v>
      </c>
      <c r="B10" s="151">
        <v>22103</v>
      </c>
      <c r="C10" s="152" t="s">
        <v>126</v>
      </c>
      <c r="D10" s="154">
        <f>'CCE1'!J13</f>
        <v>29</v>
      </c>
      <c r="E10" s="154">
        <f>'CCE2'!L13</f>
        <v>28</v>
      </c>
      <c r="F10" s="154">
        <f>'CCE3'!N13</f>
        <v>43</v>
      </c>
      <c r="G10" s="155">
        <f>SUM(Table3[[#This Row],[CCE'#1  (30)]:[CCE'#3 (50)]])</f>
        <v>100</v>
      </c>
      <c r="H10" s="156">
        <f>Table3[[#This Row],[Total (100)]]/('CCE1'!$J$9+'CCE2'!$L$9+'CCE3'!$N$9)*25</f>
        <v>20.833333333333336</v>
      </c>
    </row>
    <row r="11" spans="1:15" s="39" customFormat="1" ht="15.75">
      <c r="A11" s="157">
        <v>4</v>
      </c>
      <c r="B11" s="151">
        <v>22104</v>
      </c>
      <c r="C11" s="152" t="s">
        <v>127</v>
      </c>
      <c r="D11" s="154">
        <f>'CCE1'!J14</f>
        <v>26</v>
      </c>
      <c r="E11" s="154">
        <f>'CCE2'!L14</f>
        <v>32</v>
      </c>
      <c r="F11" s="154">
        <f>'CCE3'!N14</f>
        <v>42</v>
      </c>
      <c r="G11" s="155">
        <f>SUM(Table3[[#This Row],[CCE'#1  (30)]:[CCE'#3 (50)]])</f>
        <v>100</v>
      </c>
      <c r="H11" s="156">
        <f>Table3[[#This Row],[Total (100)]]/('CCE1'!$J$9+'CCE2'!$L$9+'CCE3'!$N$9)*25</f>
        <v>20.833333333333336</v>
      </c>
    </row>
    <row r="12" spans="1:15" s="39" customFormat="1" ht="15.75">
      <c r="A12" s="157">
        <v>5</v>
      </c>
      <c r="B12" s="151">
        <v>22105</v>
      </c>
      <c r="C12" s="152" t="s">
        <v>128</v>
      </c>
      <c r="D12" s="154">
        <f>'CCE1'!J15</f>
        <v>26</v>
      </c>
      <c r="E12" s="154">
        <f>'CCE2'!L15</f>
        <v>34</v>
      </c>
      <c r="F12" s="154">
        <f>'CCE3'!N15</f>
        <v>37</v>
      </c>
      <c r="G12" s="155">
        <f>SUM(Table3[[#This Row],[CCE'#1  (30)]:[CCE'#3 (50)]])</f>
        <v>97</v>
      </c>
      <c r="H12" s="156">
        <f>Table3[[#This Row],[Total (100)]]/('CCE1'!$J$9+'CCE2'!$L$9+'CCE3'!$N$9)*25</f>
        <v>20.208333333333332</v>
      </c>
    </row>
    <row r="13" spans="1:15" s="39" customFormat="1" ht="15.75">
      <c r="A13" s="157">
        <v>6</v>
      </c>
      <c r="B13" s="151">
        <v>22106</v>
      </c>
      <c r="C13" s="152" t="s">
        <v>129</v>
      </c>
      <c r="D13" s="154">
        <f>'CCE1'!J16</f>
        <v>25</v>
      </c>
      <c r="E13" s="154">
        <f>'CCE2'!L16</f>
        <v>30</v>
      </c>
      <c r="F13" s="154">
        <f>'CCE3'!N16</f>
        <v>36</v>
      </c>
      <c r="G13" s="155">
        <f>SUM(Table3[[#This Row],[CCE'#1  (30)]:[CCE'#3 (50)]])</f>
        <v>91</v>
      </c>
      <c r="H13" s="156">
        <f>Table3[[#This Row],[Total (100)]]/('CCE1'!$J$9+'CCE2'!$L$9+'CCE3'!$N$9)*25</f>
        <v>18.958333333333332</v>
      </c>
    </row>
    <row r="14" spans="1:15" s="39" customFormat="1" ht="15.75">
      <c r="A14" s="157">
        <v>7</v>
      </c>
      <c r="B14" s="151">
        <v>22107</v>
      </c>
      <c r="C14" s="152" t="s">
        <v>130</v>
      </c>
      <c r="D14" s="154">
        <f>'CCE1'!J17</f>
        <v>28</v>
      </c>
      <c r="E14" s="154">
        <f>'CCE2'!L17</f>
        <v>29</v>
      </c>
      <c r="F14" s="154">
        <f>'CCE3'!N17</f>
        <v>41</v>
      </c>
      <c r="G14" s="155">
        <f>SUM(Table3[[#This Row],[CCE'#1  (30)]:[CCE'#3 (50)]])</f>
        <v>98</v>
      </c>
      <c r="H14" s="156">
        <f>Table3[[#This Row],[Total (100)]]/('CCE1'!$J$9+'CCE2'!$L$9+'CCE3'!$N$9)*25</f>
        <v>20.416666666666668</v>
      </c>
    </row>
    <row r="15" spans="1:15" s="39" customFormat="1" ht="15.75">
      <c r="A15" s="157">
        <v>8</v>
      </c>
      <c r="B15" s="151">
        <v>22108</v>
      </c>
      <c r="C15" s="152" t="s">
        <v>131</v>
      </c>
      <c r="D15" s="154">
        <f>'CCE1'!J18</f>
        <v>29</v>
      </c>
      <c r="E15" s="154">
        <f>'CCE2'!L18</f>
        <v>34</v>
      </c>
      <c r="F15" s="154">
        <f>'CCE3'!N18</f>
        <v>39</v>
      </c>
      <c r="G15" s="155">
        <f>SUM(Table3[[#This Row],[CCE'#1  (30)]:[CCE'#3 (50)]])</f>
        <v>102</v>
      </c>
      <c r="H15" s="156">
        <f>Table3[[#This Row],[Total (100)]]/('CCE1'!$J$9+'CCE2'!$L$9+'CCE3'!$N$9)*25</f>
        <v>21.25</v>
      </c>
    </row>
    <row r="16" spans="1:15" s="39" customFormat="1" ht="15.75">
      <c r="A16" s="157">
        <v>9</v>
      </c>
      <c r="B16" s="151">
        <v>22109</v>
      </c>
      <c r="C16" s="152" t="s">
        <v>132</v>
      </c>
      <c r="D16" s="154">
        <f>'CCE1'!J19</f>
        <v>30</v>
      </c>
      <c r="E16" s="154">
        <f>'CCE2'!L19</f>
        <v>32</v>
      </c>
      <c r="F16" s="154">
        <f>'CCE3'!N19</f>
        <v>41</v>
      </c>
      <c r="G16" s="155">
        <f>SUM(Table3[[#This Row],[CCE'#1  (30)]:[CCE'#3 (50)]])</f>
        <v>103</v>
      </c>
      <c r="H16" s="156">
        <f>Table3[[#This Row],[Total (100)]]/('CCE1'!$J$9+'CCE2'!$L$9+'CCE3'!$N$9)*25</f>
        <v>21.458333333333332</v>
      </c>
    </row>
    <row r="17" spans="1:8" s="39" customFormat="1" ht="15.75">
      <c r="A17" s="157">
        <v>10</v>
      </c>
      <c r="B17" s="151">
        <v>22110</v>
      </c>
      <c r="C17" s="152" t="s">
        <v>133</v>
      </c>
      <c r="D17" s="154">
        <f>'CCE1'!J20</f>
        <v>26</v>
      </c>
      <c r="E17" s="154">
        <f>'CCE2'!L20</f>
        <v>37</v>
      </c>
      <c r="F17" s="154">
        <f>'CCE3'!N20</f>
        <v>41</v>
      </c>
      <c r="G17" s="155">
        <f>SUM(Table3[[#This Row],[CCE'#1  (30)]:[CCE'#3 (50)]])</f>
        <v>104</v>
      </c>
      <c r="H17" s="156">
        <f>Table3[[#This Row],[Total (100)]]/('CCE1'!$J$9+'CCE2'!$L$9+'CCE3'!$N$9)*25</f>
        <v>21.666666666666668</v>
      </c>
    </row>
    <row r="18" spans="1:8" s="39" customFormat="1" ht="15.75">
      <c r="A18" s="157">
        <v>11</v>
      </c>
      <c r="B18" s="151">
        <v>22111</v>
      </c>
      <c r="C18" s="152" t="s">
        <v>134</v>
      </c>
      <c r="D18" s="154">
        <f>'CCE1'!J21</f>
        <v>29</v>
      </c>
      <c r="E18" s="154">
        <f>'CCE2'!L21</f>
        <v>29</v>
      </c>
      <c r="F18" s="154">
        <f>'CCE3'!N21</f>
        <v>45</v>
      </c>
      <c r="G18" s="155">
        <f>SUM(Table3[[#This Row],[CCE'#1  (30)]:[CCE'#3 (50)]])</f>
        <v>103</v>
      </c>
      <c r="H18" s="156">
        <f>Table3[[#This Row],[Total (100)]]/('CCE1'!$J$9+'CCE2'!$L$9+'CCE3'!$N$9)*25</f>
        <v>21.458333333333332</v>
      </c>
    </row>
    <row r="19" spans="1:8" s="39" customFormat="1" ht="15.75">
      <c r="A19" s="157">
        <v>12</v>
      </c>
      <c r="B19" s="151">
        <v>22112</v>
      </c>
      <c r="C19" s="152" t="s">
        <v>135</v>
      </c>
      <c r="D19" s="154">
        <f>'CCE1'!J22</f>
        <v>27</v>
      </c>
      <c r="E19" s="154">
        <f>'CCE2'!L22</f>
        <v>28</v>
      </c>
      <c r="F19" s="154">
        <f>'CCE3'!N22</f>
        <v>43</v>
      </c>
      <c r="G19" s="155">
        <f>SUM(Table3[[#This Row],[CCE'#1  (30)]:[CCE'#3 (50)]])</f>
        <v>98</v>
      </c>
      <c r="H19" s="156">
        <f>Table3[[#This Row],[Total (100)]]/('CCE1'!$J$9+'CCE2'!$L$9+'CCE3'!$N$9)*25</f>
        <v>20.416666666666668</v>
      </c>
    </row>
    <row r="20" spans="1:8" s="39" customFormat="1" ht="15.75">
      <c r="A20" s="157">
        <v>13</v>
      </c>
      <c r="B20" s="151">
        <v>22113</v>
      </c>
      <c r="C20" s="152" t="s">
        <v>136</v>
      </c>
      <c r="D20" s="154">
        <f>'CCE1'!J23</f>
        <v>27</v>
      </c>
      <c r="E20" s="154">
        <f>'CCE2'!L23</f>
        <v>33</v>
      </c>
      <c r="F20" s="154">
        <f>'CCE3'!N23</f>
        <v>45</v>
      </c>
      <c r="G20" s="155">
        <f>SUM(Table3[[#This Row],[CCE'#1  (30)]:[CCE'#3 (50)]])</f>
        <v>105</v>
      </c>
      <c r="H20" s="156">
        <f>Table3[[#This Row],[Total (100)]]/('CCE1'!$J$9+'CCE2'!$L$9+'CCE3'!$N$9)*25</f>
        <v>21.875</v>
      </c>
    </row>
    <row r="21" spans="1:8" s="39" customFormat="1" ht="15.75">
      <c r="A21" s="157">
        <v>14</v>
      </c>
      <c r="B21" s="151">
        <v>22114</v>
      </c>
      <c r="C21" s="152" t="s">
        <v>137</v>
      </c>
      <c r="D21" s="154">
        <f>'CCE1'!J24</f>
        <v>26</v>
      </c>
      <c r="E21" s="154">
        <f>'CCE2'!L24</f>
        <v>29</v>
      </c>
      <c r="F21" s="154">
        <f>'CCE3'!N24</f>
        <v>41</v>
      </c>
      <c r="G21" s="155">
        <f>SUM(Table3[[#This Row],[CCE'#1  (30)]:[CCE'#3 (50)]])</f>
        <v>96</v>
      </c>
      <c r="H21" s="156">
        <f>Table3[[#This Row],[Total (100)]]/('CCE1'!$J$9+'CCE2'!$L$9+'CCE3'!$N$9)*25</f>
        <v>20</v>
      </c>
    </row>
    <row r="22" spans="1:8" s="39" customFormat="1" ht="15.75">
      <c r="A22" s="157">
        <v>15</v>
      </c>
      <c r="B22" s="151">
        <v>22115</v>
      </c>
      <c r="C22" s="152" t="s">
        <v>138</v>
      </c>
      <c r="D22" s="154">
        <f>'CCE1'!J25</f>
        <v>25</v>
      </c>
      <c r="E22" s="154">
        <f>'CCE2'!L25</f>
        <v>33</v>
      </c>
      <c r="F22" s="154">
        <f>'CCE3'!N25</f>
        <v>42</v>
      </c>
      <c r="G22" s="155">
        <f>SUM(Table3[[#This Row],[CCE'#1  (30)]:[CCE'#3 (50)]])</f>
        <v>100</v>
      </c>
      <c r="H22" s="156">
        <f>Table3[[#This Row],[Total (100)]]/('CCE1'!$J$9+'CCE2'!$L$9+'CCE3'!$N$9)*25</f>
        <v>20.833333333333336</v>
      </c>
    </row>
    <row r="23" spans="1:8" s="39" customFormat="1" ht="15.75">
      <c r="A23" s="157">
        <v>16</v>
      </c>
      <c r="B23" s="151">
        <v>22116</v>
      </c>
      <c r="C23" s="152" t="s">
        <v>139</v>
      </c>
      <c r="D23" s="154">
        <f>'CCE1'!J26</f>
        <v>28</v>
      </c>
      <c r="E23" s="154">
        <f>'CCE2'!L26</f>
        <v>32</v>
      </c>
      <c r="F23" s="154">
        <f>'CCE3'!N26</f>
        <v>42</v>
      </c>
      <c r="G23" s="155">
        <f>SUM(Table3[[#This Row],[CCE'#1  (30)]:[CCE'#3 (50)]])</f>
        <v>102</v>
      </c>
      <c r="H23" s="156">
        <f>Table3[[#This Row],[Total (100)]]/('CCE1'!$J$9+'CCE2'!$L$9+'CCE3'!$N$9)*25</f>
        <v>21.25</v>
      </c>
    </row>
    <row r="24" spans="1:8" s="39" customFormat="1" ht="15.75">
      <c r="A24" s="157">
        <v>17</v>
      </c>
      <c r="B24" s="151">
        <v>22117</v>
      </c>
      <c r="C24" s="152" t="s">
        <v>140</v>
      </c>
      <c r="D24" s="154">
        <f>'CCE1'!J27</f>
        <v>27</v>
      </c>
      <c r="E24" s="154">
        <f>'CCE2'!L27</f>
        <v>32</v>
      </c>
      <c r="F24" s="154">
        <f>'CCE3'!N27</f>
        <v>44</v>
      </c>
      <c r="G24" s="155">
        <f>SUM(Table3[[#This Row],[CCE'#1  (30)]:[CCE'#3 (50)]])</f>
        <v>103</v>
      </c>
      <c r="H24" s="156">
        <f>Table3[[#This Row],[Total (100)]]/('CCE1'!$J$9+'CCE2'!$L$9+'CCE3'!$N$9)*25</f>
        <v>21.458333333333332</v>
      </c>
    </row>
    <row r="25" spans="1:8" s="39" customFormat="1" ht="15.75">
      <c r="A25" s="157">
        <v>18</v>
      </c>
      <c r="B25" s="151">
        <v>22118</v>
      </c>
      <c r="C25" s="152" t="s">
        <v>141</v>
      </c>
      <c r="D25" s="154">
        <f>'CCE1'!J28</f>
        <v>27</v>
      </c>
      <c r="E25" s="154">
        <f>'CCE2'!L28</f>
        <v>33</v>
      </c>
      <c r="F25" s="154">
        <f>'CCE3'!N28</f>
        <v>47</v>
      </c>
      <c r="G25" s="155">
        <f>SUM(Table3[[#This Row],[CCE'#1  (30)]:[CCE'#3 (50)]])</f>
        <v>107</v>
      </c>
      <c r="H25" s="156">
        <f>Table3[[#This Row],[Total (100)]]/('CCE1'!$J$9+'CCE2'!$L$9+'CCE3'!$N$9)*25</f>
        <v>22.291666666666668</v>
      </c>
    </row>
    <row r="26" spans="1:8" s="39" customFormat="1" ht="15.75">
      <c r="A26" s="157">
        <v>19</v>
      </c>
      <c r="B26" s="151">
        <v>22119</v>
      </c>
      <c r="C26" s="152" t="s">
        <v>142</v>
      </c>
      <c r="D26" s="154">
        <f>'CCE1'!J11</f>
        <v>29</v>
      </c>
      <c r="E26" s="154">
        <f>'CCE2'!L29</f>
        <v>30</v>
      </c>
      <c r="F26" s="154">
        <f>'CCE3'!N29</f>
        <v>44</v>
      </c>
      <c r="G26" s="155">
        <f>SUM(Table3[[#This Row],[CCE'#1  (30)]:[CCE'#3 (50)]])</f>
        <v>103</v>
      </c>
      <c r="H26" s="156">
        <f>Table3[[#This Row],[Total (100)]]/('CCE1'!$J$9+'CCE2'!$L$9+'CCE3'!$N$9)*25</f>
        <v>21.458333333333332</v>
      </c>
    </row>
    <row r="27" spans="1:8" s="39" customFormat="1" ht="15.75">
      <c r="A27" s="157">
        <v>20</v>
      </c>
      <c r="B27" s="151">
        <v>22120</v>
      </c>
      <c r="C27" s="152" t="s">
        <v>143</v>
      </c>
      <c r="D27" s="154">
        <f>'CCE1'!J12</f>
        <v>28</v>
      </c>
      <c r="E27" s="154">
        <f>'CCE2'!L30</f>
        <v>20</v>
      </c>
      <c r="F27" s="154">
        <f>'CCE3'!N30</f>
        <v>41</v>
      </c>
      <c r="G27" s="155">
        <f>SUM(Table3[[#This Row],[CCE'#1  (30)]:[CCE'#3 (50)]])</f>
        <v>89</v>
      </c>
      <c r="H27" s="156">
        <f>Table3[[#This Row],[Total (100)]]/('CCE1'!$J$9+'CCE2'!$L$9+'CCE3'!$N$9)*25</f>
        <v>18.541666666666668</v>
      </c>
    </row>
    <row r="28" spans="1:8" s="39" customFormat="1" ht="15.75">
      <c r="A28" s="157">
        <v>21</v>
      </c>
      <c r="B28" s="151">
        <v>22121</v>
      </c>
      <c r="C28" s="152" t="s">
        <v>144</v>
      </c>
      <c r="D28" s="154">
        <f>'CCE1'!J13</f>
        <v>29</v>
      </c>
      <c r="E28" s="154">
        <f>'CCE2'!L31</f>
        <v>36</v>
      </c>
      <c r="F28" s="154">
        <f>'CCE3'!N31</f>
        <v>41</v>
      </c>
      <c r="G28" s="155">
        <f>SUM(Table3[[#This Row],[CCE'#1  (30)]:[CCE'#3 (50)]])</f>
        <v>106</v>
      </c>
      <c r="H28" s="156">
        <f>Table3[[#This Row],[Total (100)]]/('CCE1'!$J$9+'CCE2'!$L$9+'CCE3'!$N$9)*25</f>
        <v>22.083333333333332</v>
      </c>
    </row>
    <row r="29" spans="1:8" s="39" customFormat="1" ht="15.75">
      <c r="A29" s="157">
        <v>22</v>
      </c>
      <c r="B29" s="151">
        <v>22122</v>
      </c>
      <c r="C29" s="152" t="s">
        <v>145</v>
      </c>
      <c r="D29" s="154">
        <f>'CCE1'!J14</f>
        <v>26</v>
      </c>
      <c r="E29" s="154">
        <f>'CCE2'!L32</f>
        <v>31</v>
      </c>
      <c r="F29" s="154">
        <f>'CCE3'!N32</f>
        <v>44</v>
      </c>
      <c r="G29" s="155">
        <f>SUM(Table3[[#This Row],[CCE'#1  (30)]:[CCE'#3 (50)]])</f>
        <v>101</v>
      </c>
      <c r="H29" s="156">
        <f>Table3[[#This Row],[Total (100)]]/('CCE1'!$J$9+'CCE2'!$L$9+'CCE3'!$N$9)*25</f>
        <v>21.041666666666668</v>
      </c>
    </row>
    <row r="30" spans="1:8" s="39" customFormat="1" ht="15.75">
      <c r="A30" s="157">
        <v>23</v>
      </c>
      <c r="B30" s="151">
        <v>22123</v>
      </c>
      <c r="C30" s="152" t="s">
        <v>146</v>
      </c>
      <c r="D30" s="154">
        <f>'CCE1'!J15</f>
        <v>26</v>
      </c>
      <c r="E30" s="154">
        <f>'CCE2'!L33</f>
        <v>32</v>
      </c>
      <c r="F30" s="154">
        <f>'CCE3'!N33</f>
        <v>40</v>
      </c>
      <c r="G30" s="155">
        <f>SUM(Table3[[#This Row],[CCE'#1  (30)]:[CCE'#3 (50)]])</f>
        <v>98</v>
      </c>
      <c r="H30" s="156">
        <f>Table3[[#This Row],[Total (100)]]/('CCE1'!$J$9+'CCE2'!$L$9+'CCE3'!$N$9)*25</f>
        <v>20.416666666666668</v>
      </c>
    </row>
    <row r="31" spans="1:8" s="39" customFormat="1" ht="15.75">
      <c r="A31" s="157">
        <v>24</v>
      </c>
      <c r="B31" s="151">
        <v>22124</v>
      </c>
      <c r="C31" s="152" t="s">
        <v>147</v>
      </c>
      <c r="D31" s="154">
        <f>'CCE1'!J16</f>
        <v>25</v>
      </c>
      <c r="E31" s="154">
        <f>'CCE2'!L34</f>
        <v>29</v>
      </c>
      <c r="F31" s="154">
        <f>'CCE3'!N34</f>
        <v>45</v>
      </c>
      <c r="G31" s="155">
        <f>SUM(Table3[[#This Row],[CCE'#1  (30)]:[CCE'#3 (50)]])</f>
        <v>99</v>
      </c>
      <c r="H31" s="156">
        <f>Table3[[#This Row],[Total (100)]]/('CCE1'!$J$9+'CCE2'!$L$9+'CCE3'!$N$9)*25</f>
        <v>20.625</v>
      </c>
    </row>
    <row r="32" spans="1:8" s="39" customFormat="1" ht="15.75">
      <c r="A32" s="157">
        <v>25</v>
      </c>
      <c r="B32" s="151">
        <v>22125</v>
      </c>
      <c r="C32" s="152" t="s">
        <v>148</v>
      </c>
      <c r="D32" s="154">
        <f>'CCE1'!J17</f>
        <v>28</v>
      </c>
      <c r="E32" s="154">
        <f>'CCE2'!L35</f>
        <v>32</v>
      </c>
      <c r="F32" s="154">
        <f>'CCE3'!N35</f>
        <v>45</v>
      </c>
      <c r="G32" s="155">
        <f>SUM(Table3[[#This Row],[CCE'#1  (30)]:[CCE'#3 (50)]])</f>
        <v>105</v>
      </c>
      <c r="H32" s="156">
        <f>Table3[[#This Row],[Total (100)]]/('CCE1'!$J$9+'CCE2'!$L$9+'CCE3'!$N$9)*25</f>
        <v>21.875</v>
      </c>
    </row>
    <row r="33" spans="1:8" s="39" customFormat="1" ht="15.75">
      <c r="A33" s="157">
        <v>26</v>
      </c>
      <c r="B33" s="151">
        <v>22126</v>
      </c>
      <c r="C33" s="152" t="s">
        <v>149</v>
      </c>
      <c r="D33" s="154">
        <f>'CCE1'!J18</f>
        <v>29</v>
      </c>
      <c r="E33" s="154">
        <f>'CCE2'!L36</f>
        <v>32</v>
      </c>
      <c r="F33" s="154">
        <f>'CCE3'!N36</f>
        <v>46</v>
      </c>
      <c r="G33" s="155">
        <f>SUM(Table3[[#This Row],[CCE'#1  (30)]:[CCE'#3 (50)]])</f>
        <v>107</v>
      </c>
      <c r="H33" s="156">
        <f>Table3[[#This Row],[Total (100)]]/('CCE1'!$J$9+'CCE2'!$L$9+'CCE3'!$N$9)*25</f>
        <v>22.291666666666668</v>
      </c>
    </row>
    <row r="34" spans="1:8" s="39" customFormat="1" ht="15.75">
      <c r="A34" s="157">
        <v>27</v>
      </c>
      <c r="B34" s="151">
        <v>22127</v>
      </c>
      <c r="C34" s="152" t="s">
        <v>150</v>
      </c>
      <c r="D34" s="154">
        <f>'CCE1'!J19</f>
        <v>30</v>
      </c>
      <c r="E34" s="154">
        <f>'CCE2'!L37</f>
        <v>29</v>
      </c>
      <c r="F34" s="154">
        <f>'CCE3'!N37</f>
        <v>45</v>
      </c>
      <c r="G34" s="155">
        <f>SUM(Table3[[#This Row],[CCE'#1  (30)]:[CCE'#3 (50)]])</f>
        <v>104</v>
      </c>
      <c r="H34" s="156">
        <f>Table3[[#This Row],[Total (100)]]/('CCE1'!$J$9+'CCE2'!$L$9+'CCE3'!$N$9)*25</f>
        <v>21.666666666666668</v>
      </c>
    </row>
    <row r="35" spans="1:8" s="39" customFormat="1" ht="15.75">
      <c r="A35" s="157">
        <v>28</v>
      </c>
      <c r="B35" s="151">
        <v>22128</v>
      </c>
      <c r="C35" s="152" t="s">
        <v>151</v>
      </c>
      <c r="D35" s="154">
        <f>'CCE1'!J20</f>
        <v>26</v>
      </c>
      <c r="E35" s="154">
        <f>'CCE2'!L38</f>
        <v>32</v>
      </c>
      <c r="F35" s="154">
        <f>'CCE3'!N38</f>
        <v>44</v>
      </c>
      <c r="G35" s="155">
        <f>SUM(Table3[[#This Row],[CCE'#1  (30)]:[CCE'#3 (50)]])</f>
        <v>102</v>
      </c>
      <c r="H35" s="156">
        <f>Table3[[#This Row],[Total (100)]]/('CCE1'!$J$9+'CCE2'!$L$9+'CCE3'!$N$9)*25</f>
        <v>21.25</v>
      </c>
    </row>
    <row r="36" spans="1:8" s="39" customFormat="1" ht="15.75">
      <c r="A36" s="157">
        <v>29</v>
      </c>
      <c r="B36" s="151">
        <v>22129</v>
      </c>
      <c r="C36" s="152" t="s">
        <v>152</v>
      </c>
      <c r="D36" s="154">
        <f>'CCE1'!J21</f>
        <v>29</v>
      </c>
      <c r="E36" s="154">
        <f>'CCE2'!L39</f>
        <v>34</v>
      </c>
      <c r="F36" s="154">
        <f>'CCE3'!N39</f>
        <v>45</v>
      </c>
      <c r="G36" s="155">
        <f>SUM(Table3[[#This Row],[CCE'#1  (30)]:[CCE'#3 (50)]])</f>
        <v>108</v>
      </c>
      <c r="H36" s="156">
        <f>Table3[[#This Row],[Total (100)]]/('CCE1'!$J$9+'CCE2'!$L$9+'CCE3'!$N$9)*25</f>
        <v>22.5</v>
      </c>
    </row>
    <row r="37" spans="1:8" s="39" customFormat="1" ht="15.75">
      <c r="A37" s="157">
        <v>30</v>
      </c>
      <c r="B37" s="151">
        <v>22130</v>
      </c>
      <c r="C37" s="152" t="s">
        <v>153</v>
      </c>
      <c r="D37" s="154">
        <f>'CCE1'!J22</f>
        <v>27</v>
      </c>
      <c r="E37" s="154">
        <f>'CCE2'!L40</f>
        <v>35</v>
      </c>
      <c r="F37" s="154">
        <f>'CCE3'!N40</f>
        <v>43</v>
      </c>
      <c r="G37" s="155">
        <f>SUM(Table3[[#This Row],[CCE'#1  (30)]:[CCE'#3 (50)]])</f>
        <v>105</v>
      </c>
      <c r="H37" s="156">
        <f>Table3[[#This Row],[Total (100)]]/('CCE1'!$J$9+'CCE2'!$L$9+'CCE3'!$N$9)*25</f>
        <v>21.875</v>
      </c>
    </row>
    <row r="38" spans="1:8" s="39" customFormat="1" ht="15.75">
      <c r="A38" s="157">
        <v>31</v>
      </c>
      <c r="B38" s="151">
        <v>22131</v>
      </c>
      <c r="C38" s="152" t="s">
        <v>154</v>
      </c>
      <c r="D38" s="154">
        <f>'CCE1'!J23</f>
        <v>27</v>
      </c>
      <c r="E38" s="154">
        <f>'CCE2'!L41</f>
        <v>34</v>
      </c>
      <c r="F38" s="154">
        <f>'CCE3'!N41</f>
        <v>35</v>
      </c>
      <c r="G38" s="155">
        <f>SUM(Table3[[#This Row],[CCE'#1  (30)]:[CCE'#3 (50)]])</f>
        <v>96</v>
      </c>
      <c r="H38" s="156">
        <f>Table3[[#This Row],[Total (100)]]/('CCE1'!$J$9+'CCE2'!$L$9+'CCE3'!$N$9)*25</f>
        <v>20</v>
      </c>
    </row>
    <row r="39" spans="1:8" s="39" customFormat="1" ht="15.75">
      <c r="A39" s="157">
        <v>32</v>
      </c>
      <c r="B39" s="151">
        <v>22132</v>
      </c>
      <c r="C39" s="152" t="s">
        <v>155</v>
      </c>
      <c r="D39" s="154">
        <f>'CCE1'!J24</f>
        <v>26</v>
      </c>
      <c r="E39" s="154">
        <f>'CCE2'!L42</f>
        <v>34</v>
      </c>
      <c r="F39" s="154">
        <f>'CCE3'!N42</f>
        <v>40</v>
      </c>
      <c r="G39" s="155">
        <f>SUM(Table3[[#This Row],[CCE'#1  (30)]:[CCE'#3 (50)]])</f>
        <v>100</v>
      </c>
      <c r="H39" s="156">
        <f>Table3[[#This Row],[Total (100)]]/('CCE1'!$J$9+'CCE2'!$L$9+'CCE3'!$N$9)*25</f>
        <v>20.833333333333336</v>
      </c>
    </row>
    <row r="40" spans="1:8" s="39" customFormat="1" ht="15.75">
      <c r="A40" s="157">
        <v>33</v>
      </c>
      <c r="B40" s="151">
        <v>22133</v>
      </c>
      <c r="C40" s="152" t="s">
        <v>156</v>
      </c>
      <c r="D40" s="154">
        <f>'CCE1'!J25</f>
        <v>25</v>
      </c>
      <c r="E40" s="154">
        <f>'CCE2'!L43</f>
        <v>33</v>
      </c>
      <c r="F40" s="154">
        <f>'CCE3'!N43</f>
        <v>39</v>
      </c>
      <c r="G40" s="155">
        <f>SUM(Table3[[#This Row],[CCE'#1  (30)]:[CCE'#3 (50)]])</f>
        <v>97</v>
      </c>
      <c r="H40" s="156">
        <f>Table3[[#This Row],[Total (100)]]/('CCE1'!$J$9+'CCE2'!$L$9+'CCE3'!$N$9)*25</f>
        <v>20.208333333333332</v>
      </c>
    </row>
    <row r="41" spans="1:8" s="39" customFormat="1" ht="15.75">
      <c r="A41" s="157">
        <v>34</v>
      </c>
      <c r="B41" s="151">
        <v>22134</v>
      </c>
      <c r="C41" s="152" t="s">
        <v>157</v>
      </c>
      <c r="D41" s="154">
        <f>'CCE1'!J26</f>
        <v>28</v>
      </c>
      <c r="E41" s="154">
        <f>'CCE2'!L44</f>
        <v>33</v>
      </c>
      <c r="F41" s="154">
        <f>'CCE3'!N44</f>
        <v>44</v>
      </c>
      <c r="G41" s="155">
        <f>SUM(Table3[[#This Row],[CCE'#1  (30)]:[CCE'#3 (50)]])</f>
        <v>105</v>
      </c>
      <c r="H41" s="156">
        <f>Table3[[#This Row],[Total (100)]]/('CCE1'!$J$9+'CCE2'!$L$9+'CCE3'!$N$9)*25</f>
        <v>21.875</v>
      </c>
    </row>
    <row r="42" spans="1:8" s="39" customFormat="1" ht="15.75">
      <c r="A42" s="157">
        <v>35</v>
      </c>
      <c r="B42" s="151">
        <v>22135</v>
      </c>
      <c r="C42" s="152" t="s">
        <v>158</v>
      </c>
      <c r="D42" s="154">
        <f>'CCE1'!J27</f>
        <v>27</v>
      </c>
      <c r="E42" s="154">
        <f>'CCE2'!L45</f>
        <v>32</v>
      </c>
      <c r="F42" s="154">
        <f>'CCE3'!N45</f>
        <v>41</v>
      </c>
      <c r="G42" s="155">
        <f>SUM(Table3[[#This Row],[CCE'#1  (30)]:[CCE'#3 (50)]])</f>
        <v>100</v>
      </c>
      <c r="H42" s="156">
        <f>Table3[[#This Row],[Total (100)]]/('CCE1'!$J$9+'CCE2'!$L$9+'CCE3'!$N$9)*25</f>
        <v>20.833333333333336</v>
      </c>
    </row>
    <row r="43" spans="1:8" s="39" customFormat="1" ht="15.75">
      <c r="A43" s="157">
        <v>36</v>
      </c>
      <c r="B43" s="151">
        <v>22136</v>
      </c>
      <c r="C43" s="152" t="s">
        <v>159</v>
      </c>
      <c r="D43" s="154">
        <f>'CCE1'!J28</f>
        <v>27</v>
      </c>
      <c r="E43" s="154">
        <f>'CCE2'!L46</f>
        <v>31</v>
      </c>
      <c r="F43" s="154">
        <f>'CCE3'!N46</f>
        <v>42</v>
      </c>
      <c r="G43" s="155">
        <f>SUM(Table3[[#This Row],[CCE'#1  (30)]:[CCE'#3 (50)]])</f>
        <v>100</v>
      </c>
      <c r="H43" s="156">
        <f>Table3[[#This Row],[Total (100)]]/('CCE1'!$J$9+'CCE2'!$L$9+'CCE3'!$N$9)*25</f>
        <v>20.833333333333336</v>
      </c>
    </row>
    <row r="44" spans="1:8" s="39" customFormat="1" ht="15.75">
      <c r="A44" s="157">
        <v>37</v>
      </c>
      <c r="B44" s="151">
        <v>22137</v>
      </c>
      <c r="C44" s="152" t="s">
        <v>160</v>
      </c>
      <c r="D44" s="154">
        <f>'CCE1'!J29</f>
        <v>26</v>
      </c>
      <c r="E44" s="154">
        <f>'CCE2'!L47</f>
        <v>34</v>
      </c>
      <c r="F44" s="154">
        <f>'CCE3'!N47</f>
        <v>35</v>
      </c>
      <c r="G44" s="155">
        <f>SUM(Table3[[#This Row],[CCE'#1  (30)]:[CCE'#3 (50)]])</f>
        <v>95</v>
      </c>
      <c r="H44" s="156">
        <f>Table3[[#This Row],[Total (100)]]/('CCE1'!$J$9+'CCE2'!$L$9+'CCE3'!$N$9)*25</f>
        <v>19.791666666666664</v>
      </c>
    </row>
    <row r="45" spans="1:8" s="39" customFormat="1" ht="15.75">
      <c r="A45" s="157">
        <v>38</v>
      </c>
      <c r="B45" s="151">
        <v>22138</v>
      </c>
      <c r="C45" s="152" t="s">
        <v>161</v>
      </c>
      <c r="D45" s="154">
        <f>'CCE1'!J30</f>
        <v>28</v>
      </c>
      <c r="E45" s="154">
        <f>'CCE2'!L48</f>
        <v>29</v>
      </c>
      <c r="F45" s="154">
        <f>'CCE3'!N48</f>
        <v>38</v>
      </c>
      <c r="G45" s="155">
        <f>SUM(Table3[[#This Row],[CCE'#1  (30)]:[CCE'#3 (50)]])</f>
        <v>95</v>
      </c>
      <c r="H45" s="156">
        <f>Table3[[#This Row],[Total (100)]]/('CCE1'!$J$9+'CCE2'!$L$9+'CCE3'!$N$9)*25</f>
        <v>19.791666666666664</v>
      </c>
    </row>
    <row r="46" spans="1:8" s="39" customFormat="1" ht="15.75">
      <c r="A46" s="157">
        <v>39</v>
      </c>
      <c r="B46" s="151">
        <v>22139</v>
      </c>
      <c r="C46" s="152" t="s">
        <v>162</v>
      </c>
      <c r="D46" s="154">
        <f>'CCE1'!J31</f>
        <v>26</v>
      </c>
      <c r="E46" s="154">
        <f>'CCE2'!L49</f>
        <v>34</v>
      </c>
      <c r="F46" s="154">
        <f>'CCE3'!N49</f>
        <v>37</v>
      </c>
      <c r="G46" s="155">
        <f>SUM(Table3[[#This Row],[CCE'#1  (30)]:[CCE'#3 (50)]])</f>
        <v>97</v>
      </c>
      <c r="H46" s="156">
        <f>Table3[[#This Row],[Total (100)]]/('CCE1'!$J$9+'CCE2'!$L$9+'CCE3'!$N$9)*25</f>
        <v>20.208333333333332</v>
      </c>
    </row>
    <row r="47" spans="1:8" s="39" customFormat="1" ht="15.75">
      <c r="A47" s="157">
        <v>40</v>
      </c>
      <c r="B47" s="151">
        <v>22140</v>
      </c>
      <c r="C47" s="152" t="s">
        <v>163</v>
      </c>
      <c r="D47" s="154">
        <f>'CCE1'!J32</f>
        <v>26</v>
      </c>
      <c r="E47" s="154">
        <f>'CCE2'!L50</f>
        <v>30</v>
      </c>
      <c r="F47" s="154">
        <f>'CCE3'!N50</f>
        <v>38</v>
      </c>
      <c r="G47" s="155">
        <f>SUM(Table3[[#This Row],[CCE'#1  (30)]:[CCE'#3 (50)]])</f>
        <v>94</v>
      </c>
      <c r="H47" s="156">
        <f>Table3[[#This Row],[Total (100)]]/('CCE1'!$J$9+'CCE2'!$L$9+'CCE3'!$N$9)*25</f>
        <v>19.583333333333332</v>
      </c>
    </row>
    <row r="48" spans="1:8" s="39" customFormat="1" ht="15.75">
      <c r="A48" s="157">
        <v>41</v>
      </c>
      <c r="B48" s="151">
        <v>22141</v>
      </c>
      <c r="C48" s="152" t="s">
        <v>164</v>
      </c>
      <c r="D48" s="154">
        <f>'CCE1'!J33</f>
        <v>29</v>
      </c>
      <c r="E48" s="154">
        <f>'CCE2'!L51</f>
        <v>33</v>
      </c>
      <c r="F48" s="154">
        <f>'CCE3'!N51</f>
        <v>36</v>
      </c>
      <c r="G48" s="155">
        <f>SUM(Table3[[#This Row],[CCE'#1  (30)]:[CCE'#3 (50)]])</f>
        <v>98</v>
      </c>
      <c r="H48" s="156">
        <f>Table3[[#This Row],[Total (100)]]/('CCE1'!$J$9+'CCE2'!$L$9+'CCE3'!$N$9)*25</f>
        <v>20.416666666666668</v>
      </c>
    </row>
    <row r="49" spans="1:8" s="39" customFormat="1" ht="15.75">
      <c r="A49" s="157">
        <v>42</v>
      </c>
      <c r="B49" s="151">
        <v>22142</v>
      </c>
      <c r="C49" s="152" t="s">
        <v>165</v>
      </c>
      <c r="D49" s="154">
        <f>'CCE1'!J34</f>
        <v>27</v>
      </c>
      <c r="E49" s="154">
        <f>'CCE2'!L52</f>
        <v>36</v>
      </c>
      <c r="F49" s="154">
        <f>'CCE3'!N52</f>
        <v>42</v>
      </c>
      <c r="G49" s="155">
        <f>SUM(Table3[[#This Row],[CCE'#1  (30)]:[CCE'#3 (50)]])</f>
        <v>105</v>
      </c>
      <c r="H49" s="156">
        <f>Table3[[#This Row],[Total (100)]]/('CCE1'!$J$9+'CCE2'!$L$9+'CCE3'!$N$9)*25</f>
        <v>21.875</v>
      </c>
    </row>
    <row r="50" spans="1:8" s="39" customFormat="1" ht="15.75">
      <c r="A50" s="157">
        <v>43</v>
      </c>
      <c r="B50" s="151">
        <v>22143</v>
      </c>
      <c r="C50" s="152" t="s">
        <v>166</v>
      </c>
      <c r="D50" s="154">
        <f>'CCE1'!J35</f>
        <v>25</v>
      </c>
      <c r="E50" s="154">
        <f>'CCE2'!L53</f>
        <v>33</v>
      </c>
      <c r="F50" s="154">
        <f>'CCE3'!N53</f>
        <v>41</v>
      </c>
      <c r="G50" s="155">
        <f>SUM(Table3[[#This Row],[CCE'#1  (30)]:[CCE'#3 (50)]])</f>
        <v>99</v>
      </c>
      <c r="H50" s="156">
        <f>Table3[[#This Row],[Total (100)]]/('CCE1'!$J$9+'CCE2'!$L$9+'CCE3'!$N$9)*25</f>
        <v>20.625</v>
      </c>
    </row>
    <row r="51" spans="1:8" s="39" customFormat="1" ht="15.75">
      <c r="A51" s="157">
        <v>44</v>
      </c>
      <c r="B51" s="151">
        <v>22144</v>
      </c>
      <c r="C51" s="152" t="s">
        <v>167</v>
      </c>
      <c r="D51" s="154">
        <f>'CCE1'!J36</f>
        <v>28</v>
      </c>
      <c r="E51" s="154">
        <f>'CCE2'!L54</f>
        <v>36</v>
      </c>
      <c r="F51" s="154">
        <f>'CCE3'!N54</f>
        <v>37</v>
      </c>
      <c r="G51" s="155">
        <f>SUM(Table3[[#This Row],[CCE'#1  (30)]:[CCE'#3 (50)]])</f>
        <v>101</v>
      </c>
      <c r="H51" s="156">
        <f>Table3[[#This Row],[Total (100)]]/('CCE1'!$J$9+'CCE2'!$L$9+'CCE3'!$N$9)*25</f>
        <v>21.041666666666668</v>
      </c>
    </row>
    <row r="52" spans="1:8" s="39" customFormat="1" ht="15.75">
      <c r="A52" s="157">
        <v>45</v>
      </c>
      <c r="B52" s="151">
        <v>22145</v>
      </c>
      <c r="C52" s="152" t="s">
        <v>168</v>
      </c>
      <c r="D52" s="154">
        <f>'CCE1'!J37</f>
        <v>26</v>
      </c>
      <c r="E52" s="154">
        <f>'CCE2'!L55</f>
        <v>32</v>
      </c>
      <c r="F52" s="154">
        <f>'CCE3'!N55</f>
        <v>42</v>
      </c>
      <c r="G52" s="155">
        <f>SUM(Table3[[#This Row],[CCE'#1  (30)]:[CCE'#3 (50)]])</f>
        <v>100</v>
      </c>
      <c r="H52" s="156">
        <f>Table3[[#This Row],[Total (100)]]/('CCE1'!$J$9+'CCE2'!$L$9+'CCE3'!$N$9)*25</f>
        <v>20.833333333333336</v>
      </c>
    </row>
    <row r="53" spans="1:8" s="39" customFormat="1" ht="15.75">
      <c r="A53" s="157">
        <v>46</v>
      </c>
      <c r="B53" s="151">
        <v>22146</v>
      </c>
      <c r="C53" s="152" t="s">
        <v>169</v>
      </c>
      <c r="D53" s="154">
        <f>'CCE1'!J38</f>
        <v>29</v>
      </c>
      <c r="E53" s="154">
        <f>'CCE2'!L56</f>
        <v>31</v>
      </c>
      <c r="F53" s="154">
        <f>'CCE3'!N56</f>
        <v>43</v>
      </c>
      <c r="G53" s="155">
        <f>SUM(Table3[[#This Row],[CCE'#1  (30)]:[CCE'#3 (50)]])</f>
        <v>103</v>
      </c>
      <c r="H53" s="156">
        <f>Table3[[#This Row],[Total (100)]]/('CCE1'!$J$9+'CCE2'!$L$9+'CCE3'!$N$9)*25</f>
        <v>21.458333333333332</v>
      </c>
    </row>
    <row r="54" spans="1:8" s="39" customFormat="1" ht="15.75">
      <c r="A54" s="157">
        <v>47</v>
      </c>
      <c r="B54" s="151">
        <v>22147</v>
      </c>
      <c r="C54" s="152" t="s">
        <v>170</v>
      </c>
      <c r="D54" s="154">
        <f>'CCE1'!J39</f>
        <v>24</v>
      </c>
      <c r="E54" s="154">
        <f>'CCE2'!L57</f>
        <v>31</v>
      </c>
      <c r="F54" s="154">
        <f>'CCE3'!N57</f>
        <v>48</v>
      </c>
      <c r="G54" s="155">
        <f>SUM(Table3[[#This Row],[CCE'#1  (30)]:[CCE'#3 (50)]])</f>
        <v>103</v>
      </c>
      <c r="H54" s="156">
        <f>Table3[[#This Row],[Total (100)]]/('CCE1'!$J$9+'CCE2'!$L$9+'CCE3'!$N$9)*25</f>
        <v>21.458333333333332</v>
      </c>
    </row>
    <row r="55" spans="1:8" s="39" customFormat="1" ht="15.75">
      <c r="A55" s="157">
        <v>48</v>
      </c>
      <c r="B55" s="151">
        <v>22148</v>
      </c>
      <c r="C55" s="152" t="s">
        <v>171</v>
      </c>
      <c r="D55" s="154">
        <f>'CCE1'!J40</f>
        <v>25</v>
      </c>
      <c r="E55" s="154">
        <f>'CCE2'!L58</f>
        <v>36</v>
      </c>
      <c r="F55" s="154">
        <f>'CCE3'!N58</f>
        <v>46</v>
      </c>
      <c r="G55" s="155">
        <f>SUM(Table3[[#This Row],[CCE'#1  (30)]:[CCE'#3 (50)]])</f>
        <v>107</v>
      </c>
      <c r="H55" s="156">
        <f>Table3[[#This Row],[Total (100)]]/('CCE1'!$J$9+'CCE2'!$L$9+'CCE3'!$N$9)*25</f>
        <v>22.291666666666668</v>
      </c>
    </row>
    <row r="56" spans="1:8" s="39" customFormat="1" ht="15.75">
      <c r="A56" s="157">
        <v>49</v>
      </c>
      <c r="B56" s="151">
        <v>22149</v>
      </c>
      <c r="C56" s="152" t="s">
        <v>172</v>
      </c>
      <c r="D56" s="154">
        <f>'CCE1'!J41</f>
        <v>27</v>
      </c>
      <c r="E56" s="154">
        <f>'CCE2'!L59</f>
        <v>34</v>
      </c>
      <c r="F56" s="154">
        <f>'CCE3'!N59</f>
        <v>47</v>
      </c>
      <c r="G56" s="155">
        <f>SUM(Table3[[#This Row],[CCE'#1  (30)]:[CCE'#3 (50)]])</f>
        <v>108</v>
      </c>
      <c r="H56" s="156">
        <f>Table3[[#This Row],[Total (100)]]/('CCE1'!$J$9+'CCE2'!$L$9+'CCE3'!$N$9)*25</f>
        <v>22.5</v>
      </c>
    </row>
    <row r="57" spans="1:8" s="39" customFormat="1" ht="15.75">
      <c r="A57" s="157">
        <v>50</v>
      </c>
      <c r="B57" s="151">
        <v>22150</v>
      </c>
      <c r="C57" s="152" t="s">
        <v>173</v>
      </c>
      <c r="D57" s="154">
        <f>'CCE1'!J42</f>
        <v>27</v>
      </c>
      <c r="E57" s="154">
        <f>'CCE2'!L60</f>
        <v>36</v>
      </c>
      <c r="F57" s="154">
        <f>'CCE3'!N60</f>
        <v>46</v>
      </c>
      <c r="G57" s="155">
        <f>SUM(Table3[[#This Row],[CCE'#1  (30)]:[CCE'#3 (50)]])</f>
        <v>109</v>
      </c>
      <c r="H57" s="156">
        <f>Table3[[#This Row],[Total (100)]]/('CCE1'!$J$9+'CCE2'!$L$9+'CCE3'!$N$9)*25</f>
        <v>22.708333333333332</v>
      </c>
    </row>
    <row r="58" spans="1:8" s="39" customFormat="1" ht="15.75">
      <c r="A58" s="157">
        <v>51</v>
      </c>
      <c r="B58" s="151">
        <v>22151</v>
      </c>
      <c r="C58" s="152" t="s">
        <v>174</v>
      </c>
      <c r="D58" s="154">
        <f>'CCE1'!J43</f>
        <v>28</v>
      </c>
      <c r="E58" s="154">
        <f>'CCE2'!L61</f>
        <v>35</v>
      </c>
      <c r="F58" s="154">
        <f>'CCE3'!N61</f>
        <v>44</v>
      </c>
      <c r="G58" s="155">
        <f>SUM(Table3[[#This Row],[CCE'#1  (30)]:[CCE'#3 (50)]])</f>
        <v>107</v>
      </c>
      <c r="H58" s="156">
        <f>Table3[[#This Row],[Total (100)]]/('CCE1'!$J$9+'CCE2'!$L$9+'CCE3'!$N$9)*25</f>
        <v>22.291666666666668</v>
      </c>
    </row>
    <row r="59" spans="1:8" s="39" customFormat="1" ht="15.75">
      <c r="A59" s="157">
        <v>52</v>
      </c>
      <c r="B59" s="151">
        <v>22152</v>
      </c>
      <c r="C59" s="152" t="s">
        <v>175</v>
      </c>
      <c r="D59" s="154">
        <f>'CCE1'!J44</f>
        <v>25</v>
      </c>
      <c r="E59" s="154">
        <f>'CCE2'!L62</f>
        <v>33</v>
      </c>
      <c r="F59" s="154">
        <f>'CCE3'!N62</f>
        <v>47</v>
      </c>
      <c r="G59" s="155">
        <f>SUM(Table3[[#This Row],[CCE'#1  (30)]:[CCE'#3 (50)]])</f>
        <v>105</v>
      </c>
      <c r="H59" s="156">
        <f>Table3[[#This Row],[Total (100)]]/('CCE1'!$J$9+'CCE2'!$L$9+'CCE3'!$N$9)*25</f>
        <v>21.875</v>
      </c>
    </row>
    <row r="60" spans="1:8" s="39" customFormat="1" ht="15.75">
      <c r="A60" s="157">
        <v>53</v>
      </c>
      <c r="B60" s="151">
        <v>22153</v>
      </c>
      <c r="C60" s="152" t="s">
        <v>176</v>
      </c>
      <c r="D60" s="154">
        <f>'CCE1'!J45</f>
        <v>24</v>
      </c>
      <c r="E60" s="154">
        <f>'CCE2'!L63</f>
        <v>31</v>
      </c>
      <c r="F60" s="154">
        <f>'CCE3'!N63</f>
        <v>46</v>
      </c>
      <c r="G60" s="155">
        <f>SUM(Table3[[#This Row],[CCE'#1  (30)]:[CCE'#3 (50)]])</f>
        <v>101</v>
      </c>
      <c r="H60" s="156">
        <f>Table3[[#This Row],[Total (100)]]/('CCE1'!$J$9+'CCE2'!$L$9+'CCE3'!$N$9)*25</f>
        <v>21.041666666666668</v>
      </c>
    </row>
    <row r="61" spans="1:8" s="39" customFormat="1" ht="15.75">
      <c r="A61" s="157">
        <v>54</v>
      </c>
      <c r="B61" s="151">
        <v>22154</v>
      </c>
      <c r="C61" s="152" t="s">
        <v>177</v>
      </c>
      <c r="D61" s="154">
        <f>'CCE1'!J46</f>
        <v>28</v>
      </c>
      <c r="E61" s="154">
        <f>'CCE2'!L64</f>
        <v>30</v>
      </c>
      <c r="F61" s="154">
        <f>'CCE3'!N64</f>
        <v>43</v>
      </c>
      <c r="G61" s="155">
        <f>SUM(Table3[[#This Row],[CCE'#1  (30)]:[CCE'#3 (50)]])</f>
        <v>101</v>
      </c>
      <c r="H61" s="156">
        <f>Table3[[#This Row],[Total (100)]]/('CCE1'!$J$9+'CCE2'!$L$9+'CCE3'!$N$9)*25</f>
        <v>21.041666666666668</v>
      </c>
    </row>
    <row r="62" spans="1:8" s="39" customFormat="1" ht="15.75">
      <c r="A62" s="157">
        <v>55</v>
      </c>
      <c r="B62" s="151">
        <v>22155</v>
      </c>
      <c r="C62" s="152" t="s">
        <v>178</v>
      </c>
      <c r="D62" s="154">
        <f>'CCE1'!J47</f>
        <v>26</v>
      </c>
      <c r="E62" s="154">
        <f>'CCE2'!L65</f>
        <v>33</v>
      </c>
      <c r="F62" s="154">
        <f>'CCE3'!N65</f>
        <v>36</v>
      </c>
      <c r="G62" s="155">
        <f>SUM(Table3[[#This Row],[CCE'#1  (30)]:[CCE'#3 (50)]])</f>
        <v>95</v>
      </c>
      <c r="H62" s="156">
        <f>Table3[[#This Row],[Total (100)]]/('CCE1'!$J$9+'CCE2'!$L$9+'CCE3'!$N$9)*25</f>
        <v>19.791666666666664</v>
      </c>
    </row>
    <row r="63" spans="1:8" s="39" customFormat="1" ht="15.75">
      <c r="A63" s="157">
        <v>56</v>
      </c>
      <c r="B63" s="151">
        <v>22156</v>
      </c>
      <c r="C63" s="152" t="s">
        <v>179</v>
      </c>
      <c r="D63" s="154">
        <f>'CCE1'!J48</f>
        <v>26</v>
      </c>
      <c r="E63" s="154">
        <f>'CCE2'!L66</f>
        <v>34</v>
      </c>
      <c r="F63" s="154">
        <f>'CCE3'!N66</f>
        <v>42</v>
      </c>
      <c r="G63" s="155">
        <f>SUM(Table3[[#This Row],[CCE'#1  (30)]:[CCE'#3 (50)]])</f>
        <v>102</v>
      </c>
      <c r="H63" s="156">
        <f>Table3[[#This Row],[Total (100)]]/('CCE1'!$J$9+'CCE2'!$L$9+'CCE3'!$N$9)*25</f>
        <v>21.25</v>
      </c>
    </row>
    <row r="64" spans="1:8" s="39" customFormat="1" ht="15.75">
      <c r="A64" s="157">
        <v>57</v>
      </c>
      <c r="B64" s="151">
        <v>22157</v>
      </c>
      <c r="C64" s="152" t="s">
        <v>180</v>
      </c>
      <c r="D64" s="154">
        <f>'CCE1'!J49</f>
        <v>24</v>
      </c>
      <c r="E64" s="154">
        <f>'CCE2'!L67</f>
        <v>29</v>
      </c>
      <c r="F64" s="154">
        <f>'CCE3'!N67</f>
        <v>42</v>
      </c>
      <c r="G64" s="155">
        <f>SUM(Table3[[#This Row],[CCE'#1  (30)]:[CCE'#3 (50)]])</f>
        <v>95</v>
      </c>
      <c r="H64" s="156">
        <f>Table3[[#This Row],[Total (100)]]/('CCE1'!$J$9+'CCE2'!$L$9+'CCE3'!$N$9)*25</f>
        <v>19.791666666666664</v>
      </c>
    </row>
    <row r="65" spans="1:8" s="39" customFormat="1" ht="15.75">
      <c r="A65" s="157">
        <v>58</v>
      </c>
      <c r="B65" s="151">
        <v>22158</v>
      </c>
      <c r="C65" s="152" t="s">
        <v>181</v>
      </c>
      <c r="D65" s="154">
        <f>'CCE1'!J50</f>
        <v>14</v>
      </c>
      <c r="E65" s="154">
        <f>'CCE2'!L68</f>
        <v>31</v>
      </c>
      <c r="F65" s="154">
        <f>'CCE3'!N68</f>
        <v>39</v>
      </c>
      <c r="G65" s="155">
        <f>SUM(Table3[[#This Row],[CCE'#1  (30)]:[CCE'#3 (50)]])</f>
        <v>84</v>
      </c>
      <c r="H65" s="156">
        <f>Table3[[#This Row],[Total (100)]]/('CCE1'!$J$9+'CCE2'!$L$9+'CCE3'!$N$9)*25</f>
        <v>17.5</v>
      </c>
    </row>
    <row r="66" spans="1:8" s="39" customFormat="1" ht="15.75">
      <c r="A66" s="157">
        <v>59</v>
      </c>
      <c r="B66" s="151">
        <v>22159</v>
      </c>
      <c r="C66" s="152" t="s">
        <v>182</v>
      </c>
      <c r="D66" s="154">
        <f>'CCE1'!J51</f>
        <v>27</v>
      </c>
      <c r="E66" s="154">
        <f>'CCE2'!L69</f>
        <v>31</v>
      </c>
      <c r="F66" s="154">
        <f>'CCE3'!N69</f>
        <v>43</v>
      </c>
      <c r="G66" s="155">
        <f>SUM(Table3[[#This Row],[CCE'#1  (30)]:[CCE'#3 (50)]])</f>
        <v>101</v>
      </c>
      <c r="H66" s="156">
        <f>Table3[[#This Row],[Total (100)]]/('CCE1'!$J$9+'CCE2'!$L$9+'CCE3'!$N$9)*25</f>
        <v>21.041666666666668</v>
      </c>
    </row>
    <row r="67" spans="1:8" s="39" customFormat="1" ht="15.75">
      <c r="A67" s="157">
        <v>60</v>
      </c>
      <c r="B67" s="151">
        <v>22160</v>
      </c>
      <c r="C67" s="152" t="s">
        <v>183</v>
      </c>
      <c r="D67" s="154">
        <f>'CCE1'!J52</f>
        <v>25</v>
      </c>
      <c r="E67" s="154">
        <f>'CCE2'!L70</f>
        <v>28</v>
      </c>
      <c r="F67" s="154">
        <f>'CCE3'!N70</f>
        <v>44</v>
      </c>
      <c r="G67" s="155">
        <f>SUM(Table3[[#This Row],[CCE'#1  (30)]:[CCE'#3 (50)]])</f>
        <v>97</v>
      </c>
      <c r="H67" s="156">
        <f>Table3[[#This Row],[Total (100)]]/('CCE1'!$J$9+'CCE2'!$L$9+'CCE3'!$N$9)*25</f>
        <v>20.208333333333332</v>
      </c>
    </row>
    <row r="68" spans="1:8" s="39" customFormat="1" ht="15.75">
      <c r="A68" s="157">
        <v>61</v>
      </c>
      <c r="B68" s="151">
        <v>22161</v>
      </c>
      <c r="C68" s="152" t="s">
        <v>184</v>
      </c>
      <c r="D68" s="154">
        <f>'CCE1'!J53</f>
        <v>25</v>
      </c>
      <c r="E68" s="154">
        <f>'CCE2'!L71</f>
        <v>38</v>
      </c>
      <c r="F68" s="154">
        <f>'CCE3'!N71</f>
        <v>46</v>
      </c>
      <c r="G68" s="155">
        <f>SUM(Table3[[#This Row],[CCE'#1  (30)]:[CCE'#3 (50)]])</f>
        <v>109</v>
      </c>
      <c r="H68" s="156">
        <f>Table3[[#This Row],[Total (100)]]/('CCE1'!$J$9+'CCE2'!$L$9+'CCE3'!$N$9)*25</f>
        <v>22.708333333333332</v>
      </c>
    </row>
    <row r="69" spans="1:8" s="39" customFormat="1" ht="15.75">
      <c r="A69" s="157">
        <v>62</v>
      </c>
      <c r="B69" s="151">
        <v>22162</v>
      </c>
      <c r="C69" s="152" t="s">
        <v>185</v>
      </c>
      <c r="D69" s="154">
        <f>'CCE1'!J54</f>
        <v>27</v>
      </c>
      <c r="E69" s="154">
        <f>'CCE2'!L72</f>
        <v>29</v>
      </c>
      <c r="F69" s="154">
        <f>'CCE3'!N72</f>
        <v>45</v>
      </c>
      <c r="G69" s="155">
        <f>SUM(Table3[[#This Row],[CCE'#1  (30)]:[CCE'#3 (50)]])</f>
        <v>101</v>
      </c>
      <c r="H69" s="156">
        <f>Table3[[#This Row],[Total (100)]]/('CCE1'!$J$9+'CCE2'!$L$9+'CCE3'!$N$9)*25</f>
        <v>21.041666666666668</v>
      </c>
    </row>
    <row r="70" spans="1:8" s="39" customFormat="1" ht="15.75">
      <c r="A70" s="157">
        <v>63</v>
      </c>
      <c r="B70" s="151">
        <v>22163</v>
      </c>
      <c r="C70" s="152" t="s">
        <v>186</v>
      </c>
      <c r="D70" s="154">
        <f>'CCE1'!J55</f>
        <v>21</v>
      </c>
      <c r="E70" s="154">
        <f>'CCE2'!L73</f>
        <v>35</v>
      </c>
      <c r="F70" s="154">
        <f>'CCE3'!N73</f>
        <v>46</v>
      </c>
      <c r="G70" s="155">
        <f>SUM(Table3[[#This Row],[CCE'#1  (30)]:[CCE'#3 (50)]])</f>
        <v>102</v>
      </c>
      <c r="H70" s="156">
        <f>Table3[[#This Row],[Total (100)]]/('CCE1'!$J$9+'CCE2'!$L$9+'CCE3'!$N$9)*25</f>
        <v>21.25</v>
      </c>
    </row>
    <row r="71" spans="1:8" s="39" customFormat="1" ht="15.75">
      <c r="A71" s="157">
        <v>64</v>
      </c>
      <c r="B71" s="151">
        <v>22164</v>
      </c>
      <c r="C71" s="152" t="s">
        <v>187</v>
      </c>
      <c r="D71" s="154">
        <f>'CCE1'!J56</f>
        <v>25</v>
      </c>
      <c r="E71" s="154">
        <f>'CCE2'!L74</f>
        <v>36</v>
      </c>
      <c r="F71" s="154">
        <f>'CCE3'!N74</f>
        <v>44</v>
      </c>
      <c r="G71" s="155">
        <f>SUM(Table3[[#This Row],[CCE'#1  (30)]:[CCE'#3 (50)]])</f>
        <v>105</v>
      </c>
      <c r="H71" s="156">
        <f>Table3[[#This Row],[Total (100)]]/('CCE1'!$J$9+'CCE2'!$L$9+'CCE3'!$N$9)*25</f>
        <v>21.875</v>
      </c>
    </row>
    <row r="72" spans="1:8" s="39" customFormat="1" ht="15.75">
      <c r="A72" s="157">
        <v>65</v>
      </c>
      <c r="B72" s="151">
        <v>22165</v>
      </c>
      <c r="C72" s="152" t="s">
        <v>188</v>
      </c>
      <c r="D72" s="154">
        <f>'CCE1'!J57</f>
        <v>22</v>
      </c>
      <c r="E72" s="154">
        <f>'CCE2'!L75</f>
        <v>34</v>
      </c>
      <c r="F72" s="154">
        <f>'CCE3'!N75</f>
        <v>45</v>
      </c>
      <c r="G72" s="155">
        <f>SUM(Table3[[#This Row],[CCE'#1  (30)]:[CCE'#3 (50)]])</f>
        <v>101</v>
      </c>
      <c r="H72" s="156">
        <f>Table3[[#This Row],[Total (100)]]/('CCE1'!$J$9+'CCE2'!$L$9+'CCE3'!$N$9)*25</f>
        <v>21.041666666666668</v>
      </c>
    </row>
    <row r="73" spans="1:8" s="39" customFormat="1" ht="15.75">
      <c r="A73" s="157">
        <v>66</v>
      </c>
      <c r="B73" s="151">
        <v>22166</v>
      </c>
      <c r="C73" s="152" t="s">
        <v>189</v>
      </c>
      <c r="D73" s="154">
        <f>'CCE1'!J58</f>
        <v>26</v>
      </c>
      <c r="E73" s="154">
        <f>'CCE2'!L76</f>
        <v>35</v>
      </c>
      <c r="F73" s="154">
        <f>'CCE3'!N76</f>
        <v>42</v>
      </c>
      <c r="G73" s="155">
        <f>SUM(Table3[[#This Row],[CCE'#1  (30)]:[CCE'#3 (50)]])</f>
        <v>103</v>
      </c>
      <c r="H73" s="156">
        <f>Table3[[#This Row],[Total (100)]]/('CCE1'!$J$9+'CCE2'!$L$9+'CCE3'!$N$9)*25</f>
        <v>21.458333333333332</v>
      </c>
    </row>
    <row r="74" spans="1:8" s="39" customFormat="1" ht="15.75">
      <c r="A74" s="157">
        <v>67</v>
      </c>
      <c r="B74" s="151">
        <v>22167</v>
      </c>
      <c r="C74" s="152" t="s">
        <v>190</v>
      </c>
      <c r="D74" s="154">
        <f>'CCE1'!J59</f>
        <v>19</v>
      </c>
      <c r="E74" s="154">
        <f>'CCE2'!L77</f>
        <v>32</v>
      </c>
      <c r="F74" s="154">
        <f>'CCE3'!N77</f>
        <v>29</v>
      </c>
      <c r="G74" s="155">
        <f>SUM(Table3[[#This Row],[CCE'#1  (30)]:[CCE'#3 (50)]])</f>
        <v>80</v>
      </c>
      <c r="H74" s="156">
        <f>Table3[[#This Row],[Total (100)]]/('CCE1'!$J$9+'CCE2'!$L$9+'CCE3'!$N$9)*25</f>
        <v>16.666666666666664</v>
      </c>
    </row>
    <row r="75" spans="1:8" s="39" customFormat="1" ht="15.75">
      <c r="A75" s="157">
        <v>68</v>
      </c>
      <c r="B75" s="151">
        <v>22168</v>
      </c>
      <c r="C75" s="152" t="s">
        <v>191</v>
      </c>
      <c r="D75" s="154">
        <f>'CCE1'!J60</f>
        <v>28</v>
      </c>
      <c r="E75" s="154">
        <f>'CCE2'!L78</f>
        <v>28</v>
      </c>
      <c r="F75" s="154">
        <f>'CCE3'!N78</f>
        <v>42</v>
      </c>
      <c r="G75" s="155">
        <f>SUM(Table3[[#This Row],[CCE'#1  (30)]:[CCE'#3 (50)]])</f>
        <v>98</v>
      </c>
      <c r="H75" s="156">
        <f>Table3[[#This Row],[Total (100)]]/('CCE1'!$J$9+'CCE2'!$L$9+'CCE3'!$N$9)*25</f>
        <v>20.416666666666668</v>
      </c>
    </row>
    <row r="76" spans="1:8" s="39" customFormat="1" ht="15.75">
      <c r="A76" s="157">
        <v>69</v>
      </c>
      <c r="B76" s="151">
        <v>22201</v>
      </c>
      <c r="C76" s="152" t="s">
        <v>192</v>
      </c>
      <c r="D76" s="154">
        <f>'CCE1'!J61</f>
        <v>27</v>
      </c>
      <c r="E76" s="154">
        <f>'CCE2'!L79</f>
        <v>32</v>
      </c>
      <c r="F76" s="154">
        <f>'CCE3'!N79</f>
        <v>42</v>
      </c>
      <c r="G76" s="155">
        <f>SUM(Table3[[#This Row],[CCE'#1  (30)]:[CCE'#3 (50)]])</f>
        <v>101</v>
      </c>
      <c r="H76" s="156">
        <f>Table3[[#This Row],[Total (100)]]/('CCE1'!$J$9+'CCE2'!$L$9+'CCE3'!$N$9)*25</f>
        <v>21.041666666666668</v>
      </c>
    </row>
    <row r="77" spans="1:8" s="39" customFormat="1" ht="15.75">
      <c r="A77" s="157">
        <v>70</v>
      </c>
      <c r="B77" s="151">
        <v>22202</v>
      </c>
      <c r="C77" s="152" t="s">
        <v>193</v>
      </c>
      <c r="D77" s="154">
        <f>'CCE1'!J62</f>
        <v>29</v>
      </c>
      <c r="E77" s="154">
        <f>'CCE2'!L80</f>
        <v>32</v>
      </c>
      <c r="F77" s="154">
        <f>'CCE3'!N80</f>
        <v>46</v>
      </c>
      <c r="G77" s="155">
        <f>SUM(Table3[[#This Row],[CCE'#1  (30)]:[CCE'#3 (50)]])</f>
        <v>107</v>
      </c>
      <c r="H77" s="156">
        <f>Table3[[#This Row],[Total (100)]]/('CCE1'!$J$9+'CCE2'!$L$9+'CCE3'!$N$9)*25</f>
        <v>22.291666666666668</v>
      </c>
    </row>
    <row r="78" spans="1:8" s="39" customFormat="1" ht="15.75">
      <c r="A78" s="157">
        <v>71</v>
      </c>
      <c r="B78" s="151">
        <v>22203</v>
      </c>
      <c r="C78" s="152" t="s">
        <v>194</v>
      </c>
      <c r="D78" s="154">
        <f>'CCE1'!J63</f>
        <v>27</v>
      </c>
      <c r="E78" s="154">
        <f>'CCE2'!L81</f>
        <v>29</v>
      </c>
      <c r="F78" s="154">
        <f>'CCE3'!N81</f>
        <v>29</v>
      </c>
      <c r="G78" s="155">
        <f>SUM(Table3[[#This Row],[CCE'#1  (30)]:[CCE'#3 (50)]])</f>
        <v>85</v>
      </c>
      <c r="H78" s="156">
        <f>Table3[[#This Row],[Total (100)]]/('CCE1'!$J$9+'CCE2'!$L$9+'CCE3'!$N$9)*25</f>
        <v>17.708333333333336</v>
      </c>
    </row>
    <row r="79" spans="1:8" s="39" customFormat="1" ht="15.75">
      <c r="A79" s="157">
        <v>72</v>
      </c>
      <c r="B79" s="151">
        <v>22204</v>
      </c>
      <c r="C79" s="152" t="s">
        <v>195</v>
      </c>
      <c r="D79" s="154">
        <f>'CCE1'!J64</f>
        <v>28</v>
      </c>
      <c r="E79" s="154">
        <f>'CCE2'!L82</f>
        <v>33</v>
      </c>
      <c r="F79" s="154">
        <f>'CCE3'!N82</f>
        <v>44</v>
      </c>
      <c r="G79" s="155">
        <f>SUM(Table3[[#This Row],[CCE'#1  (30)]:[CCE'#3 (50)]])</f>
        <v>105</v>
      </c>
      <c r="H79" s="156">
        <f>Table3[[#This Row],[Total (100)]]/('CCE1'!$J$9+'CCE2'!$L$9+'CCE3'!$N$9)*25</f>
        <v>21.875</v>
      </c>
    </row>
    <row r="80" spans="1:8" s="39" customFormat="1" ht="15.75">
      <c r="A80" s="157">
        <v>73</v>
      </c>
      <c r="B80" s="151">
        <v>22205</v>
      </c>
      <c r="C80" s="152" t="s">
        <v>196</v>
      </c>
      <c r="D80" s="154">
        <f>'CCE1'!J65</f>
        <v>27</v>
      </c>
      <c r="E80" s="154">
        <f>'CCE2'!L83</f>
        <v>25</v>
      </c>
      <c r="F80" s="154">
        <f>'CCE3'!N83</f>
        <v>42</v>
      </c>
      <c r="G80" s="155">
        <f>SUM(Table3[[#This Row],[CCE'#1  (30)]:[CCE'#3 (50)]])</f>
        <v>94</v>
      </c>
      <c r="H80" s="156">
        <f>Table3[[#This Row],[Total (100)]]/('CCE1'!$J$9+'CCE2'!$L$9+'CCE3'!$N$9)*25</f>
        <v>19.583333333333332</v>
      </c>
    </row>
    <row r="81" spans="1:8" s="39" customFormat="1" ht="15.75">
      <c r="A81" s="157">
        <v>74</v>
      </c>
      <c r="B81" s="151">
        <v>22206</v>
      </c>
      <c r="C81" s="152" t="s">
        <v>197</v>
      </c>
      <c r="D81" s="154">
        <f>'CCE1'!J66</f>
        <v>28</v>
      </c>
      <c r="E81" s="154">
        <f>'CCE2'!L84</f>
        <v>31</v>
      </c>
      <c r="F81" s="154">
        <f>'CCE3'!N84</f>
        <v>45</v>
      </c>
      <c r="G81" s="155">
        <f>SUM(Table3[[#This Row],[CCE'#1  (30)]:[CCE'#3 (50)]])</f>
        <v>104</v>
      </c>
      <c r="H81" s="156">
        <f>Table3[[#This Row],[Total (100)]]/('CCE1'!$J$9+'CCE2'!$L$9+'CCE3'!$N$9)*25</f>
        <v>21.666666666666668</v>
      </c>
    </row>
    <row r="82" spans="1:8" s="39" customFormat="1" ht="15.75">
      <c r="A82" s="157">
        <v>75</v>
      </c>
      <c r="B82" s="151">
        <v>22207</v>
      </c>
      <c r="C82" s="152" t="s">
        <v>198</v>
      </c>
      <c r="D82" s="154">
        <f>'CCE1'!J67</f>
        <v>28</v>
      </c>
      <c r="E82" s="154">
        <f>'CCE2'!L85</f>
        <v>30</v>
      </c>
      <c r="F82" s="154">
        <f>'CCE3'!N85</f>
        <v>44</v>
      </c>
      <c r="G82" s="155">
        <f>SUM(Table3[[#This Row],[CCE'#1  (30)]:[CCE'#3 (50)]])</f>
        <v>102</v>
      </c>
      <c r="H82" s="156">
        <f>Table3[[#This Row],[Total (100)]]/('CCE1'!$J$9+'CCE2'!$L$9+'CCE3'!$N$9)*25</f>
        <v>21.25</v>
      </c>
    </row>
    <row r="83" spans="1:8" s="39" customFormat="1" ht="15.75">
      <c r="A83" s="157">
        <v>76</v>
      </c>
      <c r="B83" s="151">
        <v>22208</v>
      </c>
      <c r="C83" s="152" t="s">
        <v>199</v>
      </c>
      <c r="D83" s="154">
        <f>'CCE1'!J68</f>
        <v>28</v>
      </c>
      <c r="E83" s="154">
        <f>'CCE2'!L86</f>
        <v>25</v>
      </c>
      <c r="F83" s="154">
        <f>'CCE3'!N86</f>
        <v>33</v>
      </c>
      <c r="G83" s="155">
        <f>SUM(Table3[[#This Row],[CCE'#1  (30)]:[CCE'#3 (50)]])</f>
        <v>86</v>
      </c>
      <c r="H83" s="156">
        <f>Table3[[#This Row],[Total (100)]]/('CCE1'!$J$9+'CCE2'!$L$9+'CCE3'!$N$9)*25</f>
        <v>17.916666666666668</v>
      </c>
    </row>
    <row r="84" spans="1:8" s="39" customFormat="1" ht="15.75">
      <c r="A84" s="157">
        <v>77</v>
      </c>
      <c r="B84" s="151">
        <v>22209</v>
      </c>
      <c r="C84" s="152" t="s">
        <v>200</v>
      </c>
      <c r="D84" s="154">
        <f>'CCE1'!J69</f>
        <v>28</v>
      </c>
      <c r="E84" s="154">
        <f>'CCE2'!L87</f>
        <v>34</v>
      </c>
      <c r="F84" s="154">
        <f>'CCE3'!N87</f>
        <v>44</v>
      </c>
      <c r="G84" s="155">
        <f>SUM(Table3[[#This Row],[CCE'#1  (30)]:[CCE'#3 (50)]])</f>
        <v>106</v>
      </c>
      <c r="H84" s="156">
        <f>Table3[[#This Row],[Total (100)]]/('CCE1'!$J$9+'CCE2'!$L$9+'CCE3'!$N$9)*25</f>
        <v>22.083333333333332</v>
      </c>
    </row>
    <row r="85" spans="1:8" s="39" customFormat="1" ht="15.75">
      <c r="A85" s="157">
        <v>78</v>
      </c>
      <c r="B85" s="151">
        <v>22210</v>
      </c>
      <c r="C85" s="152" t="s">
        <v>201</v>
      </c>
      <c r="D85" s="154">
        <f>'CCE1'!J70</f>
        <v>27</v>
      </c>
      <c r="E85" s="154">
        <f>'CCE2'!L88</f>
        <v>35</v>
      </c>
      <c r="F85" s="154">
        <f>'CCE3'!N88</f>
        <v>44</v>
      </c>
      <c r="G85" s="155">
        <f>SUM(Table3[[#This Row],[CCE'#1  (30)]:[CCE'#3 (50)]])</f>
        <v>106</v>
      </c>
      <c r="H85" s="156">
        <f>Table3[[#This Row],[Total (100)]]/('CCE1'!$J$9+'CCE2'!$L$9+'CCE3'!$N$9)*25</f>
        <v>22.083333333333332</v>
      </c>
    </row>
    <row r="86" spans="1:8" s="39" customFormat="1" ht="15.75">
      <c r="A86" s="157">
        <v>79</v>
      </c>
      <c r="B86" s="151">
        <v>22211</v>
      </c>
      <c r="C86" s="152" t="s">
        <v>202</v>
      </c>
      <c r="D86" s="154">
        <f>'CCE1'!J71</f>
        <v>25</v>
      </c>
      <c r="E86" s="154">
        <f>'CCE2'!L89</f>
        <v>36</v>
      </c>
      <c r="F86" s="154">
        <f>'CCE3'!N89</f>
        <v>48</v>
      </c>
      <c r="G86" s="155">
        <f>SUM(Table3[[#This Row],[CCE'#1  (30)]:[CCE'#3 (50)]])</f>
        <v>109</v>
      </c>
      <c r="H86" s="156">
        <f>Table3[[#This Row],[Total (100)]]/('CCE1'!$J$9+'CCE2'!$L$9+'CCE3'!$N$9)*25</f>
        <v>22.708333333333332</v>
      </c>
    </row>
    <row r="87" spans="1:8" ht="15.75">
      <c r="A87" s="157">
        <v>80</v>
      </c>
      <c r="B87" s="151">
        <v>22212</v>
      </c>
      <c r="C87" s="152" t="s">
        <v>203</v>
      </c>
      <c r="D87" s="78">
        <f>'CCE1'!J11</f>
        <v>29</v>
      </c>
      <c r="E87" s="154">
        <f>'CCE2'!L90</f>
        <v>36</v>
      </c>
      <c r="F87" s="154">
        <f>'CCE3'!N90</f>
        <v>44</v>
      </c>
      <c r="G87" s="40">
        <f>SUM(Table3[[#This Row],[CCE'#1  (30)]:[CCE'#3 (50)]])</f>
        <v>109</v>
      </c>
      <c r="H87" s="156">
        <f>Table3[[#This Row],[Total (100)]]/('CCE1'!$J$9+'CCE2'!$L$9+'CCE3'!$N$9)*25</f>
        <v>22.708333333333332</v>
      </c>
    </row>
    <row r="88" spans="1:8" ht="15.75">
      <c r="A88" s="157">
        <v>81</v>
      </c>
      <c r="B88" s="151">
        <v>22213</v>
      </c>
      <c r="C88" s="152" t="s">
        <v>204</v>
      </c>
      <c r="D88" s="78">
        <f>'CCE1'!J12</f>
        <v>28</v>
      </c>
      <c r="E88" s="154">
        <f>'CCE2'!L91</f>
        <v>31</v>
      </c>
      <c r="F88" s="154">
        <f>'CCE3'!N91</f>
        <v>45</v>
      </c>
      <c r="G88" s="42">
        <f>SUM(Table3[[#This Row],[CCE'#1  (30)]:[CCE'#3 (50)]])</f>
        <v>104</v>
      </c>
      <c r="H88" s="156">
        <f>Table3[[#This Row],[Total (100)]]/('CCE1'!$J$9+'CCE2'!$L$9+'CCE3'!$N$9)*25</f>
        <v>21.666666666666668</v>
      </c>
    </row>
    <row r="89" spans="1:8" ht="15.75">
      <c r="A89" s="157">
        <v>82</v>
      </c>
      <c r="B89" s="151">
        <v>22214</v>
      </c>
      <c r="C89" s="152" t="s">
        <v>205</v>
      </c>
      <c r="D89" s="78">
        <f>'CCE1'!J13</f>
        <v>29</v>
      </c>
      <c r="E89" s="154">
        <f>'CCE2'!L92</f>
        <v>31</v>
      </c>
      <c r="F89" s="154">
        <f>'CCE3'!N92</f>
        <v>30</v>
      </c>
      <c r="G89" s="42">
        <f>SUM(Table3[[#This Row],[CCE'#1  (30)]:[CCE'#3 (50)]])</f>
        <v>90</v>
      </c>
      <c r="H89" s="156">
        <f>Table3[[#This Row],[Total (100)]]/('CCE1'!$J$9+'CCE2'!$L$9+'CCE3'!$N$9)*25</f>
        <v>18.75</v>
      </c>
    </row>
    <row r="90" spans="1:8" ht="15.75">
      <c r="A90" s="157">
        <v>83</v>
      </c>
      <c r="B90" s="151">
        <v>22215</v>
      </c>
      <c r="C90" s="152" t="s">
        <v>206</v>
      </c>
      <c r="D90" s="78">
        <f>'CCE1'!J14</f>
        <v>26</v>
      </c>
      <c r="E90" s="154">
        <f>'CCE2'!L93</f>
        <v>31</v>
      </c>
      <c r="F90" s="154">
        <f>'CCE3'!N93</f>
        <v>45</v>
      </c>
      <c r="G90" s="42">
        <f>SUM(Table3[[#This Row],[CCE'#1  (30)]:[CCE'#3 (50)]])</f>
        <v>102</v>
      </c>
      <c r="H90" s="156">
        <f>Table3[[#This Row],[Total (100)]]/('CCE1'!$J$9+'CCE2'!$L$9+'CCE3'!$N$9)*25</f>
        <v>21.25</v>
      </c>
    </row>
    <row r="91" spans="1:8" ht="15.75">
      <c r="A91" s="157">
        <v>84</v>
      </c>
      <c r="B91" s="151">
        <v>22216</v>
      </c>
      <c r="C91" s="152" t="s">
        <v>207</v>
      </c>
      <c r="D91" s="78">
        <f>'CCE1'!J15</f>
        <v>26</v>
      </c>
      <c r="E91" s="154">
        <f>'CCE2'!L94</f>
        <v>30</v>
      </c>
      <c r="F91" s="154">
        <f>'CCE3'!N94</f>
        <v>46</v>
      </c>
      <c r="G91" s="42">
        <f>SUM(Table3[[#This Row],[CCE'#1  (30)]:[CCE'#3 (50)]])</f>
        <v>102</v>
      </c>
      <c r="H91" s="156">
        <f>Table3[[#This Row],[Total (100)]]/('CCE1'!$J$9+'CCE2'!$L$9+'CCE3'!$N$9)*25</f>
        <v>21.25</v>
      </c>
    </row>
    <row r="92" spans="1:8" ht="15.75">
      <c r="A92" s="157">
        <v>85</v>
      </c>
      <c r="B92" s="151">
        <v>22217</v>
      </c>
      <c r="C92" s="152" t="s">
        <v>208</v>
      </c>
      <c r="D92" s="78">
        <f>'CCE1'!J16</f>
        <v>25</v>
      </c>
      <c r="E92" s="154">
        <f>'CCE2'!L95</f>
        <v>35</v>
      </c>
      <c r="F92" s="154">
        <f>'CCE3'!N95</f>
        <v>44</v>
      </c>
      <c r="G92" s="40">
        <f>SUM(Table3[[#This Row],[CCE'#1  (30)]:[CCE'#3 (50)]])</f>
        <v>104</v>
      </c>
      <c r="H92" s="156">
        <f>Table3[[#This Row],[Total (100)]]/('CCE1'!$J$9+'CCE2'!$L$9+'CCE3'!$N$9)*25</f>
        <v>21.666666666666668</v>
      </c>
    </row>
    <row r="93" spans="1:8" ht="15.75">
      <c r="A93" s="157">
        <v>86</v>
      </c>
      <c r="B93" s="151">
        <v>22218</v>
      </c>
      <c r="C93" s="152" t="s">
        <v>209</v>
      </c>
      <c r="D93" s="78">
        <f>'CCE1'!J17</f>
        <v>28</v>
      </c>
      <c r="E93" s="154">
        <f>'CCE2'!L96</f>
        <v>30</v>
      </c>
      <c r="F93" s="154">
        <f>'CCE3'!N96</f>
        <v>46</v>
      </c>
      <c r="G93" s="42">
        <f>SUM(Table3[[#This Row],[CCE'#1  (30)]:[CCE'#3 (50)]])</f>
        <v>104</v>
      </c>
      <c r="H93" s="156">
        <f>Table3[[#This Row],[Total (100)]]/('CCE1'!$J$9+'CCE2'!$L$9+'CCE3'!$N$9)*25</f>
        <v>21.666666666666668</v>
      </c>
    </row>
    <row r="94" spans="1:8" ht="15.75">
      <c r="A94" s="157">
        <v>87</v>
      </c>
      <c r="B94" s="151">
        <v>22219</v>
      </c>
      <c r="C94" s="152" t="s">
        <v>210</v>
      </c>
      <c r="D94" s="78">
        <f>'CCE1'!J18</f>
        <v>29</v>
      </c>
      <c r="E94" s="154">
        <f>'CCE2'!L97</f>
        <v>32</v>
      </c>
      <c r="F94" s="154">
        <f>'CCE3'!N97</f>
        <v>31</v>
      </c>
      <c r="G94" s="42">
        <f>SUM(Table3[[#This Row],[CCE'#1  (30)]:[CCE'#3 (50)]])</f>
        <v>92</v>
      </c>
      <c r="H94" s="156">
        <f>Table3[[#This Row],[Total (100)]]/('CCE1'!$J$9+'CCE2'!$L$9+'CCE3'!$N$9)*25</f>
        <v>19.166666666666668</v>
      </c>
    </row>
    <row r="95" spans="1:8" ht="15.75">
      <c r="A95" s="157">
        <v>88</v>
      </c>
      <c r="B95" s="151">
        <v>22220</v>
      </c>
      <c r="C95" s="152" t="s">
        <v>211</v>
      </c>
      <c r="D95" s="78">
        <f>'CCE1'!J19</f>
        <v>30</v>
      </c>
      <c r="E95" s="154">
        <f>'CCE2'!L98</f>
        <v>30</v>
      </c>
      <c r="F95" s="154">
        <f>'CCE3'!N98</f>
        <v>46</v>
      </c>
      <c r="G95" s="42">
        <f>SUM(Table3[[#This Row],[CCE'#1  (30)]:[CCE'#3 (50)]])</f>
        <v>106</v>
      </c>
      <c r="H95" s="156">
        <f>Table3[[#This Row],[Total (100)]]/('CCE1'!$J$9+'CCE2'!$L$9+'CCE3'!$N$9)*25</f>
        <v>22.083333333333332</v>
      </c>
    </row>
    <row r="96" spans="1:8" ht="15.75">
      <c r="A96" s="157">
        <v>89</v>
      </c>
      <c r="B96" s="151">
        <v>22221</v>
      </c>
      <c r="C96" s="152" t="s">
        <v>212</v>
      </c>
      <c r="D96" s="78">
        <f>'CCE1'!J20</f>
        <v>26</v>
      </c>
      <c r="E96" s="154">
        <f>'CCE2'!L99</f>
        <v>35</v>
      </c>
      <c r="F96" s="154">
        <f>'CCE3'!N99</f>
        <v>46</v>
      </c>
      <c r="G96" s="42">
        <f>SUM(Table3[[#This Row],[CCE'#1  (30)]:[CCE'#3 (50)]])</f>
        <v>107</v>
      </c>
      <c r="H96" s="156">
        <f>Table3[[#This Row],[Total (100)]]/('CCE1'!$J$9+'CCE2'!$L$9+'CCE3'!$N$9)*25</f>
        <v>22.291666666666668</v>
      </c>
    </row>
    <row r="97" spans="1:8" ht="15.75">
      <c r="A97" s="157">
        <v>90</v>
      </c>
      <c r="B97" s="151">
        <v>22222</v>
      </c>
      <c r="C97" s="152" t="s">
        <v>213</v>
      </c>
      <c r="D97" s="78">
        <f>'CCE1'!J21</f>
        <v>29</v>
      </c>
      <c r="E97" s="154">
        <f>'CCE2'!L100</f>
        <v>34</v>
      </c>
      <c r="F97" s="154">
        <f>'CCE3'!N100</f>
        <v>41</v>
      </c>
      <c r="G97" s="42">
        <f>SUM(Table3[[#This Row],[CCE'#1  (30)]:[CCE'#3 (50)]])</f>
        <v>104</v>
      </c>
      <c r="H97" s="156">
        <f>Table3[[#This Row],[Total (100)]]/('CCE1'!$J$9+'CCE2'!$L$9+'CCE3'!$N$9)*25</f>
        <v>21.666666666666668</v>
      </c>
    </row>
    <row r="98" spans="1:8" ht="15.75">
      <c r="A98" s="157">
        <v>91</v>
      </c>
      <c r="B98" s="151">
        <v>22223</v>
      </c>
      <c r="C98" s="152" t="s">
        <v>214</v>
      </c>
      <c r="D98" s="78">
        <f>'CCE1'!J22</f>
        <v>27</v>
      </c>
      <c r="E98" s="154">
        <f>'CCE2'!L101</f>
        <v>37</v>
      </c>
      <c r="F98" s="154">
        <f>'CCE3'!N101</f>
        <v>44</v>
      </c>
      <c r="G98" s="42">
        <f>SUM(Table3[[#This Row],[CCE'#1  (30)]:[CCE'#3 (50)]])</f>
        <v>108</v>
      </c>
      <c r="H98" s="156">
        <f>Table3[[#This Row],[Total (100)]]/('CCE1'!$J$9+'CCE2'!$L$9+'CCE3'!$N$9)*25</f>
        <v>22.5</v>
      </c>
    </row>
    <row r="99" spans="1:8" ht="15.75">
      <c r="A99" s="157">
        <v>92</v>
      </c>
      <c r="B99" s="151">
        <v>22224</v>
      </c>
      <c r="C99" s="152" t="s">
        <v>215</v>
      </c>
      <c r="D99" s="78">
        <f>'CCE1'!J23</f>
        <v>27</v>
      </c>
      <c r="E99" s="154">
        <f>'CCE2'!L102</f>
        <v>32</v>
      </c>
      <c r="F99" s="154">
        <f>'CCE3'!N102</f>
        <v>43</v>
      </c>
      <c r="G99" s="42">
        <f>SUM(Table3[[#This Row],[CCE'#1  (30)]:[CCE'#3 (50)]])</f>
        <v>102</v>
      </c>
      <c r="H99" s="156">
        <f>Table3[[#This Row],[Total (100)]]/('CCE1'!$J$9+'CCE2'!$L$9+'CCE3'!$N$9)*25</f>
        <v>21.25</v>
      </c>
    </row>
    <row r="100" spans="1:8" ht="15.75">
      <c r="A100" s="157">
        <v>93</v>
      </c>
      <c r="B100" s="151">
        <v>22225</v>
      </c>
      <c r="C100" s="152" t="s">
        <v>216</v>
      </c>
      <c r="D100" s="78">
        <f>'CCE1'!J24</f>
        <v>26</v>
      </c>
      <c r="E100" s="154">
        <f>'CCE2'!L103</f>
        <v>30</v>
      </c>
      <c r="F100" s="154">
        <f>'CCE3'!N103</f>
        <v>47</v>
      </c>
      <c r="G100" s="42">
        <f>SUM(Table3[[#This Row],[CCE'#1  (30)]:[CCE'#3 (50)]])</f>
        <v>103</v>
      </c>
      <c r="H100" s="156">
        <f>Table3[[#This Row],[Total (100)]]/('CCE1'!$J$9+'CCE2'!$L$9+'CCE3'!$N$9)*25</f>
        <v>21.458333333333332</v>
      </c>
    </row>
    <row r="101" spans="1:8" ht="15.75">
      <c r="A101" s="157">
        <v>94</v>
      </c>
      <c r="B101" s="151">
        <v>22226</v>
      </c>
      <c r="C101" s="152" t="s">
        <v>217</v>
      </c>
      <c r="D101" s="78">
        <f>'CCE1'!J25</f>
        <v>25</v>
      </c>
      <c r="E101" s="154">
        <f>'CCE2'!L104</f>
        <v>15</v>
      </c>
      <c r="F101" s="154">
        <f>'CCE3'!N104</f>
        <v>29</v>
      </c>
      <c r="G101" s="42">
        <f>SUM(Table3[[#This Row],[CCE'#1  (30)]:[CCE'#3 (50)]])</f>
        <v>69</v>
      </c>
      <c r="H101" s="156">
        <f>Table3[[#This Row],[Total (100)]]/('CCE1'!$J$9+'CCE2'!$L$9+'CCE3'!$N$9)*25</f>
        <v>14.374999999999998</v>
      </c>
    </row>
    <row r="102" spans="1:8" ht="15.75">
      <c r="A102" s="157">
        <v>95</v>
      </c>
      <c r="B102" s="151">
        <v>22227</v>
      </c>
      <c r="C102" s="152" t="s">
        <v>218</v>
      </c>
      <c r="D102" s="78">
        <f>'CCE1'!J26</f>
        <v>28</v>
      </c>
      <c r="E102" s="154">
        <f>'CCE2'!L105</f>
        <v>36</v>
      </c>
      <c r="F102" s="154">
        <f>'CCE3'!N105</f>
        <v>47</v>
      </c>
      <c r="G102" s="42">
        <f>SUM(Table3[[#This Row],[CCE'#1  (30)]:[CCE'#3 (50)]])</f>
        <v>111</v>
      </c>
      <c r="H102" s="156">
        <f>Table3[[#This Row],[Total (100)]]/('CCE1'!$J$9+'CCE2'!$L$9+'CCE3'!$N$9)*25</f>
        <v>23.125</v>
      </c>
    </row>
    <row r="103" spans="1:8" ht="15.75">
      <c r="A103" s="157">
        <v>96</v>
      </c>
      <c r="B103" s="151">
        <v>22228</v>
      </c>
      <c r="C103" s="152" t="s">
        <v>219</v>
      </c>
      <c r="D103" s="78">
        <f>'CCE1'!J27</f>
        <v>27</v>
      </c>
      <c r="E103" s="154">
        <f>'CCE2'!L106</f>
        <v>32</v>
      </c>
      <c r="F103" s="154">
        <f>'CCE3'!N106</f>
        <v>48</v>
      </c>
      <c r="G103" s="42">
        <f>SUM(Table3[[#This Row],[CCE'#1  (30)]:[CCE'#3 (50)]])</f>
        <v>107</v>
      </c>
      <c r="H103" s="156">
        <f>Table3[[#This Row],[Total (100)]]/('CCE1'!$J$9+'CCE2'!$L$9+'CCE3'!$N$9)*25</f>
        <v>22.291666666666668</v>
      </c>
    </row>
    <row r="104" spans="1:8" ht="15.75">
      <c r="A104" s="157">
        <v>97</v>
      </c>
      <c r="B104" s="151">
        <v>22229</v>
      </c>
      <c r="C104" s="152" t="s">
        <v>220</v>
      </c>
      <c r="D104" s="78">
        <f>'CCE1'!J28</f>
        <v>27</v>
      </c>
      <c r="E104" s="154">
        <f>'CCE2'!L107</f>
        <v>31</v>
      </c>
      <c r="F104" s="154">
        <f>'CCE3'!N107</f>
        <v>45</v>
      </c>
      <c r="G104" s="42">
        <f>SUM(Table3[[#This Row],[CCE'#1  (30)]:[CCE'#3 (50)]])</f>
        <v>103</v>
      </c>
      <c r="H104" s="156">
        <f>Table3[[#This Row],[Total (100)]]/('CCE1'!$J$9+'CCE2'!$L$9+'CCE3'!$N$9)*25</f>
        <v>21.458333333333332</v>
      </c>
    </row>
    <row r="105" spans="1:8" ht="15.75">
      <c r="A105" s="157">
        <v>98</v>
      </c>
      <c r="B105" s="151">
        <v>22230</v>
      </c>
      <c r="C105" s="152" t="s">
        <v>221</v>
      </c>
      <c r="D105" s="78">
        <f>'CCE1'!J29</f>
        <v>26</v>
      </c>
      <c r="E105" s="154">
        <f>'CCE2'!L108</f>
        <v>30</v>
      </c>
      <c r="F105" s="154">
        <f>'CCE3'!N108</f>
        <v>46</v>
      </c>
      <c r="G105" s="42">
        <f>SUM(Table3[[#This Row],[CCE'#1  (30)]:[CCE'#3 (50)]])</f>
        <v>102</v>
      </c>
      <c r="H105" s="156">
        <f>Table3[[#This Row],[Total (100)]]/('CCE1'!$J$9+'CCE2'!$L$9+'CCE3'!$N$9)*25</f>
        <v>21.25</v>
      </c>
    </row>
    <row r="106" spans="1:8" ht="15.75">
      <c r="A106" s="157">
        <v>99</v>
      </c>
      <c r="B106" s="151">
        <v>22231</v>
      </c>
      <c r="C106" s="152" t="s">
        <v>222</v>
      </c>
      <c r="D106" s="78">
        <f>'CCE1'!J30</f>
        <v>28</v>
      </c>
      <c r="E106" s="154">
        <f>'CCE2'!L109</f>
        <v>31</v>
      </c>
      <c r="F106" s="154">
        <f>'CCE3'!N109</f>
        <v>46</v>
      </c>
      <c r="G106" s="42">
        <f>SUM(Table3[[#This Row],[CCE'#1  (30)]:[CCE'#3 (50)]])</f>
        <v>105</v>
      </c>
      <c r="H106" s="156">
        <f>Table3[[#This Row],[Total (100)]]/('CCE1'!$J$9+'CCE2'!$L$9+'CCE3'!$N$9)*25</f>
        <v>21.875</v>
      </c>
    </row>
    <row r="107" spans="1:8" ht="15.75">
      <c r="A107" s="157">
        <v>100</v>
      </c>
      <c r="B107" s="151">
        <v>22232</v>
      </c>
      <c r="C107" s="152" t="s">
        <v>223</v>
      </c>
      <c r="D107" s="78">
        <f>'CCE1'!J31</f>
        <v>26</v>
      </c>
      <c r="E107" s="154">
        <f>'CCE2'!L110</f>
        <v>34</v>
      </c>
      <c r="F107" s="154">
        <f>'CCE3'!N110</f>
        <v>45</v>
      </c>
      <c r="G107" s="42">
        <f>SUM(Table3[[#This Row],[CCE'#1  (30)]:[CCE'#3 (50)]])</f>
        <v>105</v>
      </c>
      <c r="H107" s="156">
        <f>Table3[[#This Row],[Total (100)]]/('CCE1'!$J$9+'CCE2'!$L$9+'CCE3'!$N$9)*25</f>
        <v>21.875</v>
      </c>
    </row>
    <row r="108" spans="1:8" ht="15.75">
      <c r="A108" s="157">
        <v>101</v>
      </c>
      <c r="B108" s="151">
        <v>22233</v>
      </c>
      <c r="C108" s="152" t="s">
        <v>224</v>
      </c>
      <c r="D108" s="78">
        <f>'CCE1'!J32</f>
        <v>26</v>
      </c>
      <c r="E108" s="154">
        <f>'CCE2'!L111</f>
        <v>32</v>
      </c>
      <c r="F108" s="154">
        <f>'CCE3'!N111</f>
        <v>42</v>
      </c>
      <c r="G108" s="42">
        <f>SUM(Table3[[#This Row],[CCE'#1  (30)]:[CCE'#3 (50)]])</f>
        <v>100</v>
      </c>
      <c r="H108" s="156">
        <f>Table3[[#This Row],[Total (100)]]/('CCE1'!$J$9+'CCE2'!$L$9+'CCE3'!$N$9)*25</f>
        <v>20.833333333333336</v>
      </c>
    </row>
    <row r="109" spans="1:8" ht="15.75">
      <c r="A109" s="157">
        <v>102</v>
      </c>
      <c r="B109" s="151">
        <v>22234</v>
      </c>
      <c r="C109" s="152" t="s">
        <v>225</v>
      </c>
      <c r="D109" s="78">
        <f>'CCE1'!J33</f>
        <v>29</v>
      </c>
      <c r="E109" s="154">
        <f>'CCE2'!L112</f>
        <v>30</v>
      </c>
      <c r="F109" s="154">
        <f>'CCE3'!N112</f>
        <v>36</v>
      </c>
      <c r="G109" s="42">
        <f>SUM(Table3[[#This Row],[CCE'#1  (30)]:[CCE'#3 (50)]])</f>
        <v>95</v>
      </c>
      <c r="H109" s="156">
        <f>Table3[[#This Row],[Total (100)]]/('CCE1'!$J$9+'CCE2'!$L$9+'CCE3'!$N$9)*25</f>
        <v>19.791666666666664</v>
      </c>
    </row>
    <row r="110" spans="1:8" ht="15.75">
      <c r="A110" s="157">
        <v>103</v>
      </c>
      <c r="B110" s="151">
        <v>22235</v>
      </c>
      <c r="C110" s="152" t="s">
        <v>226</v>
      </c>
      <c r="D110" s="78">
        <f>'CCE1'!J34</f>
        <v>27</v>
      </c>
      <c r="E110" s="154">
        <f>'CCE2'!L113</f>
        <v>32</v>
      </c>
      <c r="F110" s="154">
        <f>'CCE3'!N113</f>
        <v>47</v>
      </c>
      <c r="G110" s="42">
        <f>SUM(Table3[[#This Row],[CCE'#1  (30)]:[CCE'#3 (50)]])</f>
        <v>106</v>
      </c>
      <c r="H110" s="156">
        <f>Table3[[#This Row],[Total (100)]]/('CCE1'!$J$9+'CCE2'!$L$9+'CCE3'!$N$9)*25</f>
        <v>22.083333333333332</v>
      </c>
    </row>
    <row r="111" spans="1:8" ht="15.75">
      <c r="A111" s="157">
        <v>104</v>
      </c>
      <c r="B111" s="151">
        <v>22236</v>
      </c>
      <c r="C111" s="152" t="s">
        <v>227</v>
      </c>
      <c r="D111" s="78">
        <f>'CCE1'!J35</f>
        <v>25</v>
      </c>
      <c r="E111" s="154">
        <f>'CCE2'!L114</f>
        <v>33</v>
      </c>
      <c r="F111" s="154">
        <f>'CCE3'!N114</f>
        <v>41</v>
      </c>
      <c r="G111" s="42">
        <f>SUM(Table3[[#This Row],[CCE'#1  (30)]:[CCE'#3 (50)]])</f>
        <v>99</v>
      </c>
      <c r="H111" s="156">
        <f>Table3[[#This Row],[Total (100)]]/('CCE1'!$J$9+'CCE2'!$L$9+'CCE3'!$N$9)*25</f>
        <v>20.625</v>
      </c>
    </row>
    <row r="112" spans="1:8" ht="15.75">
      <c r="A112" s="157">
        <v>105</v>
      </c>
      <c r="B112" s="151">
        <v>22237</v>
      </c>
      <c r="C112" s="152" t="s">
        <v>228</v>
      </c>
      <c r="D112" s="78">
        <f>'CCE1'!J36</f>
        <v>28</v>
      </c>
      <c r="E112" s="154">
        <f>'CCE2'!L115</f>
        <v>31</v>
      </c>
      <c r="F112" s="154">
        <f>'CCE3'!N115</f>
        <v>44</v>
      </c>
      <c r="G112" s="42">
        <f>SUM(Table3[[#This Row],[CCE'#1  (30)]:[CCE'#3 (50)]])</f>
        <v>103</v>
      </c>
      <c r="H112" s="156">
        <f>Table3[[#This Row],[Total (100)]]/('CCE1'!$J$9+'CCE2'!$L$9+'CCE3'!$N$9)*25</f>
        <v>21.458333333333332</v>
      </c>
    </row>
    <row r="113" spans="1:15" ht="15.75">
      <c r="A113" s="157">
        <v>106</v>
      </c>
      <c r="B113" s="151">
        <v>22238</v>
      </c>
      <c r="C113" s="152" t="s">
        <v>229</v>
      </c>
      <c r="D113" s="78">
        <f>'CCE1'!J37</f>
        <v>26</v>
      </c>
      <c r="E113" s="154">
        <f>'CCE2'!L116</f>
        <v>36</v>
      </c>
      <c r="F113" s="154">
        <f>'CCE3'!N116</f>
        <v>45</v>
      </c>
      <c r="G113" s="42">
        <f>SUM(Table3[[#This Row],[CCE'#1  (30)]:[CCE'#3 (50)]])</f>
        <v>107</v>
      </c>
      <c r="H113" s="156">
        <f>Table3[[#This Row],[Total (100)]]/('CCE1'!$J$9+'CCE2'!$L$9+'CCE3'!$N$9)*25</f>
        <v>22.291666666666668</v>
      </c>
    </row>
    <row r="114" spans="1:15" ht="15.75">
      <c r="A114" s="157">
        <v>107</v>
      </c>
      <c r="B114" s="151">
        <v>22239</v>
      </c>
      <c r="C114" s="152" t="s">
        <v>230</v>
      </c>
      <c r="D114" s="78">
        <f>'CCE1'!J38</f>
        <v>29</v>
      </c>
      <c r="E114" s="154">
        <f>'CCE2'!L117</f>
        <v>34</v>
      </c>
      <c r="F114" s="154">
        <f>'CCE3'!N117</f>
        <v>45</v>
      </c>
      <c r="G114" s="42">
        <f>SUM(Table3[[#This Row],[CCE'#1  (30)]:[CCE'#3 (50)]])</f>
        <v>108</v>
      </c>
      <c r="H114" s="156">
        <f>Table3[[#This Row],[Total (100)]]/('CCE1'!$J$9+'CCE2'!$L$9+'CCE3'!$N$9)*25</f>
        <v>22.5</v>
      </c>
    </row>
    <row r="115" spans="1:15" ht="15.75">
      <c r="A115" s="157">
        <v>108</v>
      </c>
      <c r="B115" s="151">
        <v>22240</v>
      </c>
      <c r="C115" s="152" t="s">
        <v>231</v>
      </c>
      <c r="D115" s="78">
        <f>'CCE1'!J39</f>
        <v>24</v>
      </c>
      <c r="E115" s="154">
        <f>'CCE2'!L118</f>
        <v>21</v>
      </c>
      <c r="F115" s="154">
        <f>'CCE3'!N118</f>
        <v>44</v>
      </c>
      <c r="G115" s="42">
        <f>SUM(Table3[[#This Row],[CCE'#1  (30)]:[CCE'#3 (50)]])</f>
        <v>89</v>
      </c>
      <c r="H115" s="156">
        <f>Table3[[#This Row],[Total (100)]]/('CCE1'!$J$9+'CCE2'!$L$9+'CCE3'!$N$9)*25</f>
        <v>18.541666666666668</v>
      </c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ht="18.7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 s="80"/>
    </row>
    <row r="119" spans="1:15" ht="18.7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 s="80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ht="15.75">
      <c r="A121" s="82"/>
      <c r="B121" t="str">
        <f>Faculty</f>
        <v xml:space="preserve">Dr. Ashwini Chavan, </v>
      </c>
      <c r="C121"/>
      <c r="G121" s="2"/>
      <c r="H121" s="2"/>
      <c r="K121" s="82"/>
      <c r="L121"/>
      <c r="M121" s="82"/>
      <c r="O121"/>
    </row>
    <row r="122" spans="1:15" ht="15.75">
      <c r="A122" s="82"/>
      <c r="B122" s="82" t="str">
        <f>SubjectDetails!E17</f>
        <v>Subject Faculty</v>
      </c>
      <c r="C122" s="273"/>
      <c r="D122" s="273"/>
      <c r="E122" s="273"/>
      <c r="G122" s="2"/>
      <c r="H122" s="2"/>
      <c r="K122" s="82"/>
      <c r="L122"/>
      <c r="M122" s="82"/>
      <c r="O122" s="7"/>
    </row>
    <row r="123" spans="1:15" ht="15.75">
      <c r="A123"/>
      <c r="B123"/>
      <c r="C123" s="85"/>
      <c r="D123" s="202"/>
      <c r="E123" s="202"/>
      <c r="F123"/>
      <c r="G123" s="48"/>
      <c r="H123"/>
      <c r="I123" s="2"/>
      <c r="J123" s="2"/>
      <c r="K123"/>
      <c r="L123"/>
      <c r="M123"/>
      <c r="O123" s="7"/>
    </row>
    <row r="124" spans="1:15" ht="15.75">
      <c r="A124" s="1"/>
      <c r="B124" s="1"/>
      <c r="C124" s="1"/>
      <c r="D124" s="202"/>
      <c r="E124" s="202"/>
      <c r="F124" s="2"/>
      <c r="G124" s="48"/>
      <c r="H124" s="2"/>
      <c r="I124" s="2"/>
      <c r="J124" s="2"/>
      <c r="K124" s="2"/>
      <c r="L124" s="2"/>
      <c r="M124" s="2"/>
      <c r="N124" s="3"/>
      <c r="O124" s="7"/>
    </row>
    <row r="125" spans="1:15" ht="15.75">
      <c r="A125" s="37"/>
      <c r="B125" s="36"/>
      <c r="C125" s="36"/>
      <c r="D125" s="36"/>
      <c r="E125" s="36"/>
      <c r="F125" s="36"/>
      <c r="G125" s="3"/>
      <c r="H125" s="36"/>
      <c r="I125" s="36"/>
      <c r="J125" s="36"/>
      <c r="K125" s="36"/>
      <c r="L125" s="36"/>
      <c r="M125" s="36"/>
      <c r="N125" s="36"/>
      <c r="O125" s="36"/>
    </row>
    <row r="126" spans="1:15" s="36" customFormat="1" ht="15.75">
      <c r="A126" s="199" t="str">
        <f>SubjectDetails!A24</f>
        <v>Dr. Ravi Chourasiya</v>
      </c>
      <c r="B126" s="199"/>
      <c r="C126" s="199"/>
      <c r="D126" t="str">
        <f>SubjectDetails!E24</f>
        <v>Dr. Ashwini Chavan</v>
      </c>
      <c r="E126" s="202"/>
      <c r="F126" s="202"/>
      <c r="G126" t="str">
        <f>SubjectDetails!H24</f>
        <v>Dr. Priyanka Singh</v>
      </c>
      <c r="H126"/>
      <c r="I126" s="200"/>
      <c r="J126" s="200"/>
      <c r="K126" s="82"/>
      <c r="L126"/>
      <c r="M126" s="82"/>
      <c r="N126" s="48"/>
      <c r="O126"/>
    </row>
    <row r="127" spans="1:15" s="36" customFormat="1" ht="15.75">
      <c r="A127" s="199" t="str">
        <f>SubjectDetails!A25</f>
        <v>(College Examination Officer)</v>
      </c>
      <c r="B127" s="199"/>
      <c r="C127" s="199"/>
      <c r="D127" s="127" t="str">
        <f>SubjectDetails!E25</f>
        <v>HOD (MCA)</v>
      </c>
      <c r="E127" s="202"/>
      <c r="F127" s="202"/>
      <c r="G127" s="127" t="str">
        <f>SubjectDetails!H25</f>
        <v>Director</v>
      </c>
      <c r="H127"/>
      <c r="I127" s="200"/>
      <c r="J127" s="200"/>
      <c r="K127" s="82"/>
      <c r="L127"/>
      <c r="M127" s="82"/>
      <c r="N127" s="48"/>
      <c r="O127" s="7"/>
    </row>
  </sheetData>
  <mergeCells count="16">
    <mergeCell ref="A1:H1"/>
    <mergeCell ref="A2:H2"/>
    <mergeCell ref="A3:H3"/>
    <mergeCell ref="A4:H4"/>
    <mergeCell ref="A126:C126"/>
    <mergeCell ref="E126:F126"/>
    <mergeCell ref="A6:B6"/>
    <mergeCell ref="A5:H5"/>
    <mergeCell ref="D6:H6"/>
    <mergeCell ref="I126:J126"/>
    <mergeCell ref="A127:C127"/>
    <mergeCell ref="E127:F127"/>
    <mergeCell ref="I127:J127"/>
    <mergeCell ref="C122:E122"/>
    <mergeCell ref="D123:E123"/>
    <mergeCell ref="D124:E124"/>
  </mergeCells>
  <pageMargins left="0.7" right="0.7" top="0.75" bottom="0.75" header="0.3" footer="0.3"/>
  <pageSetup scale="75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139"/>
  <sheetViews>
    <sheetView tabSelected="1" topLeftCell="A114" zoomScaleNormal="100" workbookViewId="0">
      <selection activeCell="N14" sqref="N14:R121"/>
    </sheetView>
  </sheetViews>
  <sheetFormatPr defaultColWidth="8.85546875" defaultRowHeight="12.75"/>
  <cols>
    <col min="1" max="1" width="8.85546875" style="7"/>
    <col min="2" max="2" width="8.28515625" style="7" bestFit="1" customWidth="1"/>
    <col min="3" max="3" width="47.85546875" style="7" bestFit="1" customWidth="1"/>
    <col min="4" max="5" width="8.7109375" style="7" bestFit="1" customWidth="1"/>
    <col min="6" max="6" width="8" style="7" bestFit="1" customWidth="1"/>
    <col min="7" max="8" width="8" style="7" customWidth="1"/>
    <col min="9" max="10" width="6.5703125" style="7" customWidth="1"/>
    <col min="11" max="18" width="6.28515625" style="7" customWidth="1"/>
    <col min="19" max="20" width="7.7109375" style="7" customWidth="1"/>
    <col min="21" max="21" width="8.7109375" style="7" customWidth="1"/>
    <col min="22" max="23" width="7.7109375" style="7" customWidth="1"/>
    <col min="24" max="24" width="9" style="7" bestFit="1" customWidth="1"/>
    <col min="25" max="16384" width="8.85546875" style="7"/>
  </cols>
  <sheetData>
    <row r="1" spans="1:27" ht="20.45" customHeight="1">
      <c r="A1" s="210" t="s">
        <v>73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</row>
    <row r="2" spans="1:27" ht="25.15" customHeight="1">
      <c r="A2" s="212" t="s">
        <v>74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</row>
    <row r="3" spans="1:27" ht="21.6" customHeight="1">
      <c r="A3" s="214" t="s">
        <v>75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</row>
    <row r="4" spans="1:27" ht="17.45" customHeight="1">
      <c r="A4" s="214" t="s">
        <v>9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  <c r="X4" s="215"/>
    </row>
    <row r="5" spans="1:27" ht="14.45" customHeight="1" thickBo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5.75">
      <c r="A6" s="12" t="str">
        <f>CONCATENATE("Faculty Name: ", Faculty)</f>
        <v xml:space="preserve">Faculty Name: Dr. Ashwini Chavan, </v>
      </c>
      <c r="B6" s="32"/>
      <c r="C6" s="32"/>
      <c r="D6" s="32"/>
      <c r="E6" s="32"/>
      <c r="F6" s="12"/>
      <c r="G6" s="12"/>
      <c r="H6" s="12"/>
      <c r="I6" s="299" t="s">
        <v>120</v>
      </c>
      <c r="J6" s="299"/>
      <c r="K6" s="300"/>
      <c r="L6" s="305">
        <v>3</v>
      </c>
      <c r="M6" s="305"/>
      <c r="N6" s="166">
        <v>70</v>
      </c>
      <c r="O6" s="290" t="s">
        <v>27</v>
      </c>
      <c r="P6" s="291"/>
      <c r="Q6" s="291"/>
      <c r="R6" s="292"/>
      <c r="S6" s="278">
        <v>0.6</v>
      </c>
      <c r="X6" s="6"/>
      <c r="Y6" s="6"/>
      <c r="Z6" s="6"/>
      <c r="AA6" s="6"/>
    </row>
    <row r="7" spans="1:27" ht="15.75">
      <c r="A7" s="12" t="str">
        <f>CONCATENATE("Subject Name &amp; Code: ", Sub_Code)</f>
        <v>Subject Name &amp; Code: Network Technologies</v>
      </c>
      <c r="B7" s="32"/>
      <c r="C7" s="32"/>
      <c r="D7" s="32"/>
      <c r="E7" s="32"/>
      <c r="F7" s="12"/>
      <c r="G7" s="12"/>
      <c r="H7" s="12"/>
      <c r="I7" s="301"/>
      <c r="J7" s="301"/>
      <c r="K7" s="302"/>
      <c r="L7" s="305">
        <v>2</v>
      </c>
      <c r="M7" s="305"/>
      <c r="N7" s="167">
        <v>60</v>
      </c>
      <c r="O7" s="293"/>
      <c r="P7" s="294"/>
      <c r="Q7" s="294"/>
      <c r="R7" s="295"/>
      <c r="S7" s="279"/>
      <c r="T7" s="12"/>
      <c r="U7" s="12">
        <v>60</v>
      </c>
      <c r="V7" s="12"/>
      <c r="W7" s="12"/>
      <c r="X7" s="12"/>
      <c r="Y7" s="6"/>
      <c r="Z7" s="6"/>
      <c r="AA7" s="6"/>
    </row>
    <row r="8" spans="1:27" ht="16.5" thickBot="1">
      <c r="A8" s="12" t="str">
        <f>CONCATENATE("Class: ",Class_AY)</f>
        <v>Class: MCA I SEM I AY 2023-24</v>
      </c>
      <c r="B8" s="32"/>
      <c r="C8" s="32"/>
      <c r="D8" s="32"/>
      <c r="E8" s="32"/>
      <c r="F8" s="12"/>
      <c r="G8" s="12"/>
      <c r="H8" s="12"/>
      <c r="I8" s="303"/>
      <c r="J8" s="303"/>
      <c r="K8" s="304"/>
      <c r="L8" s="305">
        <v>1</v>
      </c>
      <c r="M8" s="305"/>
      <c r="N8" s="168">
        <v>50</v>
      </c>
      <c r="O8" s="296"/>
      <c r="P8" s="297"/>
      <c r="Q8" s="297"/>
      <c r="R8" s="298"/>
      <c r="S8" s="280"/>
      <c r="T8" s="12"/>
      <c r="U8" s="6"/>
      <c r="V8" s="6"/>
      <c r="W8" s="6"/>
      <c r="X8" s="6"/>
      <c r="Y8" s="6"/>
      <c r="Z8" s="6"/>
      <c r="AA8" s="6"/>
    </row>
    <row r="9" spans="1:27" ht="13.5" thickBot="1"/>
    <row r="10" spans="1:27" ht="21" thickBot="1">
      <c r="A10" s="281" t="s">
        <v>56</v>
      </c>
      <c r="B10" s="282"/>
      <c r="C10" s="282"/>
      <c r="D10" s="282"/>
      <c r="E10" s="282"/>
      <c r="F10" s="282"/>
      <c r="G10" s="282"/>
      <c r="H10" s="282"/>
      <c r="I10" s="282"/>
      <c r="J10" s="282"/>
      <c r="K10" s="282"/>
      <c r="L10" s="282"/>
      <c r="M10" s="282"/>
      <c r="N10" s="282"/>
      <c r="O10" s="282"/>
      <c r="P10" s="282"/>
      <c r="Q10" s="282"/>
      <c r="R10" s="282"/>
      <c r="S10" s="282"/>
      <c r="T10" s="282"/>
      <c r="U10" s="282"/>
      <c r="V10" s="282"/>
      <c r="W10" s="282"/>
      <c r="X10" s="283"/>
    </row>
    <row r="11" spans="1:27">
      <c r="A11" s="285" t="s">
        <v>122</v>
      </c>
      <c r="B11" s="288" t="s">
        <v>6</v>
      </c>
      <c r="C11" s="277" t="s">
        <v>1</v>
      </c>
      <c r="D11" s="277" t="s">
        <v>104</v>
      </c>
      <c r="E11" s="277"/>
      <c r="F11" s="277"/>
      <c r="G11" s="277"/>
      <c r="H11" s="277"/>
      <c r="I11" s="277" t="s">
        <v>115</v>
      </c>
      <c r="J11" s="277"/>
      <c r="K11" s="277"/>
      <c r="L11" s="277"/>
      <c r="M11" s="277"/>
      <c r="N11" s="277" t="s">
        <v>105</v>
      </c>
      <c r="O11" s="277"/>
      <c r="P11" s="277"/>
      <c r="Q11" s="277"/>
      <c r="R11" s="277"/>
      <c r="S11" s="277" t="s">
        <v>116</v>
      </c>
      <c r="T11" s="277"/>
      <c r="U11" s="277"/>
      <c r="V11" s="277"/>
      <c r="W11" s="277"/>
      <c r="X11" s="284" t="s">
        <v>11</v>
      </c>
    </row>
    <row r="12" spans="1:27">
      <c r="A12" s="286"/>
      <c r="B12" s="277"/>
      <c r="C12" s="277"/>
      <c r="D12" s="102" t="s">
        <v>2</v>
      </c>
      <c r="E12" s="102" t="s">
        <v>3</v>
      </c>
      <c r="F12" s="102" t="s">
        <v>4</v>
      </c>
      <c r="G12" s="102" t="s">
        <v>10</v>
      </c>
      <c r="H12" s="102" t="s">
        <v>12</v>
      </c>
      <c r="I12" s="102" t="s">
        <v>2</v>
      </c>
      <c r="J12" s="102" t="s">
        <v>3</v>
      </c>
      <c r="K12" s="102" t="s">
        <v>4</v>
      </c>
      <c r="L12" s="102" t="s">
        <v>10</v>
      </c>
      <c r="M12" s="102" t="s">
        <v>12</v>
      </c>
      <c r="N12" s="102" t="s">
        <v>2</v>
      </c>
      <c r="O12" s="102" t="s">
        <v>3</v>
      </c>
      <c r="P12" s="102" t="s">
        <v>4</v>
      </c>
      <c r="Q12" s="102" t="s">
        <v>10</v>
      </c>
      <c r="R12" s="102" t="s">
        <v>12</v>
      </c>
      <c r="S12" s="13" t="s">
        <v>2</v>
      </c>
      <c r="T12" s="13" t="s">
        <v>3</v>
      </c>
      <c r="U12" s="13" t="s">
        <v>4</v>
      </c>
      <c r="V12" s="13" t="s">
        <v>10</v>
      </c>
      <c r="W12" s="13" t="s">
        <v>12</v>
      </c>
      <c r="X12" s="284"/>
    </row>
    <row r="13" spans="1:27" ht="13.5" thickBot="1">
      <c r="A13" s="287"/>
      <c r="B13" s="289"/>
      <c r="C13" s="277"/>
      <c r="D13" s="160">
        <f>'CCE1'!D9+'CCE1'!E9</f>
        <v>20</v>
      </c>
      <c r="E13" s="160">
        <f>'CCE1'!F9+'CCE1'!G9</f>
        <v>10</v>
      </c>
      <c r="F13" s="160">
        <f>'CCE1'!H9+'CCE1'!I9</f>
        <v>0</v>
      </c>
      <c r="G13" s="160">
        <v>0</v>
      </c>
      <c r="H13" s="160">
        <v>0</v>
      </c>
      <c r="I13" s="160">
        <f>'CCE2'!D9+'CCE2'!E9</f>
        <v>10</v>
      </c>
      <c r="J13" s="160">
        <f>'CCE2'!F9+'CCE2'!G9</f>
        <v>10</v>
      </c>
      <c r="K13" s="160">
        <v>0</v>
      </c>
      <c r="L13" s="160">
        <v>0</v>
      </c>
      <c r="M13" s="160">
        <v>0</v>
      </c>
      <c r="N13" s="160">
        <v>10</v>
      </c>
      <c r="O13" s="160">
        <v>10</v>
      </c>
      <c r="P13" s="160">
        <v>10</v>
      </c>
      <c r="Q13" s="160">
        <v>10</v>
      </c>
      <c r="R13" s="160">
        <v>10</v>
      </c>
      <c r="S13" s="134">
        <f>D13+I13+N13</f>
        <v>40</v>
      </c>
      <c r="T13" s="134">
        <f>E13+J13+O13</f>
        <v>30</v>
      </c>
      <c r="U13" s="134">
        <f>F13+K13+P13</f>
        <v>10</v>
      </c>
      <c r="V13" s="134">
        <f>G13+L13+Q13</f>
        <v>10</v>
      </c>
      <c r="W13" s="134">
        <f>H13+M13+R13</f>
        <v>10</v>
      </c>
      <c r="X13" s="134">
        <f>SUM(S13:W13)</f>
        <v>100</v>
      </c>
    </row>
    <row r="14" spans="1:27" ht="15.75">
      <c r="A14" s="160">
        <v>1</v>
      </c>
      <c r="B14" s="158">
        <v>22101</v>
      </c>
      <c r="C14" s="159" t="s">
        <v>124</v>
      </c>
      <c r="D14" s="165">
        <f>'CCE1'!D11+'CCE1'!E11</f>
        <v>19</v>
      </c>
      <c r="E14" s="165">
        <f>'CCE1'!E11+'CCE1'!F11</f>
        <v>20</v>
      </c>
      <c r="F14" s="165">
        <f>'CCE1'!F11+'CCE1'!G11</f>
        <v>10</v>
      </c>
      <c r="G14" s="165"/>
      <c r="H14" s="165"/>
      <c r="I14" s="165">
        <f>'CCE2'!D11+'CCE2'!E11</f>
        <v>9</v>
      </c>
      <c r="J14" s="165">
        <f>'CCE2'!F11+'CCE2'!G11</f>
        <v>10</v>
      </c>
      <c r="K14" s="165"/>
      <c r="L14" s="165"/>
      <c r="M14" s="165"/>
      <c r="N14" s="165">
        <f>'CCE3'!D11</f>
        <v>6</v>
      </c>
      <c r="O14" s="165">
        <f>'CCE3'!E11</f>
        <v>8</v>
      </c>
      <c r="P14" s="165">
        <f>'CCE3'!F11</f>
        <v>8</v>
      </c>
      <c r="Q14" s="165">
        <f>'CCE3'!G11</f>
        <v>8</v>
      </c>
      <c r="R14" s="165">
        <f>'CCE3'!H11</f>
        <v>9</v>
      </c>
      <c r="S14" s="163">
        <f t="shared" ref="S14:V77" si="0">IFERROR(SUM(D14,I14,N14),"AB")</f>
        <v>34</v>
      </c>
      <c r="T14" s="163">
        <f t="shared" si="0"/>
        <v>38</v>
      </c>
      <c r="U14" s="163">
        <f t="shared" si="0"/>
        <v>18</v>
      </c>
      <c r="V14" s="163">
        <f t="shared" si="0"/>
        <v>8</v>
      </c>
      <c r="W14" s="163">
        <f t="shared" ref="W14:W77" si="1">IFERROR(SUM(H14,M14,R14),"AB")</f>
        <v>9</v>
      </c>
      <c r="X14" s="163">
        <f t="shared" ref="X14:X77" si="2">IFERROR(SUM(S14:W14),"AB")</f>
        <v>107</v>
      </c>
    </row>
    <row r="15" spans="1:27" ht="15.75">
      <c r="A15" s="160">
        <v>2</v>
      </c>
      <c r="B15" s="158">
        <v>22102</v>
      </c>
      <c r="C15" s="159" t="s">
        <v>125</v>
      </c>
      <c r="D15" s="165">
        <f>'CCE1'!D12+'CCE1'!E12</f>
        <v>19</v>
      </c>
      <c r="E15" s="165">
        <f>'CCE1'!E12+'CCE1'!F12</f>
        <v>18</v>
      </c>
      <c r="F15" s="165">
        <f>'CCE1'!F12+'CCE1'!G12</f>
        <v>9</v>
      </c>
      <c r="G15" s="165"/>
      <c r="H15" s="165"/>
      <c r="I15" s="165">
        <f>'CCE2'!D12+'CCE2'!E12</f>
        <v>10</v>
      </c>
      <c r="J15" s="165">
        <f>'CCE2'!F12+'CCE2'!G12</f>
        <v>6</v>
      </c>
      <c r="K15" s="165"/>
      <c r="L15" s="165"/>
      <c r="M15" s="165"/>
      <c r="N15" s="165">
        <f>'CCE3'!D12</f>
        <v>5</v>
      </c>
      <c r="O15" s="165">
        <f>'CCE3'!E12</f>
        <v>8</v>
      </c>
      <c r="P15" s="165">
        <f>'CCE3'!F12</f>
        <v>6</v>
      </c>
      <c r="Q15" s="165">
        <f>'CCE3'!G12</f>
        <v>8</v>
      </c>
      <c r="R15" s="165">
        <f>'CCE3'!H12</f>
        <v>5</v>
      </c>
      <c r="S15" s="163">
        <f t="shared" si="0"/>
        <v>34</v>
      </c>
      <c r="T15" s="163">
        <f t="shared" si="0"/>
        <v>32</v>
      </c>
      <c r="U15" s="163">
        <f t="shared" si="0"/>
        <v>15</v>
      </c>
      <c r="V15" s="163">
        <f t="shared" si="0"/>
        <v>8</v>
      </c>
      <c r="W15" s="163">
        <f t="shared" si="1"/>
        <v>5</v>
      </c>
      <c r="X15" s="163">
        <f t="shared" si="2"/>
        <v>94</v>
      </c>
    </row>
    <row r="16" spans="1:27" ht="15.75">
      <c r="A16" s="160">
        <v>3</v>
      </c>
      <c r="B16" s="158">
        <v>22103</v>
      </c>
      <c r="C16" s="159" t="s">
        <v>126</v>
      </c>
      <c r="D16" s="165">
        <f>'CCE1'!D13+'CCE1'!E13</f>
        <v>20</v>
      </c>
      <c r="E16" s="165">
        <f>'CCE1'!E13+'CCE1'!F13</f>
        <v>19</v>
      </c>
      <c r="F16" s="165">
        <f>'CCE1'!F13+'CCE1'!G13</f>
        <v>9</v>
      </c>
      <c r="G16" s="165"/>
      <c r="H16" s="165"/>
      <c r="I16" s="165">
        <f>'CCE2'!D13+'CCE2'!E13</f>
        <v>9</v>
      </c>
      <c r="J16" s="165">
        <f>'CCE2'!F13+'CCE2'!G13</f>
        <v>6</v>
      </c>
      <c r="K16" s="165"/>
      <c r="L16" s="165"/>
      <c r="M16" s="165"/>
      <c r="N16" s="165">
        <f>'CCE3'!D13</f>
        <v>9</v>
      </c>
      <c r="O16" s="165">
        <f>'CCE3'!E13</f>
        <v>8</v>
      </c>
      <c r="P16" s="165">
        <f>'CCE3'!F13</f>
        <v>9</v>
      </c>
      <c r="Q16" s="165">
        <f>'CCE3'!G13</f>
        <v>9</v>
      </c>
      <c r="R16" s="165">
        <f>'CCE3'!H13</f>
        <v>8</v>
      </c>
      <c r="S16" s="163">
        <f t="shared" si="0"/>
        <v>38</v>
      </c>
      <c r="T16" s="163">
        <f t="shared" si="0"/>
        <v>33</v>
      </c>
      <c r="U16" s="163">
        <f t="shared" si="0"/>
        <v>18</v>
      </c>
      <c r="V16" s="163">
        <f t="shared" si="0"/>
        <v>9</v>
      </c>
      <c r="W16" s="163">
        <f t="shared" si="1"/>
        <v>8</v>
      </c>
      <c r="X16" s="163">
        <f t="shared" si="2"/>
        <v>106</v>
      </c>
    </row>
    <row r="17" spans="1:24" ht="15.75">
      <c r="A17" s="160">
        <v>4</v>
      </c>
      <c r="B17" s="158">
        <v>22104</v>
      </c>
      <c r="C17" s="159" t="s">
        <v>127</v>
      </c>
      <c r="D17" s="165">
        <f>'CCE1'!D14+'CCE1'!E14</f>
        <v>18</v>
      </c>
      <c r="E17" s="165">
        <f>'CCE1'!E14+'CCE1'!F14</f>
        <v>16</v>
      </c>
      <c r="F17" s="165">
        <f>'CCE1'!F14+'CCE1'!G14</f>
        <v>8</v>
      </c>
      <c r="G17" s="165"/>
      <c r="H17" s="165"/>
      <c r="I17" s="165">
        <f>'CCE2'!D14+'CCE2'!E14</f>
        <v>6</v>
      </c>
      <c r="J17" s="165">
        <f>'CCE2'!F14+'CCE2'!G14</f>
        <v>10</v>
      </c>
      <c r="K17" s="165"/>
      <c r="L17" s="165"/>
      <c r="M17" s="165"/>
      <c r="N17" s="165">
        <f>'CCE3'!D14</f>
        <v>9</v>
      </c>
      <c r="O17" s="165">
        <f>'CCE3'!E14</f>
        <v>8</v>
      </c>
      <c r="P17" s="165">
        <f>'CCE3'!F14</f>
        <v>8</v>
      </c>
      <c r="Q17" s="165">
        <f>'CCE3'!G14</f>
        <v>8</v>
      </c>
      <c r="R17" s="165">
        <f>'CCE3'!H14</f>
        <v>9</v>
      </c>
      <c r="S17" s="163">
        <f t="shared" si="0"/>
        <v>33</v>
      </c>
      <c r="T17" s="163">
        <f t="shared" si="0"/>
        <v>34</v>
      </c>
      <c r="U17" s="163">
        <f t="shared" si="0"/>
        <v>16</v>
      </c>
      <c r="V17" s="163">
        <f t="shared" si="0"/>
        <v>8</v>
      </c>
      <c r="W17" s="163">
        <f t="shared" si="1"/>
        <v>9</v>
      </c>
      <c r="X17" s="163">
        <f t="shared" si="2"/>
        <v>100</v>
      </c>
    </row>
    <row r="18" spans="1:24" ht="15.75">
      <c r="A18" s="160">
        <v>5</v>
      </c>
      <c r="B18" s="158">
        <v>22105</v>
      </c>
      <c r="C18" s="159" t="s">
        <v>128</v>
      </c>
      <c r="D18" s="165">
        <f>'CCE1'!D15+'CCE1'!E15</f>
        <v>18</v>
      </c>
      <c r="E18" s="165">
        <f>'CCE1'!E15+'CCE1'!F15</f>
        <v>16</v>
      </c>
      <c r="F18" s="165">
        <f>'CCE1'!F15+'CCE1'!G15</f>
        <v>8</v>
      </c>
      <c r="G18" s="165"/>
      <c r="H18" s="165"/>
      <c r="I18" s="165">
        <f>'CCE2'!D15+'CCE2'!E15</f>
        <v>10</v>
      </c>
      <c r="J18" s="165">
        <f>'CCE2'!F15+'CCE2'!G15</f>
        <v>10</v>
      </c>
      <c r="K18" s="165"/>
      <c r="L18" s="165"/>
      <c r="M18" s="165"/>
      <c r="N18" s="165">
        <f>'CCE3'!D15</f>
        <v>8</v>
      </c>
      <c r="O18" s="165">
        <f>'CCE3'!E15</f>
        <v>9</v>
      </c>
      <c r="P18" s="165">
        <f>'CCE3'!F15</f>
        <v>6</v>
      </c>
      <c r="Q18" s="165">
        <f>'CCE3'!G15</f>
        <v>5</v>
      </c>
      <c r="R18" s="165">
        <f>'CCE3'!H15</f>
        <v>9</v>
      </c>
      <c r="S18" s="163">
        <f t="shared" si="0"/>
        <v>36</v>
      </c>
      <c r="T18" s="163">
        <f t="shared" si="0"/>
        <v>35</v>
      </c>
      <c r="U18" s="163">
        <f t="shared" si="0"/>
        <v>14</v>
      </c>
      <c r="V18" s="163">
        <f t="shared" si="0"/>
        <v>5</v>
      </c>
      <c r="W18" s="163">
        <f t="shared" si="1"/>
        <v>9</v>
      </c>
      <c r="X18" s="163">
        <f t="shared" si="2"/>
        <v>99</v>
      </c>
    </row>
    <row r="19" spans="1:24" ht="15.75">
      <c r="A19" s="160">
        <v>6</v>
      </c>
      <c r="B19" s="158">
        <v>22106</v>
      </c>
      <c r="C19" s="159" t="s">
        <v>129</v>
      </c>
      <c r="D19" s="165">
        <f>'CCE1'!D16+'CCE1'!E16</f>
        <v>17</v>
      </c>
      <c r="E19" s="165">
        <f>'CCE1'!E16+'CCE1'!F16</f>
        <v>17</v>
      </c>
      <c r="F19" s="165">
        <f>'CCE1'!F16+'CCE1'!G16</f>
        <v>8</v>
      </c>
      <c r="G19" s="165"/>
      <c r="H19" s="165"/>
      <c r="I19" s="165">
        <f>'CCE2'!D16+'CCE2'!E16</f>
        <v>8</v>
      </c>
      <c r="J19" s="165">
        <f>'CCE2'!F16+'CCE2'!G16</f>
        <v>7</v>
      </c>
      <c r="K19" s="165"/>
      <c r="L19" s="165"/>
      <c r="M19" s="165"/>
      <c r="N19" s="165">
        <f>'CCE3'!D16</f>
        <v>8</v>
      </c>
      <c r="O19" s="165">
        <f>'CCE3'!E16</f>
        <v>4</v>
      </c>
      <c r="P19" s="165">
        <f>'CCE3'!F16</f>
        <v>8</v>
      </c>
      <c r="Q19" s="165">
        <f>'CCE3'!G16</f>
        <v>8</v>
      </c>
      <c r="R19" s="165">
        <f>'CCE3'!H16</f>
        <v>8</v>
      </c>
      <c r="S19" s="163">
        <f t="shared" si="0"/>
        <v>33</v>
      </c>
      <c r="T19" s="163">
        <f t="shared" si="0"/>
        <v>28</v>
      </c>
      <c r="U19" s="163">
        <f t="shared" si="0"/>
        <v>16</v>
      </c>
      <c r="V19" s="163">
        <f t="shared" si="0"/>
        <v>8</v>
      </c>
      <c r="W19" s="163">
        <f t="shared" si="1"/>
        <v>8</v>
      </c>
      <c r="X19" s="163">
        <f t="shared" si="2"/>
        <v>93</v>
      </c>
    </row>
    <row r="20" spans="1:24" ht="15.75">
      <c r="A20" s="160">
        <v>7</v>
      </c>
      <c r="B20" s="158">
        <v>22107</v>
      </c>
      <c r="C20" s="159" t="s">
        <v>130</v>
      </c>
      <c r="D20" s="165">
        <f>'CCE1'!D17+'CCE1'!E17</f>
        <v>19</v>
      </c>
      <c r="E20" s="165">
        <f>'CCE1'!E17+'CCE1'!F17</f>
        <v>19</v>
      </c>
      <c r="F20" s="165">
        <f>'CCE1'!F17+'CCE1'!G17</f>
        <v>9</v>
      </c>
      <c r="G20" s="165"/>
      <c r="H20" s="165"/>
      <c r="I20" s="165">
        <f>'CCE2'!D17+'CCE2'!E17</f>
        <v>6</v>
      </c>
      <c r="J20" s="165">
        <f>'CCE2'!F17+'CCE2'!G17</f>
        <v>8</v>
      </c>
      <c r="K20" s="165"/>
      <c r="L20" s="165"/>
      <c r="M20" s="165"/>
      <c r="N20" s="165">
        <f>'CCE3'!D17</f>
        <v>8</v>
      </c>
      <c r="O20" s="165">
        <f>'CCE3'!E17</f>
        <v>9</v>
      </c>
      <c r="P20" s="165">
        <f>'CCE3'!F17</f>
        <v>9</v>
      </c>
      <c r="Q20" s="165">
        <f>'CCE3'!G17</f>
        <v>7</v>
      </c>
      <c r="R20" s="165">
        <f>'CCE3'!H17</f>
        <v>8</v>
      </c>
      <c r="S20" s="163">
        <f t="shared" si="0"/>
        <v>33</v>
      </c>
      <c r="T20" s="163">
        <f t="shared" si="0"/>
        <v>36</v>
      </c>
      <c r="U20" s="163">
        <f t="shared" si="0"/>
        <v>18</v>
      </c>
      <c r="V20" s="163">
        <f t="shared" si="0"/>
        <v>7</v>
      </c>
      <c r="W20" s="163">
        <f t="shared" si="1"/>
        <v>8</v>
      </c>
      <c r="X20" s="163">
        <f t="shared" si="2"/>
        <v>102</v>
      </c>
    </row>
    <row r="21" spans="1:24" ht="15.75">
      <c r="A21" s="160">
        <v>8</v>
      </c>
      <c r="B21" s="158">
        <v>22108</v>
      </c>
      <c r="C21" s="159" t="s">
        <v>131</v>
      </c>
      <c r="D21" s="165">
        <f>'CCE1'!D18+'CCE1'!E18</f>
        <v>19</v>
      </c>
      <c r="E21" s="165">
        <f>'CCE1'!E18+'CCE1'!F18</f>
        <v>20</v>
      </c>
      <c r="F21" s="165">
        <f>'CCE1'!F18+'CCE1'!G18</f>
        <v>10</v>
      </c>
      <c r="G21" s="165"/>
      <c r="H21" s="165"/>
      <c r="I21" s="165">
        <f>'CCE2'!D18+'CCE2'!E18</f>
        <v>10</v>
      </c>
      <c r="J21" s="165">
        <f>'CCE2'!F18+'CCE2'!G18</f>
        <v>8</v>
      </c>
      <c r="K21" s="165"/>
      <c r="L21" s="165"/>
      <c r="M21" s="165"/>
      <c r="N21" s="165">
        <f>'CCE3'!D18</f>
        <v>7</v>
      </c>
      <c r="O21" s="165">
        <f>'CCE3'!E18</f>
        <v>8</v>
      </c>
      <c r="P21" s="165">
        <f>'CCE3'!F18</f>
        <v>9</v>
      </c>
      <c r="Q21" s="165">
        <f>'CCE3'!G18</f>
        <v>7</v>
      </c>
      <c r="R21" s="165">
        <f>'CCE3'!H18</f>
        <v>8</v>
      </c>
      <c r="S21" s="163">
        <f t="shared" si="0"/>
        <v>36</v>
      </c>
      <c r="T21" s="163">
        <f t="shared" si="0"/>
        <v>36</v>
      </c>
      <c r="U21" s="163">
        <f t="shared" si="0"/>
        <v>19</v>
      </c>
      <c r="V21" s="163">
        <f t="shared" si="0"/>
        <v>7</v>
      </c>
      <c r="W21" s="163">
        <f t="shared" si="1"/>
        <v>8</v>
      </c>
      <c r="X21" s="163">
        <f t="shared" si="2"/>
        <v>106</v>
      </c>
    </row>
    <row r="22" spans="1:24" ht="15.75">
      <c r="A22" s="160">
        <v>9</v>
      </c>
      <c r="B22" s="158">
        <v>22109</v>
      </c>
      <c r="C22" s="159" t="s">
        <v>132</v>
      </c>
      <c r="D22" s="165">
        <f>'CCE1'!D19+'CCE1'!E19</f>
        <v>20</v>
      </c>
      <c r="E22" s="165">
        <f>'CCE1'!E19+'CCE1'!F19</f>
        <v>20</v>
      </c>
      <c r="F22" s="165">
        <f>'CCE1'!F19+'CCE1'!G19</f>
        <v>10</v>
      </c>
      <c r="G22" s="165"/>
      <c r="H22" s="165"/>
      <c r="I22" s="165">
        <f>'CCE2'!D19+'CCE2'!E19</f>
        <v>10</v>
      </c>
      <c r="J22" s="165">
        <f>'CCE2'!F19+'CCE2'!G19</f>
        <v>7</v>
      </c>
      <c r="K22" s="165"/>
      <c r="L22" s="165"/>
      <c r="M22" s="165"/>
      <c r="N22" s="165">
        <f>'CCE3'!D19</f>
        <v>9</v>
      </c>
      <c r="O22" s="165">
        <f>'CCE3'!E19</f>
        <v>8</v>
      </c>
      <c r="P22" s="165">
        <f>'CCE3'!F19</f>
        <v>9</v>
      </c>
      <c r="Q22" s="165">
        <f>'CCE3'!G19</f>
        <v>8</v>
      </c>
      <c r="R22" s="165">
        <f>'CCE3'!H19</f>
        <v>7</v>
      </c>
      <c r="S22" s="163">
        <f t="shared" si="0"/>
        <v>39</v>
      </c>
      <c r="T22" s="163">
        <f t="shared" si="0"/>
        <v>35</v>
      </c>
      <c r="U22" s="163">
        <f t="shared" si="0"/>
        <v>19</v>
      </c>
      <c r="V22" s="163">
        <f t="shared" si="0"/>
        <v>8</v>
      </c>
      <c r="W22" s="163">
        <f t="shared" si="1"/>
        <v>7</v>
      </c>
      <c r="X22" s="163">
        <f t="shared" si="2"/>
        <v>108</v>
      </c>
    </row>
    <row r="23" spans="1:24" ht="15.75">
      <c r="A23" s="160">
        <v>10</v>
      </c>
      <c r="B23" s="158">
        <v>22110</v>
      </c>
      <c r="C23" s="159" t="s">
        <v>133</v>
      </c>
      <c r="D23" s="165">
        <f>'CCE1'!D20+'CCE1'!E20</f>
        <v>16</v>
      </c>
      <c r="E23" s="165">
        <f>'CCE1'!E20+'CCE1'!F20</f>
        <v>18</v>
      </c>
      <c r="F23" s="165">
        <f>'CCE1'!F20+'CCE1'!G20</f>
        <v>10</v>
      </c>
      <c r="G23" s="165"/>
      <c r="H23" s="165"/>
      <c r="I23" s="165">
        <f>'CCE2'!D20+'CCE2'!E20</f>
        <v>10</v>
      </c>
      <c r="J23" s="165">
        <f>'CCE2'!F20+'CCE2'!G20</f>
        <v>10</v>
      </c>
      <c r="K23" s="165"/>
      <c r="L23" s="165"/>
      <c r="M23" s="165"/>
      <c r="N23" s="165">
        <f>'CCE3'!D20</f>
        <v>8</v>
      </c>
      <c r="O23" s="165">
        <f>'CCE3'!E20</f>
        <v>8</v>
      </c>
      <c r="P23" s="165">
        <f>'CCE3'!F20</f>
        <v>7</v>
      </c>
      <c r="Q23" s="165">
        <f>'CCE3'!G20</f>
        <v>9</v>
      </c>
      <c r="R23" s="165">
        <f>'CCE3'!H20</f>
        <v>9</v>
      </c>
      <c r="S23" s="163">
        <f t="shared" si="0"/>
        <v>34</v>
      </c>
      <c r="T23" s="163">
        <f t="shared" si="0"/>
        <v>36</v>
      </c>
      <c r="U23" s="163">
        <f t="shared" si="0"/>
        <v>17</v>
      </c>
      <c r="V23" s="163">
        <f t="shared" si="0"/>
        <v>9</v>
      </c>
      <c r="W23" s="163">
        <f t="shared" si="1"/>
        <v>9</v>
      </c>
      <c r="X23" s="163">
        <f t="shared" si="2"/>
        <v>105</v>
      </c>
    </row>
    <row r="24" spans="1:24" ht="15.75">
      <c r="A24" s="160">
        <v>11</v>
      </c>
      <c r="B24" s="158">
        <v>22111</v>
      </c>
      <c r="C24" s="159" t="s">
        <v>134</v>
      </c>
      <c r="D24" s="165">
        <f>'CCE1'!D21+'CCE1'!E21</f>
        <v>20</v>
      </c>
      <c r="E24" s="165">
        <f>'CCE1'!E21+'CCE1'!F21</f>
        <v>19</v>
      </c>
      <c r="F24" s="165">
        <f>'CCE1'!F21+'CCE1'!G21</f>
        <v>9</v>
      </c>
      <c r="G24" s="165"/>
      <c r="H24" s="165"/>
      <c r="I24" s="165">
        <f>'CCE2'!D21+'CCE2'!E21</f>
        <v>7</v>
      </c>
      <c r="J24" s="165">
        <f>'CCE2'!F21+'CCE2'!G21</f>
        <v>7</v>
      </c>
      <c r="K24" s="165"/>
      <c r="L24" s="165"/>
      <c r="M24" s="165"/>
      <c r="N24" s="165">
        <f>'CCE3'!D21</f>
        <v>10</v>
      </c>
      <c r="O24" s="165">
        <f>'CCE3'!E21</f>
        <v>9</v>
      </c>
      <c r="P24" s="165">
        <f>'CCE3'!F21</f>
        <v>9</v>
      </c>
      <c r="Q24" s="165">
        <f>'CCE3'!G21</f>
        <v>10</v>
      </c>
      <c r="R24" s="165">
        <f>'CCE3'!H21</f>
        <v>7</v>
      </c>
      <c r="S24" s="163">
        <f t="shared" si="0"/>
        <v>37</v>
      </c>
      <c r="T24" s="163">
        <f t="shared" si="0"/>
        <v>35</v>
      </c>
      <c r="U24" s="163">
        <f t="shared" si="0"/>
        <v>18</v>
      </c>
      <c r="V24" s="163">
        <f t="shared" si="0"/>
        <v>10</v>
      </c>
      <c r="W24" s="163">
        <f t="shared" si="1"/>
        <v>7</v>
      </c>
      <c r="X24" s="163">
        <f t="shared" si="2"/>
        <v>107</v>
      </c>
    </row>
    <row r="25" spans="1:24" ht="15.75">
      <c r="A25" s="160">
        <v>12</v>
      </c>
      <c r="B25" s="158">
        <v>22112</v>
      </c>
      <c r="C25" s="159" t="s">
        <v>135</v>
      </c>
      <c r="D25" s="165">
        <f>'CCE1'!D22+'CCE1'!E22</f>
        <v>18</v>
      </c>
      <c r="E25" s="165">
        <f>'CCE1'!E22+'CCE1'!F22</f>
        <v>18</v>
      </c>
      <c r="F25" s="165">
        <f>'CCE1'!F22+'CCE1'!G22</f>
        <v>9</v>
      </c>
      <c r="G25" s="165"/>
      <c r="H25" s="165"/>
      <c r="I25" s="165">
        <f>'CCE2'!D22+'CCE2'!E22</f>
        <v>6</v>
      </c>
      <c r="J25" s="165">
        <f>'CCE2'!F22+'CCE2'!G22</f>
        <v>7</v>
      </c>
      <c r="K25" s="165"/>
      <c r="L25" s="165"/>
      <c r="M25" s="165"/>
      <c r="N25" s="165">
        <f>'CCE3'!D22</f>
        <v>9</v>
      </c>
      <c r="O25" s="165">
        <f>'CCE3'!E22</f>
        <v>8</v>
      </c>
      <c r="P25" s="165">
        <f>'CCE3'!F22</f>
        <v>8</v>
      </c>
      <c r="Q25" s="165">
        <f>'CCE3'!G22</f>
        <v>9</v>
      </c>
      <c r="R25" s="165">
        <f>'CCE3'!H22</f>
        <v>9</v>
      </c>
      <c r="S25" s="163">
        <f t="shared" si="0"/>
        <v>33</v>
      </c>
      <c r="T25" s="163">
        <f t="shared" si="0"/>
        <v>33</v>
      </c>
      <c r="U25" s="163">
        <f t="shared" si="0"/>
        <v>17</v>
      </c>
      <c r="V25" s="163">
        <f t="shared" si="0"/>
        <v>9</v>
      </c>
      <c r="W25" s="163">
        <f t="shared" si="1"/>
        <v>9</v>
      </c>
      <c r="X25" s="163">
        <f t="shared" si="2"/>
        <v>101</v>
      </c>
    </row>
    <row r="26" spans="1:24" ht="15.75">
      <c r="A26" s="160">
        <v>13</v>
      </c>
      <c r="B26" s="158">
        <v>22113</v>
      </c>
      <c r="C26" s="159" t="s">
        <v>136</v>
      </c>
      <c r="D26" s="165">
        <f>'CCE1'!D23+'CCE1'!E23</f>
        <v>19</v>
      </c>
      <c r="E26" s="165">
        <f>'CCE1'!E23+'CCE1'!F23</f>
        <v>18</v>
      </c>
      <c r="F26" s="165">
        <f>'CCE1'!F23+'CCE1'!G23</f>
        <v>8</v>
      </c>
      <c r="G26" s="165"/>
      <c r="H26" s="165"/>
      <c r="I26" s="165">
        <f>'CCE2'!D23+'CCE2'!E23</f>
        <v>9</v>
      </c>
      <c r="J26" s="165">
        <f>'CCE2'!F23+'CCE2'!G23</f>
        <v>8</v>
      </c>
      <c r="K26" s="165"/>
      <c r="L26" s="165"/>
      <c r="M26" s="165"/>
      <c r="N26" s="165">
        <f>'CCE3'!D23</f>
        <v>9</v>
      </c>
      <c r="O26" s="165">
        <f>'CCE3'!E23</f>
        <v>9</v>
      </c>
      <c r="P26" s="165">
        <f>'CCE3'!F23</f>
        <v>8</v>
      </c>
      <c r="Q26" s="165">
        <f>'CCE3'!G23</f>
        <v>10</v>
      </c>
      <c r="R26" s="165">
        <f>'CCE3'!H23</f>
        <v>9</v>
      </c>
      <c r="S26" s="163">
        <f t="shared" si="0"/>
        <v>37</v>
      </c>
      <c r="T26" s="163">
        <f t="shared" si="0"/>
        <v>35</v>
      </c>
      <c r="U26" s="163">
        <f t="shared" si="0"/>
        <v>16</v>
      </c>
      <c r="V26" s="163">
        <f t="shared" si="0"/>
        <v>10</v>
      </c>
      <c r="W26" s="163">
        <f t="shared" si="1"/>
        <v>9</v>
      </c>
      <c r="X26" s="163">
        <f t="shared" si="2"/>
        <v>107</v>
      </c>
    </row>
    <row r="27" spans="1:24" ht="15.75">
      <c r="A27" s="160">
        <v>14</v>
      </c>
      <c r="B27" s="158">
        <v>22114</v>
      </c>
      <c r="C27" s="159" t="s">
        <v>137</v>
      </c>
      <c r="D27" s="165">
        <f>'CCE1'!D24+'CCE1'!E24</f>
        <v>18</v>
      </c>
      <c r="E27" s="165">
        <f>'CCE1'!E24+'CCE1'!F24</f>
        <v>18</v>
      </c>
      <c r="F27" s="165">
        <f>'CCE1'!F24+'CCE1'!G24</f>
        <v>8</v>
      </c>
      <c r="G27" s="165"/>
      <c r="H27" s="165"/>
      <c r="I27" s="165">
        <f>'CCE2'!D24+'CCE2'!E24</f>
        <v>7</v>
      </c>
      <c r="J27" s="165">
        <f>'CCE2'!F24+'CCE2'!G24</f>
        <v>6</v>
      </c>
      <c r="K27" s="165"/>
      <c r="L27" s="165"/>
      <c r="M27" s="165"/>
      <c r="N27" s="165">
        <f>'CCE3'!D24</f>
        <v>8</v>
      </c>
      <c r="O27" s="165">
        <f>'CCE3'!E24</f>
        <v>9</v>
      </c>
      <c r="P27" s="165">
        <f>'CCE3'!F24</f>
        <v>7</v>
      </c>
      <c r="Q27" s="165">
        <f>'CCE3'!G24</f>
        <v>8</v>
      </c>
      <c r="R27" s="165">
        <f>'CCE3'!H24</f>
        <v>9</v>
      </c>
      <c r="S27" s="163">
        <f t="shared" si="0"/>
        <v>33</v>
      </c>
      <c r="T27" s="163">
        <f t="shared" si="0"/>
        <v>33</v>
      </c>
      <c r="U27" s="163">
        <f t="shared" si="0"/>
        <v>15</v>
      </c>
      <c r="V27" s="163">
        <f t="shared" si="0"/>
        <v>8</v>
      </c>
      <c r="W27" s="163">
        <f t="shared" si="1"/>
        <v>9</v>
      </c>
      <c r="X27" s="163">
        <f t="shared" si="2"/>
        <v>98</v>
      </c>
    </row>
    <row r="28" spans="1:24" ht="15.75">
      <c r="A28" s="160">
        <v>15</v>
      </c>
      <c r="B28" s="158">
        <v>22115</v>
      </c>
      <c r="C28" s="159" t="s">
        <v>138</v>
      </c>
      <c r="D28" s="165">
        <f>'CCE1'!D25+'CCE1'!E25</f>
        <v>16</v>
      </c>
      <c r="E28" s="165">
        <f>'CCE1'!E25+'CCE1'!F25</f>
        <v>17</v>
      </c>
      <c r="F28" s="165">
        <f>'CCE1'!F25+'CCE1'!G25</f>
        <v>9</v>
      </c>
      <c r="G28" s="165"/>
      <c r="H28" s="165"/>
      <c r="I28" s="165">
        <f>'CCE2'!D25+'CCE2'!E25</f>
        <v>8</v>
      </c>
      <c r="J28" s="165">
        <f>'CCE2'!F25+'CCE2'!G25</f>
        <v>9</v>
      </c>
      <c r="K28" s="165"/>
      <c r="L28" s="165"/>
      <c r="M28" s="165"/>
      <c r="N28" s="165">
        <f>'CCE3'!D25</f>
        <v>8</v>
      </c>
      <c r="O28" s="165">
        <f>'CCE3'!E25</f>
        <v>10</v>
      </c>
      <c r="P28" s="165">
        <f>'CCE3'!F25</f>
        <v>7</v>
      </c>
      <c r="Q28" s="165">
        <f>'CCE3'!G25</f>
        <v>9</v>
      </c>
      <c r="R28" s="165">
        <f>'CCE3'!H25</f>
        <v>8</v>
      </c>
      <c r="S28" s="163">
        <f t="shared" si="0"/>
        <v>32</v>
      </c>
      <c r="T28" s="163">
        <f t="shared" si="0"/>
        <v>36</v>
      </c>
      <c r="U28" s="163">
        <f t="shared" si="0"/>
        <v>16</v>
      </c>
      <c r="V28" s="163">
        <f t="shared" si="0"/>
        <v>9</v>
      </c>
      <c r="W28" s="163">
        <f t="shared" si="1"/>
        <v>8</v>
      </c>
      <c r="X28" s="163">
        <f t="shared" si="2"/>
        <v>101</v>
      </c>
    </row>
    <row r="29" spans="1:24" s="161" customFormat="1" ht="15.75">
      <c r="A29" s="160">
        <v>16</v>
      </c>
      <c r="B29" s="158">
        <v>22116</v>
      </c>
      <c r="C29" s="159" t="s">
        <v>139</v>
      </c>
      <c r="D29" s="165">
        <f>'CCE1'!D26+'CCE1'!E26</f>
        <v>20</v>
      </c>
      <c r="E29" s="165">
        <f>'CCE1'!E26+'CCE1'!F26</f>
        <v>18</v>
      </c>
      <c r="F29" s="165">
        <f>'CCE1'!F26+'CCE1'!G26</f>
        <v>8</v>
      </c>
      <c r="G29" s="164"/>
      <c r="H29" s="164"/>
      <c r="I29" s="165">
        <f>'CCE2'!D26+'CCE2'!E26</f>
        <v>10</v>
      </c>
      <c r="J29" s="165">
        <f>'CCE2'!F26+'CCE2'!G26</f>
        <v>7</v>
      </c>
      <c r="K29" s="164"/>
      <c r="L29" s="164"/>
      <c r="M29" s="164"/>
      <c r="N29" s="165">
        <f>'CCE3'!D26</f>
        <v>8</v>
      </c>
      <c r="O29" s="165">
        <f>'CCE3'!E26</f>
        <v>8</v>
      </c>
      <c r="P29" s="165">
        <f>'CCE3'!F26</f>
        <v>9</v>
      </c>
      <c r="Q29" s="165">
        <f>'CCE3'!G26</f>
        <v>9</v>
      </c>
      <c r="R29" s="165">
        <f>'CCE3'!H26</f>
        <v>8</v>
      </c>
      <c r="S29" s="163">
        <f t="shared" si="0"/>
        <v>38</v>
      </c>
      <c r="T29" s="163">
        <f t="shared" si="0"/>
        <v>33</v>
      </c>
      <c r="U29" s="163">
        <f t="shared" si="0"/>
        <v>17</v>
      </c>
      <c r="V29" s="163">
        <f t="shared" si="0"/>
        <v>9</v>
      </c>
      <c r="W29" s="163">
        <f t="shared" si="1"/>
        <v>8</v>
      </c>
      <c r="X29" s="163">
        <f t="shared" si="2"/>
        <v>105</v>
      </c>
    </row>
    <row r="30" spans="1:24" s="161" customFormat="1" ht="15.75">
      <c r="A30" s="160">
        <v>17</v>
      </c>
      <c r="B30" s="158">
        <v>22117</v>
      </c>
      <c r="C30" s="159" t="s">
        <v>140</v>
      </c>
      <c r="D30" s="165">
        <f>'CCE1'!D27+'CCE1'!E27</f>
        <v>18</v>
      </c>
      <c r="E30" s="165">
        <f>'CCE1'!E27+'CCE1'!F27</f>
        <v>19</v>
      </c>
      <c r="F30" s="165">
        <f>'CCE1'!F27+'CCE1'!G27</f>
        <v>9</v>
      </c>
      <c r="G30" s="164"/>
      <c r="H30" s="164"/>
      <c r="I30" s="165">
        <f>'CCE2'!D27+'CCE2'!E27</f>
        <v>8</v>
      </c>
      <c r="J30" s="165">
        <f>'CCE2'!F27+'CCE2'!G27</f>
        <v>8</v>
      </c>
      <c r="K30" s="164"/>
      <c r="L30" s="164"/>
      <c r="M30" s="164"/>
      <c r="N30" s="165">
        <f>'CCE3'!D27</f>
        <v>9</v>
      </c>
      <c r="O30" s="165">
        <f>'CCE3'!E27</f>
        <v>8</v>
      </c>
      <c r="P30" s="165">
        <f>'CCE3'!F27</f>
        <v>9</v>
      </c>
      <c r="Q30" s="165">
        <f>'CCE3'!G27</f>
        <v>9</v>
      </c>
      <c r="R30" s="165">
        <f>'CCE3'!H27</f>
        <v>9</v>
      </c>
      <c r="S30" s="163">
        <f t="shared" si="0"/>
        <v>35</v>
      </c>
      <c r="T30" s="163">
        <f t="shared" si="0"/>
        <v>35</v>
      </c>
      <c r="U30" s="163">
        <f t="shared" si="0"/>
        <v>18</v>
      </c>
      <c r="V30" s="163">
        <f t="shared" si="0"/>
        <v>9</v>
      </c>
      <c r="W30" s="163">
        <f t="shared" si="1"/>
        <v>9</v>
      </c>
      <c r="X30" s="163">
        <f t="shared" si="2"/>
        <v>106</v>
      </c>
    </row>
    <row r="31" spans="1:24" s="161" customFormat="1" ht="15.75">
      <c r="A31" s="160">
        <v>18</v>
      </c>
      <c r="B31" s="158">
        <v>22118</v>
      </c>
      <c r="C31" s="159" t="s">
        <v>141</v>
      </c>
      <c r="D31" s="165">
        <f>'CCE1'!D28+'CCE1'!E28</f>
        <v>17</v>
      </c>
      <c r="E31" s="165">
        <f>'CCE1'!E28+'CCE1'!F28</f>
        <v>18</v>
      </c>
      <c r="F31" s="165">
        <f>'CCE1'!F28+'CCE1'!G28</f>
        <v>10</v>
      </c>
      <c r="G31" s="164"/>
      <c r="H31" s="164"/>
      <c r="I31" s="165">
        <f>'CCE2'!D28+'CCE2'!E28</f>
        <v>9</v>
      </c>
      <c r="J31" s="165">
        <f>'CCE2'!F28+'CCE2'!G28</f>
        <v>6</v>
      </c>
      <c r="K31" s="164"/>
      <c r="L31" s="164"/>
      <c r="M31" s="164"/>
      <c r="N31" s="165">
        <f>'CCE3'!D28</f>
        <v>10</v>
      </c>
      <c r="O31" s="165">
        <f>'CCE3'!E28</f>
        <v>9</v>
      </c>
      <c r="P31" s="165">
        <f>'CCE3'!F28</f>
        <v>10</v>
      </c>
      <c r="Q31" s="165">
        <f>'CCE3'!G28</f>
        <v>10</v>
      </c>
      <c r="R31" s="165">
        <f>'CCE3'!H28</f>
        <v>8</v>
      </c>
      <c r="S31" s="163">
        <f t="shared" si="0"/>
        <v>36</v>
      </c>
      <c r="T31" s="163">
        <f t="shared" si="0"/>
        <v>33</v>
      </c>
      <c r="U31" s="163">
        <f t="shared" si="0"/>
        <v>20</v>
      </c>
      <c r="V31" s="163">
        <f t="shared" si="0"/>
        <v>10</v>
      </c>
      <c r="W31" s="163">
        <f t="shared" si="1"/>
        <v>8</v>
      </c>
      <c r="X31" s="163">
        <f t="shared" si="2"/>
        <v>107</v>
      </c>
    </row>
    <row r="32" spans="1:24" s="161" customFormat="1" ht="15.75">
      <c r="A32" s="160">
        <v>19</v>
      </c>
      <c r="B32" s="158">
        <v>22119</v>
      </c>
      <c r="C32" s="159" t="s">
        <v>142</v>
      </c>
      <c r="D32" s="165">
        <f>'CCE1'!D29+'CCE1'!E29</f>
        <v>18</v>
      </c>
      <c r="E32" s="165">
        <f>'CCE1'!E29+'CCE1'!F29</f>
        <v>18</v>
      </c>
      <c r="F32" s="165">
        <f>'CCE1'!F29+'CCE1'!G29</f>
        <v>8</v>
      </c>
      <c r="G32" s="164"/>
      <c r="H32" s="164"/>
      <c r="I32" s="165">
        <f>'CCE2'!D29+'CCE2'!E29</f>
        <v>6</v>
      </c>
      <c r="J32" s="165">
        <f>'CCE2'!F29+'CCE2'!G29</f>
        <v>10</v>
      </c>
      <c r="K32" s="164"/>
      <c r="L32" s="164"/>
      <c r="M32" s="164"/>
      <c r="N32" s="165">
        <f>'CCE3'!D29</f>
        <v>9</v>
      </c>
      <c r="O32" s="165">
        <f>'CCE3'!E29</f>
        <v>10</v>
      </c>
      <c r="P32" s="165">
        <f>'CCE3'!F29</f>
        <v>8</v>
      </c>
      <c r="Q32" s="165">
        <f>'CCE3'!G29</f>
        <v>9</v>
      </c>
      <c r="R32" s="165">
        <f>'CCE3'!H29</f>
        <v>8</v>
      </c>
      <c r="S32" s="163">
        <f t="shared" si="0"/>
        <v>33</v>
      </c>
      <c r="T32" s="163">
        <f t="shared" si="0"/>
        <v>38</v>
      </c>
      <c r="U32" s="163">
        <f t="shared" si="0"/>
        <v>16</v>
      </c>
      <c r="V32" s="163">
        <f t="shared" si="0"/>
        <v>9</v>
      </c>
      <c r="W32" s="163">
        <f t="shared" si="1"/>
        <v>8</v>
      </c>
      <c r="X32" s="163">
        <f t="shared" si="2"/>
        <v>104</v>
      </c>
    </row>
    <row r="33" spans="1:24" s="161" customFormat="1" ht="15.75">
      <c r="A33" s="160">
        <v>20</v>
      </c>
      <c r="B33" s="158">
        <v>22120</v>
      </c>
      <c r="C33" s="159" t="s">
        <v>143</v>
      </c>
      <c r="D33" s="165">
        <f>'CCE1'!D30+'CCE1'!E30</f>
        <v>19</v>
      </c>
      <c r="E33" s="165">
        <f>'CCE1'!E30+'CCE1'!F30</f>
        <v>19</v>
      </c>
      <c r="F33" s="165">
        <f>'CCE1'!F30+'CCE1'!G30</f>
        <v>9</v>
      </c>
      <c r="G33" s="164"/>
      <c r="H33" s="164"/>
      <c r="I33" s="165">
        <f>'CCE2'!D30+'CCE2'!E30</f>
        <v>5</v>
      </c>
      <c r="J33" s="165">
        <f>'CCE2'!F30+'CCE2'!G30</f>
        <v>5</v>
      </c>
      <c r="K33" s="164"/>
      <c r="L33" s="164"/>
      <c r="M33" s="164"/>
      <c r="N33" s="165">
        <f>'CCE3'!D30</f>
        <v>8</v>
      </c>
      <c r="O33" s="165">
        <f>'CCE3'!E30</f>
        <v>9</v>
      </c>
      <c r="P33" s="165">
        <f>'CCE3'!F30</f>
        <v>8</v>
      </c>
      <c r="Q33" s="165">
        <f>'CCE3'!G30</f>
        <v>8</v>
      </c>
      <c r="R33" s="165">
        <f>'CCE3'!H30</f>
        <v>8</v>
      </c>
      <c r="S33" s="163">
        <f t="shared" si="0"/>
        <v>32</v>
      </c>
      <c r="T33" s="163">
        <f t="shared" si="0"/>
        <v>33</v>
      </c>
      <c r="U33" s="163">
        <f t="shared" si="0"/>
        <v>17</v>
      </c>
      <c r="V33" s="163">
        <f t="shared" si="0"/>
        <v>8</v>
      </c>
      <c r="W33" s="163">
        <f t="shared" si="1"/>
        <v>8</v>
      </c>
      <c r="X33" s="163">
        <f t="shared" si="2"/>
        <v>98</v>
      </c>
    </row>
    <row r="34" spans="1:24" s="161" customFormat="1" ht="15.75">
      <c r="A34" s="160">
        <v>21</v>
      </c>
      <c r="B34" s="158">
        <v>22121</v>
      </c>
      <c r="C34" s="159" t="s">
        <v>144</v>
      </c>
      <c r="D34" s="165">
        <f>'CCE1'!D31+'CCE1'!E31</f>
        <v>17</v>
      </c>
      <c r="E34" s="165">
        <f>'CCE1'!E31+'CCE1'!F31</f>
        <v>18</v>
      </c>
      <c r="F34" s="165">
        <f>'CCE1'!F31+'CCE1'!G31</f>
        <v>9</v>
      </c>
      <c r="G34" s="164"/>
      <c r="H34" s="164"/>
      <c r="I34" s="165">
        <f>'CCE2'!D31+'CCE2'!E31</f>
        <v>9</v>
      </c>
      <c r="J34" s="165">
        <f>'CCE2'!F31+'CCE2'!G31</f>
        <v>10</v>
      </c>
      <c r="K34" s="164"/>
      <c r="L34" s="164"/>
      <c r="M34" s="164"/>
      <c r="N34" s="165">
        <f>'CCE3'!D31</f>
        <v>10</v>
      </c>
      <c r="O34" s="165">
        <f>'CCE3'!E31</f>
        <v>8</v>
      </c>
      <c r="P34" s="165">
        <f>'CCE3'!F31</f>
        <v>7</v>
      </c>
      <c r="Q34" s="165">
        <f>'CCE3'!G31</f>
        <v>7</v>
      </c>
      <c r="R34" s="165">
        <f>'CCE3'!H31</f>
        <v>9</v>
      </c>
      <c r="S34" s="163">
        <f t="shared" si="0"/>
        <v>36</v>
      </c>
      <c r="T34" s="163">
        <f t="shared" si="0"/>
        <v>36</v>
      </c>
      <c r="U34" s="163">
        <f t="shared" si="0"/>
        <v>16</v>
      </c>
      <c r="V34" s="163">
        <f t="shared" si="0"/>
        <v>7</v>
      </c>
      <c r="W34" s="163">
        <f t="shared" si="1"/>
        <v>9</v>
      </c>
      <c r="X34" s="163">
        <f t="shared" si="2"/>
        <v>104</v>
      </c>
    </row>
    <row r="35" spans="1:24" s="161" customFormat="1" ht="15.75">
      <c r="A35" s="160">
        <v>22</v>
      </c>
      <c r="B35" s="158">
        <v>22122</v>
      </c>
      <c r="C35" s="159" t="s">
        <v>145</v>
      </c>
      <c r="D35" s="165">
        <f>'CCE1'!D32+'CCE1'!E32</f>
        <v>17</v>
      </c>
      <c r="E35" s="165">
        <f>'CCE1'!E32+'CCE1'!F32</f>
        <v>18</v>
      </c>
      <c r="F35" s="165">
        <f>'CCE1'!F32+'CCE1'!G32</f>
        <v>9</v>
      </c>
      <c r="G35" s="164"/>
      <c r="H35" s="164"/>
      <c r="I35" s="165">
        <f>'CCE2'!D32+'CCE2'!E32</f>
        <v>9</v>
      </c>
      <c r="J35" s="165">
        <f>'CCE2'!F32+'CCE2'!G32</f>
        <v>7</v>
      </c>
      <c r="K35" s="164"/>
      <c r="L35" s="164"/>
      <c r="M35" s="164"/>
      <c r="N35" s="165">
        <f>'CCE3'!D32</f>
        <v>10</v>
      </c>
      <c r="O35" s="165">
        <f>'CCE3'!E32</f>
        <v>10</v>
      </c>
      <c r="P35" s="165">
        <f>'CCE3'!F32</f>
        <v>8</v>
      </c>
      <c r="Q35" s="165">
        <f>'CCE3'!G32</f>
        <v>8</v>
      </c>
      <c r="R35" s="165">
        <f>'CCE3'!H32</f>
        <v>8</v>
      </c>
      <c r="S35" s="163">
        <f t="shared" si="0"/>
        <v>36</v>
      </c>
      <c r="T35" s="163">
        <f t="shared" si="0"/>
        <v>35</v>
      </c>
      <c r="U35" s="163">
        <f t="shared" si="0"/>
        <v>17</v>
      </c>
      <c r="V35" s="163">
        <f t="shared" si="0"/>
        <v>8</v>
      </c>
      <c r="W35" s="163">
        <f t="shared" si="1"/>
        <v>8</v>
      </c>
      <c r="X35" s="163">
        <f t="shared" si="2"/>
        <v>104</v>
      </c>
    </row>
    <row r="36" spans="1:24" s="161" customFormat="1" ht="15.75">
      <c r="A36" s="160">
        <v>23</v>
      </c>
      <c r="B36" s="158">
        <v>22123</v>
      </c>
      <c r="C36" s="159" t="s">
        <v>146</v>
      </c>
      <c r="D36" s="165">
        <f>'CCE1'!D33+'CCE1'!E33</f>
        <v>19</v>
      </c>
      <c r="E36" s="165">
        <f>'CCE1'!E33+'CCE1'!F33</f>
        <v>19</v>
      </c>
      <c r="F36" s="165">
        <f>'CCE1'!F33+'CCE1'!G33</f>
        <v>10</v>
      </c>
      <c r="G36" s="164"/>
      <c r="H36" s="164"/>
      <c r="I36" s="165">
        <f>'CCE2'!D33+'CCE2'!E33</f>
        <v>8</v>
      </c>
      <c r="J36" s="165">
        <f>'CCE2'!F33+'CCE2'!G33</f>
        <v>8</v>
      </c>
      <c r="K36" s="164"/>
      <c r="L36" s="164"/>
      <c r="M36" s="164"/>
      <c r="N36" s="165">
        <f>'CCE3'!D33</f>
        <v>8</v>
      </c>
      <c r="O36" s="165">
        <f>'CCE3'!E33</f>
        <v>8</v>
      </c>
      <c r="P36" s="165">
        <f>'CCE3'!F33</f>
        <v>10</v>
      </c>
      <c r="Q36" s="165">
        <f>'CCE3'!G33</f>
        <v>7</v>
      </c>
      <c r="R36" s="165">
        <f>'CCE3'!H33</f>
        <v>7</v>
      </c>
      <c r="S36" s="163">
        <f t="shared" si="0"/>
        <v>35</v>
      </c>
      <c r="T36" s="163">
        <f t="shared" si="0"/>
        <v>35</v>
      </c>
      <c r="U36" s="163">
        <f t="shared" si="0"/>
        <v>20</v>
      </c>
      <c r="V36" s="163">
        <f t="shared" si="0"/>
        <v>7</v>
      </c>
      <c r="W36" s="163">
        <f t="shared" si="1"/>
        <v>7</v>
      </c>
      <c r="X36" s="163">
        <f t="shared" si="2"/>
        <v>104</v>
      </c>
    </row>
    <row r="37" spans="1:24" s="161" customFormat="1" ht="15.75">
      <c r="A37" s="160">
        <v>24</v>
      </c>
      <c r="B37" s="158">
        <v>22124</v>
      </c>
      <c r="C37" s="159" t="s">
        <v>147</v>
      </c>
      <c r="D37" s="165">
        <f>'CCE1'!D34+'CCE1'!E34</f>
        <v>18</v>
      </c>
      <c r="E37" s="165">
        <f>'CCE1'!E34+'CCE1'!F34</f>
        <v>19</v>
      </c>
      <c r="F37" s="165">
        <f>'CCE1'!F34+'CCE1'!G34</f>
        <v>9</v>
      </c>
      <c r="G37" s="164"/>
      <c r="H37" s="164"/>
      <c r="I37" s="165">
        <f>'CCE2'!D34+'CCE2'!E34</f>
        <v>8</v>
      </c>
      <c r="J37" s="165">
        <f>'CCE2'!F34+'CCE2'!G34</f>
        <v>7</v>
      </c>
      <c r="K37" s="164"/>
      <c r="L37" s="164"/>
      <c r="M37" s="164"/>
      <c r="N37" s="165">
        <f>'CCE3'!D34</f>
        <v>10</v>
      </c>
      <c r="O37" s="165">
        <f>'CCE3'!E34</f>
        <v>10</v>
      </c>
      <c r="P37" s="165">
        <f>'CCE3'!F34</f>
        <v>9</v>
      </c>
      <c r="Q37" s="165">
        <f>'CCE3'!G34</f>
        <v>9</v>
      </c>
      <c r="R37" s="165">
        <f>'CCE3'!H34</f>
        <v>7</v>
      </c>
      <c r="S37" s="163">
        <f t="shared" si="0"/>
        <v>36</v>
      </c>
      <c r="T37" s="163">
        <f t="shared" si="0"/>
        <v>36</v>
      </c>
      <c r="U37" s="163">
        <f t="shared" si="0"/>
        <v>18</v>
      </c>
      <c r="V37" s="163">
        <f t="shared" si="0"/>
        <v>9</v>
      </c>
      <c r="W37" s="163">
        <f t="shared" si="1"/>
        <v>7</v>
      </c>
      <c r="X37" s="163">
        <f t="shared" si="2"/>
        <v>106</v>
      </c>
    </row>
    <row r="38" spans="1:24" s="161" customFormat="1" ht="15.75">
      <c r="A38" s="160">
        <v>25</v>
      </c>
      <c r="B38" s="158">
        <v>22125</v>
      </c>
      <c r="C38" s="159" t="s">
        <v>148</v>
      </c>
      <c r="D38" s="165">
        <f>'CCE1'!D35+'CCE1'!E35</f>
        <v>17</v>
      </c>
      <c r="E38" s="165">
        <f>'CCE1'!E35+'CCE1'!F35</f>
        <v>17</v>
      </c>
      <c r="F38" s="165">
        <f>'CCE1'!F35+'CCE1'!G35</f>
        <v>8</v>
      </c>
      <c r="G38" s="164"/>
      <c r="H38" s="164"/>
      <c r="I38" s="165">
        <f>'CCE2'!D35+'CCE2'!E35</f>
        <v>8</v>
      </c>
      <c r="J38" s="165">
        <f>'CCE2'!F35+'CCE2'!G35</f>
        <v>9</v>
      </c>
      <c r="K38" s="164"/>
      <c r="L38" s="164"/>
      <c r="M38" s="164"/>
      <c r="N38" s="165">
        <f>'CCE3'!D35</f>
        <v>9</v>
      </c>
      <c r="O38" s="165">
        <f>'CCE3'!E35</f>
        <v>10</v>
      </c>
      <c r="P38" s="165">
        <f>'CCE3'!F35</f>
        <v>10</v>
      </c>
      <c r="Q38" s="165">
        <f>'CCE3'!G35</f>
        <v>8</v>
      </c>
      <c r="R38" s="165">
        <f>'CCE3'!H35</f>
        <v>8</v>
      </c>
      <c r="S38" s="163">
        <f t="shared" si="0"/>
        <v>34</v>
      </c>
      <c r="T38" s="163">
        <f t="shared" si="0"/>
        <v>36</v>
      </c>
      <c r="U38" s="163">
        <f t="shared" si="0"/>
        <v>18</v>
      </c>
      <c r="V38" s="163">
        <f t="shared" si="0"/>
        <v>8</v>
      </c>
      <c r="W38" s="163">
        <f t="shared" si="1"/>
        <v>8</v>
      </c>
      <c r="X38" s="163">
        <f t="shared" si="2"/>
        <v>104</v>
      </c>
    </row>
    <row r="39" spans="1:24" s="161" customFormat="1" ht="15.75">
      <c r="A39" s="160">
        <v>26</v>
      </c>
      <c r="B39" s="158">
        <v>22126</v>
      </c>
      <c r="C39" s="159" t="s">
        <v>149</v>
      </c>
      <c r="D39" s="165">
        <f>'CCE1'!D36+'CCE1'!E36</f>
        <v>19</v>
      </c>
      <c r="E39" s="165">
        <f>'CCE1'!E36+'CCE1'!F36</f>
        <v>19</v>
      </c>
      <c r="F39" s="165">
        <f>'CCE1'!F36+'CCE1'!G36</f>
        <v>9</v>
      </c>
      <c r="G39" s="164"/>
      <c r="H39" s="164"/>
      <c r="I39" s="165">
        <f>'CCE2'!D36+'CCE2'!E36</f>
        <v>7</v>
      </c>
      <c r="J39" s="165">
        <f>'CCE2'!F36+'CCE2'!G36</f>
        <v>8</v>
      </c>
      <c r="K39" s="164"/>
      <c r="L39" s="164"/>
      <c r="M39" s="164"/>
      <c r="N39" s="165">
        <f>'CCE3'!D36</f>
        <v>9</v>
      </c>
      <c r="O39" s="165">
        <f>'CCE3'!E36</f>
        <v>9</v>
      </c>
      <c r="P39" s="165">
        <f>'CCE3'!F36</f>
        <v>9</v>
      </c>
      <c r="Q39" s="165">
        <f>'CCE3'!G36</f>
        <v>10</v>
      </c>
      <c r="R39" s="165">
        <f>'CCE3'!H36</f>
        <v>9</v>
      </c>
      <c r="S39" s="163">
        <f t="shared" si="0"/>
        <v>35</v>
      </c>
      <c r="T39" s="163">
        <f t="shared" si="0"/>
        <v>36</v>
      </c>
      <c r="U39" s="163">
        <f t="shared" si="0"/>
        <v>18</v>
      </c>
      <c r="V39" s="163">
        <f t="shared" si="0"/>
        <v>10</v>
      </c>
      <c r="W39" s="163">
        <f t="shared" si="1"/>
        <v>9</v>
      </c>
      <c r="X39" s="163">
        <f t="shared" si="2"/>
        <v>108</v>
      </c>
    </row>
    <row r="40" spans="1:24" s="161" customFormat="1" ht="15.75">
      <c r="A40" s="160">
        <v>27</v>
      </c>
      <c r="B40" s="158">
        <v>22127</v>
      </c>
      <c r="C40" s="159" t="s">
        <v>150</v>
      </c>
      <c r="D40" s="165">
        <f>'CCE1'!D37+'CCE1'!E37</f>
        <v>18</v>
      </c>
      <c r="E40" s="165">
        <f>'CCE1'!E37+'CCE1'!F37</f>
        <v>18</v>
      </c>
      <c r="F40" s="165">
        <f>'CCE1'!F37+'CCE1'!G37</f>
        <v>8</v>
      </c>
      <c r="G40" s="164"/>
      <c r="H40" s="164"/>
      <c r="I40" s="165">
        <f>'CCE2'!D37+'CCE2'!E37</f>
        <v>8</v>
      </c>
      <c r="J40" s="165">
        <f>'CCE2'!F37+'CCE2'!G37</f>
        <v>8</v>
      </c>
      <c r="K40" s="164"/>
      <c r="L40" s="164"/>
      <c r="M40" s="164"/>
      <c r="N40" s="165">
        <f>'CCE3'!D37</f>
        <v>9</v>
      </c>
      <c r="O40" s="165">
        <f>'CCE3'!E37</f>
        <v>9</v>
      </c>
      <c r="P40" s="165">
        <f>'CCE3'!F37</f>
        <v>9</v>
      </c>
      <c r="Q40" s="165">
        <f>'CCE3'!G37</f>
        <v>9</v>
      </c>
      <c r="R40" s="165">
        <f>'CCE3'!H37</f>
        <v>9</v>
      </c>
      <c r="S40" s="163">
        <f t="shared" si="0"/>
        <v>35</v>
      </c>
      <c r="T40" s="163">
        <f t="shared" si="0"/>
        <v>35</v>
      </c>
      <c r="U40" s="163">
        <f t="shared" si="0"/>
        <v>17</v>
      </c>
      <c r="V40" s="163">
        <f t="shared" si="0"/>
        <v>9</v>
      </c>
      <c r="W40" s="163">
        <f t="shared" si="1"/>
        <v>9</v>
      </c>
      <c r="X40" s="163">
        <f t="shared" si="2"/>
        <v>105</v>
      </c>
    </row>
    <row r="41" spans="1:24" s="161" customFormat="1" ht="15.75">
      <c r="A41" s="160">
        <v>28</v>
      </c>
      <c r="B41" s="158">
        <v>22128</v>
      </c>
      <c r="C41" s="159" t="s">
        <v>151</v>
      </c>
      <c r="D41" s="165">
        <f>'CCE1'!D38+'CCE1'!E38</f>
        <v>19</v>
      </c>
      <c r="E41" s="165">
        <f>'CCE1'!E38+'CCE1'!F38</f>
        <v>20</v>
      </c>
      <c r="F41" s="165">
        <f>'CCE1'!F38+'CCE1'!G38</f>
        <v>10</v>
      </c>
      <c r="G41" s="164"/>
      <c r="H41" s="164"/>
      <c r="I41" s="165">
        <f>'CCE2'!D38+'CCE2'!E38</f>
        <v>8</v>
      </c>
      <c r="J41" s="165">
        <f>'CCE2'!F38+'CCE2'!G38</f>
        <v>8</v>
      </c>
      <c r="K41" s="164"/>
      <c r="L41" s="164"/>
      <c r="M41" s="164"/>
      <c r="N41" s="165">
        <f>'CCE3'!D38</f>
        <v>10</v>
      </c>
      <c r="O41" s="165">
        <f>'CCE3'!E38</f>
        <v>10</v>
      </c>
      <c r="P41" s="165">
        <f>'CCE3'!F38</f>
        <v>8</v>
      </c>
      <c r="Q41" s="165">
        <f>'CCE3'!G38</f>
        <v>8</v>
      </c>
      <c r="R41" s="165">
        <f>'CCE3'!H38</f>
        <v>8</v>
      </c>
      <c r="S41" s="163">
        <f t="shared" si="0"/>
        <v>37</v>
      </c>
      <c r="T41" s="163">
        <f t="shared" si="0"/>
        <v>38</v>
      </c>
      <c r="U41" s="163">
        <f t="shared" si="0"/>
        <v>18</v>
      </c>
      <c r="V41" s="163">
        <f t="shared" si="0"/>
        <v>8</v>
      </c>
      <c r="W41" s="163">
        <f t="shared" si="1"/>
        <v>8</v>
      </c>
      <c r="X41" s="163">
        <f t="shared" si="2"/>
        <v>109</v>
      </c>
    </row>
    <row r="42" spans="1:24" s="161" customFormat="1" ht="15.75">
      <c r="A42" s="160">
        <v>29</v>
      </c>
      <c r="B42" s="158">
        <v>22129</v>
      </c>
      <c r="C42" s="159" t="s">
        <v>152</v>
      </c>
      <c r="D42" s="165">
        <f>'CCE1'!D39+'CCE1'!E39</f>
        <v>16</v>
      </c>
      <c r="E42" s="165">
        <f>'CCE1'!E39+'CCE1'!F39</f>
        <v>16</v>
      </c>
      <c r="F42" s="165">
        <f>'CCE1'!F39+'CCE1'!G39</f>
        <v>8</v>
      </c>
      <c r="G42" s="164"/>
      <c r="H42" s="164"/>
      <c r="I42" s="165">
        <f>'CCE2'!D39+'CCE2'!E39</f>
        <v>10</v>
      </c>
      <c r="J42" s="165">
        <f>'CCE2'!F39+'CCE2'!G39</f>
        <v>8</v>
      </c>
      <c r="K42" s="164"/>
      <c r="L42" s="164"/>
      <c r="M42" s="164"/>
      <c r="N42" s="165">
        <f>'CCE3'!D39</f>
        <v>9</v>
      </c>
      <c r="O42" s="165">
        <f>'CCE3'!E39</f>
        <v>10</v>
      </c>
      <c r="P42" s="165">
        <f>'CCE3'!F39</f>
        <v>9</v>
      </c>
      <c r="Q42" s="165">
        <f>'CCE3'!G39</f>
        <v>8</v>
      </c>
      <c r="R42" s="165">
        <f>'CCE3'!H39</f>
        <v>9</v>
      </c>
      <c r="S42" s="163">
        <f t="shared" si="0"/>
        <v>35</v>
      </c>
      <c r="T42" s="163">
        <f t="shared" si="0"/>
        <v>34</v>
      </c>
      <c r="U42" s="163">
        <f t="shared" si="0"/>
        <v>17</v>
      </c>
      <c r="V42" s="163">
        <f t="shared" si="0"/>
        <v>8</v>
      </c>
      <c r="W42" s="163">
        <f t="shared" si="1"/>
        <v>9</v>
      </c>
      <c r="X42" s="163">
        <f t="shared" si="2"/>
        <v>103</v>
      </c>
    </row>
    <row r="43" spans="1:24" s="161" customFormat="1" ht="15.75">
      <c r="A43" s="160">
        <v>30</v>
      </c>
      <c r="B43" s="158">
        <v>22130</v>
      </c>
      <c r="C43" s="159" t="s">
        <v>153</v>
      </c>
      <c r="D43" s="165">
        <f>'CCE1'!D40+'CCE1'!E40</f>
        <v>16</v>
      </c>
      <c r="E43" s="165">
        <f>'CCE1'!E40+'CCE1'!F40</f>
        <v>17</v>
      </c>
      <c r="F43" s="165">
        <f>'CCE1'!F40+'CCE1'!G40</f>
        <v>9</v>
      </c>
      <c r="G43" s="164"/>
      <c r="H43" s="164"/>
      <c r="I43" s="165">
        <f>'CCE2'!D40+'CCE2'!E40</f>
        <v>10</v>
      </c>
      <c r="J43" s="165">
        <f>'CCE2'!F40+'CCE2'!G40</f>
        <v>8</v>
      </c>
      <c r="K43" s="164"/>
      <c r="L43" s="164"/>
      <c r="M43" s="164"/>
      <c r="N43" s="165">
        <f>'CCE3'!D40</f>
        <v>8</v>
      </c>
      <c r="O43" s="165">
        <f>'CCE3'!E40</f>
        <v>8</v>
      </c>
      <c r="P43" s="165">
        <f>'CCE3'!F40</f>
        <v>10</v>
      </c>
      <c r="Q43" s="165">
        <f>'CCE3'!G40</f>
        <v>8</v>
      </c>
      <c r="R43" s="165">
        <f>'CCE3'!H40</f>
        <v>9</v>
      </c>
      <c r="S43" s="163">
        <f t="shared" si="0"/>
        <v>34</v>
      </c>
      <c r="T43" s="163">
        <f t="shared" si="0"/>
        <v>33</v>
      </c>
      <c r="U43" s="163">
        <f t="shared" si="0"/>
        <v>19</v>
      </c>
      <c r="V43" s="163">
        <f t="shared" si="0"/>
        <v>8</v>
      </c>
      <c r="W43" s="163">
        <f t="shared" si="1"/>
        <v>9</v>
      </c>
      <c r="X43" s="163">
        <f t="shared" si="2"/>
        <v>103</v>
      </c>
    </row>
    <row r="44" spans="1:24" s="161" customFormat="1" ht="15.75">
      <c r="A44" s="160">
        <v>31</v>
      </c>
      <c r="B44" s="158">
        <v>22131</v>
      </c>
      <c r="C44" s="159" t="s">
        <v>154</v>
      </c>
      <c r="D44" s="165">
        <f>'CCE1'!D41+'CCE1'!E41</f>
        <v>19</v>
      </c>
      <c r="E44" s="165">
        <f>'CCE1'!E41+'CCE1'!F41</f>
        <v>17</v>
      </c>
      <c r="F44" s="165">
        <f>'CCE1'!F41+'CCE1'!G41</f>
        <v>8</v>
      </c>
      <c r="G44" s="164"/>
      <c r="H44" s="164"/>
      <c r="I44" s="165">
        <f>'CCE2'!D41+'CCE2'!E41</f>
        <v>9</v>
      </c>
      <c r="J44" s="165">
        <f>'CCE2'!F41+'CCE2'!G41</f>
        <v>8</v>
      </c>
      <c r="K44" s="164"/>
      <c r="L44" s="164"/>
      <c r="M44" s="164"/>
      <c r="N44" s="165">
        <f>'CCE3'!D41</f>
        <v>6</v>
      </c>
      <c r="O44" s="165">
        <f>'CCE3'!E41</f>
        <v>5</v>
      </c>
      <c r="P44" s="165">
        <f>'CCE3'!F41</f>
        <v>8</v>
      </c>
      <c r="Q44" s="165">
        <f>'CCE3'!G41</f>
        <v>8</v>
      </c>
      <c r="R44" s="165">
        <f>'CCE3'!H41</f>
        <v>8</v>
      </c>
      <c r="S44" s="163">
        <f t="shared" si="0"/>
        <v>34</v>
      </c>
      <c r="T44" s="163">
        <f t="shared" si="0"/>
        <v>30</v>
      </c>
      <c r="U44" s="163">
        <f t="shared" si="0"/>
        <v>16</v>
      </c>
      <c r="V44" s="163">
        <f t="shared" si="0"/>
        <v>8</v>
      </c>
      <c r="W44" s="163">
        <f t="shared" si="1"/>
        <v>8</v>
      </c>
      <c r="X44" s="163">
        <f t="shared" si="2"/>
        <v>96</v>
      </c>
    </row>
    <row r="45" spans="1:24" s="161" customFormat="1" ht="15.75">
      <c r="A45" s="160">
        <v>32</v>
      </c>
      <c r="B45" s="158">
        <v>22132</v>
      </c>
      <c r="C45" s="159" t="s">
        <v>155</v>
      </c>
      <c r="D45" s="165">
        <f>'CCE1'!D42+'CCE1'!E42</f>
        <v>17</v>
      </c>
      <c r="E45" s="165">
        <f>'CCE1'!E42+'CCE1'!F42</f>
        <v>19</v>
      </c>
      <c r="F45" s="165">
        <f>'CCE1'!F42+'CCE1'!G42</f>
        <v>10</v>
      </c>
      <c r="G45" s="164"/>
      <c r="H45" s="164"/>
      <c r="I45" s="165">
        <f>'CCE2'!D42+'CCE2'!E42</f>
        <v>9</v>
      </c>
      <c r="J45" s="165">
        <f>'CCE2'!F42+'CCE2'!G42</f>
        <v>10</v>
      </c>
      <c r="K45" s="164"/>
      <c r="L45" s="164"/>
      <c r="M45" s="164"/>
      <c r="N45" s="165">
        <f>'CCE3'!D42</f>
        <v>9</v>
      </c>
      <c r="O45" s="165">
        <f>'CCE3'!E42</f>
        <v>9</v>
      </c>
      <c r="P45" s="165">
        <f>'CCE3'!F42</f>
        <v>8</v>
      </c>
      <c r="Q45" s="165">
        <f>'CCE3'!G42</f>
        <v>8</v>
      </c>
      <c r="R45" s="165">
        <f>'CCE3'!H42</f>
        <v>6</v>
      </c>
      <c r="S45" s="163">
        <f t="shared" si="0"/>
        <v>35</v>
      </c>
      <c r="T45" s="163">
        <f t="shared" si="0"/>
        <v>38</v>
      </c>
      <c r="U45" s="163">
        <f t="shared" si="0"/>
        <v>18</v>
      </c>
      <c r="V45" s="163">
        <f t="shared" si="0"/>
        <v>8</v>
      </c>
      <c r="W45" s="163">
        <f t="shared" si="1"/>
        <v>6</v>
      </c>
      <c r="X45" s="163">
        <f t="shared" si="2"/>
        <v>105</v>
      </c>
    </row>
    <row r="46" spans="1:24" s="161" customFormat="1" ht="15.75">
      <c r="A46" s="160">
        <v>33</v>
      </c>
      <c r="B46" s="158">
        <v>22133</v>
      </c>
      <c r="C46" s="159" t="s">
        <v>156</v>
      </c>
      <c r="D46" s="165">
        <f>'CCE1'!D43+'CCE1'!E43</f>
        <v>18</v>
      </c>
      <c r="E46" s="165">
        <f>'CCE1'!E43+'CCE1'!F43</f>
        <v>20</v>
      </c>
      <c r="F46" s="165">
        <f>'CCE1'!F43+'CCE1'!G43</f>
        <v>10</v>
      </c>
      <c r="G46" s="164"/>
      <c r="H46" s="164"/>
      <c r="I46" s="165">
        <f>'CCE2'!D43+'CCE2'!E43</f>
        <v>9</v>
      </c>
      <c r="J46" s="165">
        <f>'CCE2'!F43+'CCE2'!G43</f>
        <v>8</v>
      </c>
      <c r="K46" s="164"/>
      <c r="L46" s="164"/>
      <c r="M46" s="164"/>
      <c r="N46" s="165">
        <f>'CCE3'!D43</f>
        <v>9</v>
      </c>
      <c r="O46" s="165">
        <f>'CCE3'!E43</f>
        <v>8</v>
      </c>
      <c r="P46" s="165">
        <f>'CCE3'!F43</f>
        <v>9</v>
      </c>
      <c r="Q46" s="165">
        <f>'CCE3'!G43</f>
        <v>5</v>
      </c>
      <c r="R46" s="165">
        <f>'CCE3'!H43</f>
        <v>8</v>
      </c>
      <c r="S46" s="163">
        <f t="shared" si="0"/>
        <v>36</v>
      </c>
      <c r="T46" s="163">
        <f t="shared" si="0"/>
        <v>36</v>
      </c>
      <c r="U46" s="163">
        <f t="shared" si="0"/>
        <v>19</v>
      </c>
      <c r="V46" s="163">
        <f t="shared" si="0"/>
        <v>5</v>
      </c>
      <c r="W46" s="163">
        <f t="shared" si="1"/>
        <v>8</v>
      </c>
      <c r="X46" s="163">
        <f t="shared" si="2"/>
        <v>104</v>
      </c>
    </row>
    <row r="47" spans="1:24" s="161" customFormat="1" ht="15.75">
      <c r="A47" s="160">
        <v>34</v>
      </c>
      <c r="B47" s="158">
        <v>22134</v>
      </c>
      <c r="C47" s="159" t="s">
        <v>157</v>
      </c>
      <c r="D47" s="165">
        <f>'CCE1'!D44+'CCE1'!E44</f>
        <v>17</v>
      </c>
      <c r="E47" s="165">
        <f>'CCE1'!E44+'CCE1'!F44</f>
        <v>17</v>
      </c>
      <c r="F47" s="165">
        <f>'CCE1'!F44+'CCE1'!G44</f>
        <v>8</v>
      </c>
      <c r="G47" s="164"/>
      <c r="H47" s="164"/>
      <c r="I47" s="165">
        <f>'CCE2'!D44+'CCE2'!E44</f>
        <v>8</v>
      </c>
      <c r="J47" s="165">
        <f>'CCE2'!F44+'CCE2'!G44</f>
        <v>8</v>
      </c>
      <c r="K47" s="164"/>
      <c r="L47" s="164"/>
      <c r="M47" s="164"/>
      <c r="N47" s="165">
        <f>'CCE3'!D44</f>
        <v>10</v>
      </c>
      <c r="O47" s="165">
        <f>'CCE3'!E44</f>
        <v>9</v>
      </c>
      <c r="P47" s="165">
        <f>'CCE3'!F44</f>
        <v>9</v>
      </c>
      <c r="Q47" s="165">
        <f>'CCE3'!G44</f>
        <v>8</v>
      </c>
      <c r="R47" s="165">
        <f>'CCE3'!H44</f>
        <v>8</v>
      </c>
      <c r="S47" s="163">
        <f t="shared" si="0"/>
        <v>35</v>
      </c>
      <c r="T47" s="163">
        <f t="shared" si="0"/>
        <v>34</v>
      </c>
      <c r="U47" s="163">
        <f t="shared" si="0"/>
        <v>17</v>
      </c>
      <c r="V47" s="163">
        <f t="shared" si="0"/>
        <v>8</v>
      </c>
      <c r="W47" s="163">
        <f t="shared" si="1"/>
        <v>8</v>
      </c>
      <c r="X47" s="163">
        <f t="shared" si="2"/>
        <v>102</v>
      </c>
    </row>
    <row r="48" spans="1:24" s="161" customFormat="1" ht="15.75">
      <c r="A48" s="160">
        <v>35</v>
      </c>
      <c r="B48" s="158">
        <v>22135</v>
      </c>
      <c r="C48" s="159" t="s">
        <v>158</v>
      </c>
      <c r="D48" s="165">
        <f>'CCE1'!D45+'CCE1'!E45</f>
        <v>16</v>
      </c>
      <c r="E48" s="165">
        <f>'CCE1'!E45+'CCE1'!F45</f>
        <v>16</v>
      </c>
      <c r="F48" s="165">
        <f>'CCE1'!F45+'CCE1'!G45</f>
        <v>8</v>
      </c>
      <c r="G48" s="164"/>
      <c r="H48" s="164"/>
      <c r="I48" s="165">
        <f>'CCE2'!D45+'CCE2'!E45</f>
        <v>9</v>
      </c>
      <c r="J48" s="165">
        <f>'CCE2'!F45+'CCE2'!G45</f>
        <v>6</v>
      </c>
      <c r="K48" s="164"/>
      <c r="L48" s="164"/>
      <c r="M48" s="164"/>
      <c r="N48" s="165">
        <f>'CCE3'!D45</f>
        <v>8</v>
      </c>
      <c r="O48" s="165">
        <f>'CCE3'!E45</f>
        <v>9</v>
      </c>
      <c r="P48" s="165">
        <f>'CCE3'!F45</f>
        <v>8</v>
      </c>
      <c r="Q48" s="165">
        <f>'CCE3'!G45</f>
        <v>9</v>
      </c>
      <c r="R48" s="165">
        <f>'CCE3'!H45</f>
        <v>7</v>
      </c>
      <c r="S48" s="163">
        <f t="shared" si="0"/>
        <v>33</v>
      </c>
      <c r="T48" s="163">
        <f t="shared" si="0"/>
        <v>31</v>
      </c>
      <c r="U48" s="163">
        <f t="shared" si="0"/>
        <v>16</v>
      </c>
      <c r="V48" s="163">
        <f t="shared" si="0"/>
        <v>9</v>
      </c>
      <c r="W48" s="163">
        <f t="shared" si="1"/>
        <v>7</v>
      </c>
      <c r="X48" s="163">
        <f t="shared" si="2"/>
        <v>96</v>
      </c>
    </row>
    <row r="49" spans="1:24" s="161" customFormat="1" ht="15.75">
      <c r="A49" s="160">
        <v>36</v>
      </c>
      <c r="B49" s="158">
        <v>22136</v>
      </c>
      <c r="C49" s="159" t="s">
        <v>159</v>
      </c>
      <c r="D49" s="165">
        <f>'CCE1'!D46+'CCE1'!E46</f>
        <v>18</v>
      </c>
      <c r="E49" s="165">
        <f>'CCE1'!E46+'CCE1'!F46</f>
        <v>18</v>
      </c>
      <c r="F49" s="165">
        <f>'CCE1'!F46+'CCE1'!G46</f>
        <v>10</v>
      </c>
      <c r="G49" s="164"/>
      <c r="H49" s="164"/>
      <c r="I49" s="165">
        <f>'CCE2'!D46+'CCE2'!E46</f>
        <v>7</v>
      </c>
      <c r="J49" s="165">
        <f>'CCE2'!F46+'CCE2'!G46</f>
        <v>7</v>
      </c>
      <c r="K49" s="164"/>
      <c r="L49" s="164"/>
      <c r="M49" s="164"/>
      <c r="N49" s="165">
        <f>'CCE3'!D46</f>
        <v>9</v>
      </c>
      <c r="O49" s="165">
        <f>'CCE3'!E46</f>
        <v>8</v>
      </c>
      <c r="P49" s="165">
        <f>'CCE3'!F46</f>
        <v>8</v>
      </c>
      <c r="Q49" s="165">
        <f>'CCE3'!G46</f>
        <v>9</v>
      </c>
      <c r="R49" s="165">
        <f>'CCE3'!H46</f>
        <v>8</v>
      </c>
      <c r="S49" s="163">
        <f t="shared" si="0"/>
        <v>34</v>
      </c>
      <c r="T49" s="163">
        <f t="shared" si="0"/>
        <v>33</v>
      </c>
      <c r="U49" s="163">
        <f t="shared" si="0"/>
        <v>18</v>
      </c>
      <c r="V49" s="163">
        <f t="shared" si="0"/>
        <v>9</v>
      </c>
      <c r="W49" s="163">
        <f t="shared" si="1"/>
        <v>8</v>
      </c>
      <c r="X49" s="163">
        <f t="shared" si="2"/>
        <v>102</v>
      </c>
    </row>
    <row r="50" spans="1:24" s="161" customFormat="1" ht="15.75">
      <c r="A50" s="160">
        <v>37</v>
      </c>
      <c r="B50" s="158">
        <v>22137</v>
      </c>
      <c r="C50" s="159" t="s">
        <v>160</v>
      </c>
      <c r="D50" s="165">
        <f>'CCE1'!D47+'CCE1'!E47</f>
        <v>17</v>
      </c>
      <c r="E50" s="165">
        <f>'CCE1'!E47+'CCE1'!F47</f>
        <v>17</v>
      </c>
      <c r="F50" s="165">
        <f>'CCE1'!F47+'CCE1'!G47</f>
        <v>9</v>
      </c>
      <c r="G50" s="164"/>
      <c r="H50" s="164"/>
      <c r="I50" s="165">
        <f>'CCE2'!D47+'CCE2'!E47</f>
        <v>8</v>
      </c>
      <c r="J50" s="165">
        <f>'CCE2'!F47+'CCE2'!G47</f>
        <v>6</v>
      </c>
      <c r="K50" s="164"/>
      <c r="L50" s="164"/>
      <c r="M50" s="164"/>
      <c r="N50" s="165">
        <f>'CCE3'!D47</f>
        <v>9</v>
      </c>
      <c r="O50" s="165">
        <f>'CCE3'!E47</f>
        <v>8</v>
      </c>
      <c r="P50" s="165">
        <f>'CCE3'!F47</f>
        <v>8</v>
      </c>
      <c r="Q50" s="165">
        <f>'CCE3'!G47</f>
        <v>5</v>
      </c>
      <c r="R50" s="165">
        <f>'CCE3'!H47</f>
        <v>5</v>
      </c>
      <c r="S50" s="163">
        <f t="shared" si="0"/>
        <v>34</v>
      </c>
      <c r="T50" s="163">
        <f t="shared" si="0"/>
        <v>31</v>
      </c>
      <c r="U50" s="163">
        <f t="shared" si="0"/>
        <v>17</v>
      </c>
      <c r="V50" s="163">
        <f t="shared" si="0"/>
        <v>5</v>
      </c>
      <c r="W50" s="163">
        <f t="shared" si="1"/>
        <v>5</v>
      </c>
      <c r="X50" s="163">
        <f t="shared" si="2"/>
        <v>92</v>
      </c>
    </row>
    <row r="51" spans="1:24" s="161" customFormat="1" ht="15.75">
      <c r="A51" s="160">
        <v>38</v>
      </c>
      <c r="B51" s="158">
        <v>22138</v>
      </c>
      <c r="C51" s="159" t="s">
        <v>161</v>
      </c>
      <c r="D51" s="165">
        <f>'CCE1'!D48+'CCE1'!E48</f>
        <v>17</v>
      </c>
      <c r="E51" s="165">
        <f>'CCE1'!E48+'CCE1'!F48</f>
        <v>18</v>
      </c>
      <c r="F51" s="165">
        <f>'CCE1'!F48+'CCE1'!G48</f>
        <v>9</v>
      </c>
      <c r="G51" s="164"/>
      <c r="H51" s="164"/>
      <c r="I51" s="165">
        <f>'CCE2'!D48+'CCE2'!E48</f>
        <v>10</v>
      </c>
      <c r="J51" s="165">
        <f>'CCE2'!F48+'CCE2'!G48</f>
        <v>6</v>
      </c>
      <c r="K51" s="164"/>
      <c r="L51" s="164"/>
      <c r="M51" s="164"/>
      <c r="N51" s="165">
        <f>'CCE3'!D48</f>
        <v>7</v>
      </c>
      <c r="O51" s="165">
        <f>'CCE3'!E48</f>
        <v>5</v>
      </c>
      <c r="P51" s="165">
        <f>'CCE3'!F48</f>
        <v>9</v>
      </c>
      <c r="Q51" s="165">
        <f>'CCE3'!G48</f>
        <v>8</v>
      </c>
      <c r="R51" s="165">
        <f>'CCE3'!H48</f>
        <v>9</v>
      </c>
      <c r="S51" s="163">
        <f t="shared" si="0"/>
        <v>34</v>
      </c>
      <c r="T51" s="163">
        <f t="shared" si="0"/>
        <v>29</v>
      </c>
      <c r="U51" s="163">
        <f t="shared" si="0"/>
        <v>18</v>
      </c>
      <c r="V51" s="163">
        <f t="shared" si="0"/>
        <v>8</v>
      </c>
      <c r="W51" s="163">
        <f t="shared" si="1"/>
        <v>9</v>
      </c>
      <c r="X51" s="163">
        <f t="shared" si="2"/>
        <v>98</v>
      </c>
    </row>
    <row r="52" spans="1:24" s="161" customFormat="1" ht="15.75">
      <c r="A52" s="160">
        <v>39</v>
      </c>
      <c r="B52" s="158">
        <v>22139</v>
      </c>
      <c r="C52" s="159" t="s">
        <v>162</v>
      </c>
      <c r="D52" s="165">
        <f>'CCE1'!D49+'CCE1'!E49</f>
        <v>16</v>
      </c>
      <c r="E52" s="165">
        <f>'CCE1'!E49+'CCE1'!F49</f>
        <v>16</v>
      </c>
      <c r="F52" s="165">
        <f>'CCE1'!F49+'CCE1'!G49</f>
        <v>8</v>
      </c>
      <c r="G52" s="164"/>
      <c r="H52" s="164"/>
      <c r="I52" s="165">
        <f>'CCE2'!D49+'CCE2'!E49</f>
        <v>9</v>
      </c>
      <c r="J52" s="165">
        <f>'CCE2'!F49+'CCE2'!G49</f>
        <v>8</v>
      </c>
      <c r="K52" s="164"/>
      <c r="L52" s="164"/>
      <c r="M52" s="164"/>
      <c r="N52" s="165">
        <f>'CCE3'!D49</f>
        <v>8</v>
      </c>
      <c r="O52" s="165">
        <f>'CCE3'!E49</f>
        <v>8</v>
      </c>
      <c r="P52" s="165">
        <f>'CCE3'!F49</f>
        <v>9</v>
      </c>
      <c r="Q52" s="165">
        <f>'CCE3'!G49</f>
        <v>8</v>
      </c>
      <c r="R52" s="165">
        <f>'CCE3'!H49</f>
        <v>4</v>
      </c>
      <c r="S52" s="163">
        <f t="shared" si="0"/>
        <v>33</v>
      </c>
      <c r="T52" s="163">
        <f t="shared" si="0"/>
        <v>32</v>
      </c>
      <c r="U52" s="163">
        <f t="shared" si="0"/>
        <v>17</v>
      </c>
      <c r="V52" s="163">
        <f t="shared" si="0"/>
        <v>8</v>
      </c>
      <c r="W52" s="163">
        <f t="shared" si="1"/>
        <v>4</v>
      </c>
      <c r="X52" s="163">
        <f t="shared" si="2"/>
        <v>94</v>
      </c>
    </row>
    <row r="53" spans="1:24" s="161" customFormat="1" ht="15.75">
      <c r="A53" s="160">
        <v>40</v>
      </c>
      <c r="B53" s="158">
        <v>22140</v>
      </c>
      <c r="C53" s="159" t="s">
        <v>163</v>
      </c>
      <c r="D53" s="165">
        <f>'CCE1'!D50+'CCE1'!E50</f>
        <v>8</v>
      </c>
      <c r="E53" s="165">
        <f>'CCE1'!E50+'CCE1'!F50</f>
        <v>10</v>
      </c>
      <c r="F53" s="165">
        <f>'CCE1'!F50+'CCE1'!G50</f>
        <v>6</v>
      </c>
      <c r="G53" s="164"/>
      <c r="H53" s="164"/>
      <c r="I53" s="165">
        <f>'CCE2'!D50+'CCE2'!E50</f>
        <v>6</v>
      </c>
      <c r="J53" s="165">
        <f>'CCE2'!F50+'CCE2'!G50</f>
        <v>8</v>
      </c>
      <c r="K53" s="164"/>
      <c r="L53" s="164"/>
      <c r="M53" s="164"/>
      <c r="N53" s="165">
        <f>'CCE3'!D50</f>
        <v>8</v>
      </c>
      <c r="O53" s="165">
        <f>'CCE3'!E50</f>
        <v>7</v>
      </c>
      <c r="P53" s="165">
        <f>'CCE3'!F50</f>
        <v>8</v>
      </c>
      <c r="Q53" s="165">
        <f>'CCE3'!G50</f>
        <v>6</v>
      </c>
      <c r="R53" s="165">
        <f>'CCE3'!H50</f>
        <v>9</v>
      </c>
      <c r="S53" s="163">
        <f t="shared" si="0"/>
        <v>22</v>
      </c>
      <c r="T53" s="163">
        <f t="shared" si="0"/>
        <v>25</v>
      </c>
      <c r="U53" s="163">
        <f t="shared" si="0"/>
        <v>14</v>
      </c>
      <c r="V53" s="163">
        <f t="shared" si="0"/>
        <v>6</v>
      </c>
      <c r="W53" s="163">
        <f t="shared" si="1"/>
        <v>9</v>
      </c>
      <c r="X53" s="163">
        <f t="shared" si="2"/>
        <v>76</v>
      </c>
    </row>
    <row r="54" spans="1:24" s="161" customFormat="1" ht="15.75">
      <c r="A54" s="160">
        <v>41</v>
      </c>
      <c r="B54" s="158">
        <v>22141</v>
      </c>
      <c r="C54" s="159" t="s">
        <v>164</v>
      </c>
      <c r="D54" s="165">
        <f>'CCE1'!D51+'CCE1'!E51</f>
        <v>19</v>
      </c>
      <c r="E54" s="165">
        <f>'CCE1'!E51+'CCE1'!F51</f>
        <v>18</v>
      </c>
      <c r="F54" s="165">
        <f>'CCE1'!F51+'CCE1'!G51</f>
        <v>8</v>
      </c>
      <c r="G54" s="164"/>
      <c r="H54" s="164"/>
      <c r="I54" s="165">
        <f>'CCE2'!D51+'CCE2'!E51</f>
        <v>7</v>
      </c>
      <c r="J54" s="165">
        <f>'CCE2'!F51+'CCE2'!G51</f>
        <v>9</v>
      </c>
      <c r="K54" s="164"/>
      <c r="L54" s="164"/>
      <c r="M54" s="164"/>
      <c r="N54" s="165">
        <f>'CCE3'!D51</f>
        <v>8</v>
      </c>
      <c r="O54" s="165">
        <f>'CCE3'!E51</f>
        <v>8</v>
      </c>
      <c r="P54" s="165">
        <f>'CCE3'!F51</f>
        <v>7</v>
      </c>
      <c r="Q54" s="165">
        <f>'CCE3'!G51</f>
        <v>8</v>
      </c>
      <c r="R54" s="165">
        <f>'CCE3'!H51</f>
        <v>5</v>
      </c>
      <c r="S54" s="163">
        <f t="shared" si="0"/>
        <v>34</v>
      </c>
      <c r="T54" s="163">
        <f t="shared" si="0"/>
        <v>35</v>
      </c>
      <c r="U54" s="163">
        <f t="shared" si="0"/>
        <v>15</v>
      </c>
      <c r="V54" s="163">
        <f t="shared" si="0"/>
        <v>8</v>
      </c>
      <c r="W54" s="163">
        <f t="shared" si="1"/>
        <v>5</v>
      </c>
      <c r="X54" s="163">
        <f t="shared" si="2"/>
        <v>97</v>
      </c>
    </row>
    <row r="55" spans="1:24" s="161" customFormat="1" ht="15.75">
      <c r="A55" s="160">
        <v>42</v>
      </c>
      <c r="B55" s="158">
        <v>22142</v>
      </c>
      <c r="C55" s="159" t="s">
        <v>165</v>
      </c>
      <c r="D55" s="165">
        <f>'CCE1'!D52+'CCE1'!E52</f>
        <v>16</v>
      </c>
      <c r="E55" s="165">
        <f>'CCE1'!E52+'CCE1'!F52</f>
        <v>17</v>
      </c>
      <c r="F55" s="165">
        <f>'CCE1'!F52+'CCE1'!G52</f>
        <v>9</v>
      </c>
      <c r="G55" s="164"/>
      <c r="H55" s="164"/>
      <c r="I55" s="165">
        <f>'CCE2'!D52+'CCE2'!E52</f>
        <v>9</v>
      </c>
      <c r="J55" s="165">
        <f>'CCE2'!F52+'CCE2'!G52</f>
        <v>10</v>
      </c>
      <c r="K55" s="164"/>
      <c r="L55" s="164"/>
      <c r="M55" s="164"/>
      <c r="N55" s="165">
        <f>'CCE3'!D52</f>
        <v>9</v>
      </c>
      <c r="O55" s="165">
        <f>'CCE3'!E52</f>
        <v>8</v>
      </c>
      <c r="P55" s="165">
        <f>'CCE3'!F52</f>
        <v>8</v>
      </c>
      <c r="Q55" s="165">
        <f>'CCE3'!G52</f>
        <v>9</v>
      </c>
      <c r="R55" s="165">
        <f>'CCE3'!H52</f>
        <v>8</v>
      </c>
      <c r="S55" s="163">
        <f t="shared" si="0"/>
        <v>34</v>
      </c>
      <c r="T55" s="163">
        <f t="shared" si="0"/>
        <v>35</v>
      </c>
      <c r="U55" s="163">
        <f t="shared" si="0"/>
        <v>17</v>
      </c>
      <c r="V55" s="163">
        <f t="shared" si="0"/>
        <v>9</v>
      </c>
      <c r="W55" s="163">
        <f t="shared" si="1"/>
        <v>8</v>
      </c>
      <c r="X55" s="163">
        <f t="shared" si="2"/>
        <v>103</v>
      </c>
    </row>
    <row r="56" spans="1:24" s="161" customFormat="1" ht="15.75">
      <c r="A56" s="160">
        <v>43</v>
      </c>
      <c r="B56" s="158">
        <v>22143</v>
      </c>
      <c r="C56" s="159" t="s">
        <v>166</v>
      </c>
      <c r="D56" s="165">
        <f>'CCE1'!D53+'CCE1'!E53</f>
        <v>17</v>
      </c>
      <c r="E56" s="165">
        <f>'CCE1'!E53+'CCE1'!F53</f>
        <v>17</v>
      </c>
      <c r="F56" s="165">
        <f>'CCE1'!F53+'CCE1'!G53</f>
        <v>8</v>
      </c>
      <c r="G56" s="164"/>
      <c r="H56" s="164"/>
      <c r="I56" s="165">
        <f>'CCE2'!D53+'CCE2'!E53</f>
        <v>10</v>
      </c>
      <c r="J56" s="165">
        <f>'CCE2'!F53+'CCE2'!G53</f>
        <v>8</v>
      </c>
      <c r="K56" s="164"/>
      <c r="L56" s="164"/>
      <c r="M56" s="164"/>
      <c r="N56" s="165">
        <f>'CCE3'!D53</f>
        <v>9</v>
      </c>
      <c r="O56" s="165">
        <f>'CCE3'!E53</f>
        <v>8</v>
      </c>
      <c r="P56" s="165">
        <f>'CCE3'!F53</f>
        <v>7</v>
      </c>
      <c r="Q56" s="165">
        <f>'CCE3'!G53</f>
        <v>8</v>
      </c>
      <c r="R56" s="165">
        <f>'CCE3'!H53</f>
        <v>9</v>
      </c>
      <c r="S56" s="163">
        <f t="shared" si="0"/>
        <v>36</v>
      </c>
      <c r="T56" s="163">
        <f t="shared" si="0"/>
        <v>33</v>
      </c>
      <c r="U56" s="163">
        <f t="shared" si="0"/>
        <v>15</v>
      </c>
      <c r="V56" s="163">
        <f t="shared" si="0"/>
        <v>8</v>
      </c>
      <c r="W56" s="163">
        <f t="shared" si="1"/>
        <v>9</v>
      </c>
      <c r="X56" s="163">
        <f t="shared" si="2"/>
        <v>101</v>
      </c>
    </row>
    <row r="57" spans="1:24" s="161" customFormat="1" ht="15.75">
      <c r="A57" s="160">
        <v>44</v>
      </c>
      <c r="B57" s="158">
        <v>22144</v>
      </c>
      <c r="C57" s="159" t="s">
        <v>167</v>
      </c>
      <c r="D57" s="165">
        <f>'CCE1'!D54+'CCE1'!E54</f>
        <v>19</v>
      </c>
      <c r="E57" s="165">
        <f>'CCE1'!E54+'CCE1'!F54</f>
        <v>18</v>
      </c>
      <c r="F57" s="165">
        <f>'CCE1'!F54+'CCE1'!G54</f>
        <v>8</v>
      </c>
      <c r="G57" s="164"/>
      <c r="H57" s="164"/>
      <c r="I57" s="165">
        <f>'CCE2'!D54+'CCE2'!E54</f>
        <v>9</v>
      </c>
      <c r="J57" s="165">
        <f>'CCE2'!F54+'CCE2'!G54</f>
        <v>9</v>
      </c>
      <c r="K57" s="164"/>
      <c r="L57" s="164"/>
      <c r="M57" s="164"/>
      <c r="N57" s="165">
        <f>'CCE3'!D54</f>
        <v>7</v>
      </c>
      <c r="O57" s="165">
        <f>'CCE3'!E54</f>
        <v>9</v>
      </c>
      <c r="P57" s="165">
        <f>'CCE3'!F54</f>
        <v>7</v>
      </c>
      <c r="Q57" s="165">
        <f>'CCE3'!G54</f>
        <v>8</v>
      </c>
      <c r="R57" s="165">
        <f>'CCE3'!H54</f>
        <v>6</v>
      </c>
      <c r="S57" s="163">
        <f t="shared" si="0"/>
        <v>35</v>
      </c>
      <c r="T57" s="163">
        <f t="shared" si="0"/>
        <v>36</v>
      </c>
      <c r="U57" s="163">
        <f t="shared" si="0"/>
        <v>15</v>
      </c>
      <c r="V57" s="163">
        <f t="shared" si="0"/>
        <v>8</v>
      </c>
      <c r="W57" s="163">
        <f t="shared" si="1"/>
        <v>6</v>
      </c>
      <c r="X57" s="163">
        <f t="shared" si="2"/>
        <v>100</v>
      </c>
    </row>
    <row r="58" spans="1:24" s="161" customFormat="1" ht="15.75">
      <c r="A58" s="160">
        <v>45</v>
      </c>
      <c r="B58" s="158">
        <v>22145</v>
      </c>
      <c r="C58" s="159" t="s">
        <v>168</v>
      </c>
      <c r="D58" s="165">
        <f>'CCE1'!D55+'CCE1'!E55</f>
        <v>13</v>
      </c>
      <c r="E58" s="165">
        <f>'CCE1'!E55+'CCE1'!F55</f>
        <v>13</v>
      </c>
      <c r="F58" s="165">
        <f>'CCE1'!F55+'CCE1'!G55</f>
        <v>8</v>
      </c>
      <c r="G58" s="164"/>
      <c r="H58" s="164"/>
      <c r="I58" s="165">
        <f>'CCE2'!D55+'CCE2'!E55</f>
        <v>6</v>
      </c>
      <c r="J58" s="165">
        <f>'CCE2'!F55+'CCE2'!G55</f>
        <v>9</v>
      </c>
      <c r="K58" s="164"/>
      <c r="L58" s="164"/>
      <c r="M58" s="164"/>
      <c r="N58" s="165">
        <f>'CCE3'!D55</f>
        <v>8</v>
      </c>
      <c r="O58" s="165">
        <f>'CCE3'!E55</f>
        <v>10</v>
      </c>
      <c r="P58" s="165">
        <f>'CCE3'!F55</f>
        <v>8</v>
      </c>
      <c r="Q58" s="165">
        <f>'CCE3'!G55</f>
        <v>7</v>
      </c>
      <c r="R58" s="165">
        <f>'CCE3'!H55</f>
        <v>9</v>
      </c>
      <c r="S58" s="163">
        <f t="shared" si="0"/>
        <v>27</v>
      </c>
      <c r="T58" s="163">
        <f t="shared" si="0"/>
        <v>32</v>
      </c>
      <c r="U58" s="163">
        <f t="shared" si="0"/>
        <v>16</v>
      </c>
      <c r="V58" s="163">
        <f t="shared" si="0"/>
        <v>7</v>
      </c>
      <c r="W58" s="163">
        <f t="shared" si="1"/>
        <v>9</v>
      </c>
      <c r="X58" s="163">
        <f t="shared" si="2"/>
        <v>91</v>
      </c>
    </row>
    <row r="59" spans="1:24" s="161" customFormat="1" ht="15.75">
      <c r="A59" s="160">
        <v>46</v>
      </c>
      <c r="B59" s="158">
        <v>22146</v>
      </c>
      <c r="C59" s="159" t="s">
        <v>169</v>
      </c>
      <c r="D59" s="165">
        <f>'CCE1'!D56+'CCE1'!E56</f>
        <v>16</v>
      </c>
      <c r="E59" s="165">
        <f>'CCE1'!E56+'CCE1'!F56</f>
        <v>17</v>
      </c>
      <c r="F59" s="165">
        <f>'CCE1'!F56+'CCE1'!G56</f>
        <v>9</v>
      </c>
      <c r="G59" s="164"/>
      <c r="H59" s="164"/>
      <c r="I59" s="165">
        <f>'CCE2'!D56+'CCE2'!E56</f>
        <v>7</v>
      </c>
      <c r="J59" s="165">
        <f>'CCE2'!F56+'CCE2'!G56</f>
        <v>9</v>
      </c>
      <c r="K59" s="164"/>
      <c r="L59" s="164"/>
      <c r="M59" s="164"/>
      <c r="N59" s="165">
        <f>'CCE3'!D56</f>
        <v>10</v>
      </c>
      <c r="O59" s="165">
        <f>'CCE3'!E56</f>
        <v>9</v>
      </c>
      <c r="P59" s="165">
        <f>'CCE3'!F56</f>
        <v>8</v>
      </c>
      <c r="Q59" s="165">
        <f>'CCE3'!G56</f>
        <v>7</v>
      </c>
      <c r="R59" s="165">
        <f>'CCE3'!H56</f>
        <v>9</v>
      </c>
      <c r="S59" s="163">
        <f t="shared" si="0"/>
        <v>33</v>
      </c>
      <c r="T59" s="163">
        <f t="shared" si="0"/>
        <v>35</v>
      </c>
      <c r="U59" s="163">
        <f t="shared" si="0"/>
        <v>17</v>
      </c>
      <c r="V59" s="163">
        <f t="shared" si="0"/>
        <v>7</v>
      </c>
      <c r="W59" s="163">
        <f t="shared" si="1"/>
        <v>9</v>
      </c>
      <c r="X59" s="163">
        <f t="shared" si="2"/>
        <v>101</v>
      </c>
    </row>
    <row r="60" spans="1:24" s="161" customFormat="1" ht="15.75">
      <c r="A60" s="160">
        <v>47</v>
      </c>
      <c r="B60" s="158">
        <v>22147</v>
      </c>
      <c r="C60" s="159" t="s">
        <v>170</v>
      </c>
      <c r="D60" s="165">
        <f>'CCE1'!D57+'CCE1'!E57</f>
        <v>17</v>
      </c>
      <c r="E60" s="165">
        <f>'CCE1'!E57+'CCE1'!F57</f>
        <v>13</v>
      </c>
      <c r="F60" s="165">
        <f>'CCE1'!F57+'CCE1'!G57</f>
        <v>5</v>
      </c>
      <c r="G60" s="164"/>
      <c r="H60" s="164"/>
      <c r="I60" s="165">
        <f>'CCE2'!D57+'CCE2'!E57</f>
        <v>9</v>
      </c>
      <c r="J60" s="165">
        <f>'CCE2'!F57+'CCE2'!G57</f>
        <v>9</v>
      </c>
      <c r="K60" s="164"/>
      <c r="L60" s="164"/>
      <c r="M60" s="164"/>
      <c r="N60" s="165">
        <f>'CCE3'!D57</f>
        <v>10</v>
      </c>
      <c r="O60" s="165">
        <f>'CCE3'!E57</f>
        <v>10</v>
      </c>
      <c r="P60" s="165">
        <f>'CCE3'!F57</f>
        <v>8</v>
      </c>
      <c r="Q60" s="165">
        <f>'CCE3'!G57</f>
        <v>10</v>
      </c>
      <c r="R60" s="165">
        <f>'CCE3'!H57</f>
        <v>10</v>
      </c>
      <c r="S60" s="163">
        <f t="shared" si="0"/>
        <v>36</v>
      </c>
      <c r="T60" s="163">
        <f t="shared" si="0"/>
        <v>32</v>
      </c>
      <c r="U60" s="163">
        <f t="shared" si="0"/>
        <v>13</v>
      </c>
      <c r="V60" s="163">
        <f t="shared" si="0"/>
        <v>10</v>
      </c>
      <c r="W60" s="163">
        <f t="shared" si="1"/>
        <v>10</v>
      </c>
      <c r="X60" s="163">
        <f t="shared" si="2"/>
        <v>101</v>
      </c>
    </row>
    <row r="61" spans="1:24" s="161" customFormat="1" ht="15.75">
      <c r="A61" s="160">
        <v>48</v>
      </c>
      <c r="B61" s="158">
        <v>22148</v>
      </c>
      <c r="C61" s="159" t="s">
        <v>171</v>
      </c>
      <c r="D61" s="165">
        <f>'CCE1'!D58+'CCE1'!E58</f>
        <v>18</v>
      </c>
      <c r="E61" s="165">
        <f>'CCE1'!E58+'CCE1'!F58</f>
        <v>17</v>
      </c>
      <c r="F61" s="165">
        <f>'CCE1'!F58+'CCE1'!G58</f>
        <v>8</v>
      </c>
      <c r="G61" s="164"/>
      <c r="H61" s="164"/>
      <c r="I61" s="165">
        <f>'CCE2'!D58+'CCE2'!E58</f>
        <v>6</v>
      </c>
      <c r="J61" s="165">
        <f>'CCE2'!F58+'CCE2'!G58</f>
        <v>10</v>
      </c>
      <c r="K61" s="164"/>
      <c r="L61" s="164"/>
      <c r="M61" s="164"/>
      <c r="N61" s="165">
        <f>'CCE3'!D58</f>
        <v>9</v>
      </c>
      <c r="O61" s="165">
        <f>'CCE3'!E58</f>
        <v>10</v>
      </c>
      <c r="P61" s="165">
        <f>'CCE3'!F58</f>
        <v>10</v>
      </c>
      <c r="Q61" s="165">
        <f>'CCE3'!G58</f>
        <v>9</v>
      </c>
      <c r="R61" s="165">
        <f>'CCE3'!H58</f>
        <v>8</v>
      </c>
      <c r="S61" s="163">
        <f t="shared" si="0"/>
        <v>33</v>
      </c>
      <c r="T61" s="163">
        <f t="shared" si="0"/>
        <v>37</v>
      </c>
      <c r="U61" s="163">
        <f t="shared" si="0"/>
        <v>18</v>
      </c>
      <c r="V61" s="163">
        <f t="shared" si="0"/>
        <v>9</v>
      </c>
      <c r="W61" s="163">
        <f t="shared" si="1"/>
        <v>8</v>
      </c>
      <c r="X61" s="163">
        <f t="shared" si="2"/>
        <v>105</v>
      </c>
    </row>
    <row r="62" spans="1:24" s="161" customFormat="1" ht="15.75">
      <c r="A62" s="160">
        <v>49</v>
      </c>
      <c r="B62" s="158">
        <v>22149</v>
      </c>
      <c r="C62" s="159" t="s">
        <v>172</v>
      </c>
      <c r="D62" s="165">
        <f>'CCE1'!D59+'CCE1'!E59</f>
        <v>13</v>
      </c>
      <c r="E62" s="165">
        <f>'CCE1'!E59+'CCE1'!F59</f>
        <v>14</v>
      </c>
      <c r="F62" s="165">
        <f>'CCE1'!F59+'CCE1'!G59</f>
        <v>6</v>
      </c>
      <c r="G62" s="164"/>
      <c r="H62" s="164"/>
      <c r="I62" s="165">
        <f>'CCE2'!D59+'CCE2'!E59</f>
        <v>10</v>
      </c>
      <c r="J62" s="165">
        <f>'CCE2'!F59+'CCE2'!G59</f>
        <v>7</v>
      </c>
      <c r="K62" s="164"/>
      <c r="L62" s="164"/>
      <c r="M62" s="164"/>
      <c r="N62" s="165">
        <f>'CCE3'!D59</f>
        <v>9</v>
      </c>
      <c r="O62" s="165">
        <f>'CCE3'!E59</f>
        <v>10</v>
      </c>
      <c r="P62" s="165">
        <f>'CCE3'!F59</f>
        <v>10</v>
      </c>
      <c r="Q62" s="165">
        <f>'CCE3'!G59</f>
        <v>9</v>
      </c>
      <c r="R62" s="165">
        <f>'CCE3'!H59</f>
        <v>9</v>
      </c>
      <c r="S62" s="163">
        <f t="shared" si="0"/>
        <v>32</v>
      </c>
      <c r="T62" s="163">
        <f t="shared" si="0"/>
        <v>31</v>
      </c>
      <c r="U62" s="163">
        <f t="shared" si="0"/>
        <v>16</v>
      </c>
      <c r="V62" s="163">
        <f t="shared" si="0"/>
        <v>9</v>
      </c>
      <c r="W62" s="163">
        <f t="shared" si="1"/>
        <v>9</v>
      </c>
      <c r="X62" s="163">
        <f t="shared" si="2"/>
        <v>97</v>
      </c>
    </row>
    <row r="63" spans="1:24" s="161" customFormat="1" ht="15.75">
      <c r="A63" s="160">
        <v>50</v>
      </c>
      <c r="B63" s="158">
        <v>22150</v>
      </c>
      <c r="C63" s="159" t="s">
        <v>173</v>
      </c>
      <c r="D63" s="165">
        <f>'CCE1'!D60+'CCE1'!E60</f>
        <v>18</v>
      </c>
      <c r="E63" s="165">
        <f>'CCE1'!E60+'CCE1'!F60</f>
        <v>20</v>
      </c>
      <c r="F63" s="165">
        <f>'CCE1'!F60+'CCE1'!G60</f>
        <v>10</v>
      </c>
      <c r="G63" s="164"/>
      <c r="H63" s="164"/>
      <c r="I63" s="165">
        <f>'CCE2'!D60+'CCE2'!E60</f>
        <v>9</v>
      </c>
      <c r="J63" s="165">
        <f>'CCE2'!F60+'CCE2'!G60</f>
        <v>9</v>
      </c>
      <c r="K63" s="164"/>
      <c r="L63" s="164"/>
      <c r="M63" s="164"/>
      <c r="N63" s="165">
        <f>'CCE3'!D60</f>
        <v>10</v>
      </c>
      <c r="O63" s="165">
        <f>'CCE3'!E60</f>
        <v>10</v>
      </c>
      <c r="P63" s="165">
        <f>'CCE3'!F60</f>
        <v>9</v>
      </c>
      <c r="Q63" s="165">
        <f>'CCE3'!G60</f>
        <v>8</v>
      </c>
      <c r="R63" s="165">
        <f>'CCE3'!H60</f>
        <v>9</v>
      </c>
      <c r="S63" s="163">
        <f t="shared" si="0"/>
        <v>37</v>
      </c>
      <c r="T63" s="163">
        <f t="shared" si="0"/>
        <v>39</v>
      </c>
      <c r="U63" s="163">
        <f t="shared" si="0"/>
        <v>19</v>
      </c>
      <c r="V63" s="163">
        <f t="shared" si="0"/>
        <v>8</v>
      </c>
      <c r="W63" s="163">
        <f t="shared" si="1"/>
        <v>9</v>
      </c>
      <c r="X63" s="163">
        <f t="shared" si="2"/>
        <v>112</v>
      </c>
    </row>
    <row r="64" spans="1:24" s="161" customFormat="1" ht="15.75">
      <c r="A64" s="160">
        <v>51</v>
      </c>
      <c r="B64" s="158">
        <v>22151</v>
      </c>
      <c r="C64" s="159" t="s">
        <v>174</v>
      </c>
      <c r="D64" s="165">
        <f>'CCE1'!D61+'CCE1'!E61</f>
        <v>17</v>
      </c>
      <c r="E64" s="165">
        <f>'CCE1'!E61+'CCE1'!F61</f>
        <v>19</v>
      </c>
      <c r="F64" s="165">
        <f>'CCE1'!F61+'CCE1'!G61</f>
        <v>10</v>
      </c>
      <c r="G64" s="164"/>
      <c r="H64" s="164"/>
      <c r="I64" s="165">
        <f>'CCE2'!D61+'CCE2'!E61</f>
        <v>10</v>
      </c>
      <c r="J64" s="165">
        <f>'CCE2'!F61+'CCE2'!G61</f>
        <v>8</v>
      </c>
      <c r="K64" s="164"/>
      <c r="L64" s="164"/>
      <c r="M64" s="164"/>
      <c r="N64" s="165">
        <f>'CCE3'!D61</f>
        <v>8</v>
      </c>
      <c r="O64" s="165">
        <f>'CCE3'!E61</f>
        <v>9</v>
      </c>
      <c r="P64" s="165">
        <f>'CCE3'!F61</f>
        <v>9</v>
      </c>
      <c r="Q64" s="165">
        <f>'CCE3'!G61</f>
        <v>10</v>
      </c>
      <c r="R64" s="165">
        <f>'CCE3'!H61</f>
        <v>8</v>
      </c>
      <c r="S64" s="163">
        <f t="shared" si="0"/>
        <v>35</v>
      </c>
      <c r="T64" s="163">
        <f t="shared" si="0"/>
        <v>36</v>
      </c>
      <c r="U64" s="163">
        <f t="shared" si="0"/>
        <v>19</v>
      </c>
      <c r="V64" s="163">
        <f t="shared" si="0"/>
        <v>10</v>
      </c>
      <c r="W64" s="163">
        <f t="shared" si="1"/>
        <v>8</v>
      </c>
      <c r="X64" s="163">
        <f t="shared" si="2"/>
        <v>108</v>
      </c>
    </row>
    <row r="65" spans="1:24" s="161" customFormat="1" ht="15.75">
      <c r="A65" s="160">
        <v>52</v>
      </c>
      <c r="B65" s="158">
        <v>22152</v>
      </c>
      <c r="C65" s="159" t="s">
        <v>175</v>
      </c>
      <c r="D65" s="165">
        <f>'CCE1'!D62+'CCE1'!E62</f>
        <v>19</v>
      </c>
      <c r="E65" s="165">
        <f>'CCE1'!E62+'CCE1'!F62</f>
        <v>19</v>
      </c>
      <c r="F65" s="165">
        <f>'CCE1'!F62+'CCE1'!G62</f>
        <v>10</v>
      </c>
      <c r="G65" s="164"/>
      <c r="H65" s="164"/>
      <c r="I65" s="165">
        <f>'CCE2'!D62+'CCE2'!E62</f>
        <v>9</v>
      </c>
      <c r="J65" s="165">
        <f>'CCE2'!F62+'CCE2'!G62</f>
        <v>8</v>
      </c>
      <c r="K65" s="164"/>
      <c r="L65" s="164"/>
      <c r="M65" s="164"/>
      <c r="N65" s="165">
        <f>'CCE3'!D62</f>
        <v>9</v>
      </c>
      <c r="O65" s="165">
        <f>'CCE3'!E62</f>
        <v>8</v>
      </c>
      <c r="P65" s="165">
        <f>'CCE3'!F62</f>
        <v>10</v>
      </c>
      <c r="Q65" s="165">
        <f>'CCE3'!G62</f>
        <v>10</v>
      </c>
      <c r="R65" s="165">
        <f>'CCE3'!H62</f>
        <v>10</v>
      </c>
      <c r="S65" s="163">
        <f t="shared" si="0"/>
        <v>37</v>
      </c>
      <c r="T65" s="163">
        <f t="shared" si="0"/>
        <v>35</v>
      </c>
      <c r="U65" s="163">
        <f t="shared" si="0"/>
        <v>20</v>
      </c>
      <c r="V65" s="163">
        <f t="shared" si="0"/>
        <v>10</v>
      </c>
      <c r="W65" s="163">
        <f t="shared" si="1"/>
        <v>10</v>
      </c>
      <c r="X65" s="163">
        <f t="shared" si="2"/>
        <v>112</v>
      </c>
    </row>
    <row r="66" spans="1:24" s="161" customFormat="1" ht="15.75">
      <c r="A66" s="160">
        <v>53</v>
      </c>
      <c r="B66" s="158">
        <v>22153</v>
      </c>
      <c r="C66" s="159" t="s">
        <v>176</v>
      </c>
      <c r="D66" s="165">
        <f>'CCE1'!D63+'CCE1'!E63</f>
        <v>19</v>
      </c>
      <c r="E66" s="165">
        <f>'CCE1'!E63+'CCE1'!F63</f>
        <v>18</v>
      </c>
      <c r="F66" s="165">
        <f>'CCE1'!F63+'CCE1'!G63</f>
        <v>8</v>
      </c>
      <c r="G66" s="164"/>
      <c r="H66" s="164"/>
      <c r="I66" s="165">
        <f>'CCE2'!D63+'CCE2'!E63</f>
        <v>9</v>
      </c>
      <c r="J66" s="165">
        <f>'CCE2'!F63+'CCE2'!G63</f>
        <v>6</v>
      </c>
      <c r="K66" s="164"/>
      <c r="L66" s="164"/>
      <c r="M66" s="164"/>
      <c r="N66" s="165">
        <f>'CCE3'!D63</f>
        <v>9</v>
      </c>
      <c r="O66" s="165">
        <f>'CCE3'!E63</f>
        <v>10</v>
      </c>
      <c r="P66" s="165">
        <f>'CCE3'!F63</f>
        <v>10</v>
      </c>
      <c r="Q66" s="165">
        <f>'CCE3'!G63</f>
        <v>8</v>
      </c>
      <c r="R66" s="165">
        <f>'CCE3'!H63</f>
        <v>9</v>
      </c>
      <c r="S66" s="163">
        <f t="shared" si="0"/>
        <v>37</v>
      </c>
      <c r="T66" s="163">
        <f t="shared" si="0"/>
        <v>34</v>
      </c>
      <c r="U66" s="163">
        <f t="shared" si="0"/>
        <v>18</v>
      </c>
      <c r="V66" s="163">
        <f t="shared" si="0"/>
        <v>8</v>
      </c>
      <c r="W66" s="163">
        <f t="shared" si="1"/>
        <v>9</v>
      </c>
      <c r="X66" s="163">
        <f t="shared" si="2"/>
        <v>106</v>
      </c>
    </row>
    <row r="67" spans="1:24" s="161" customFormat="1" ht="15.75">
      <c r="A67" s="160">
        <v>54</v>
      </c>
      <c r="B67" s="158">
        <v>22154</v>
      </c>
      <c r="C67" s="159" t="s">
        <v>177</v>
      </c>
      <c r="D67" s="165">
        <f>'CCE1'!D64+'CCE1'!E64</f>
        <v>18</v>
      </c>
      <c r="E67" s="165">
        <f>'CCE1'!E64+'CCE1'!F64</f>
        <v>20</v>
      </c>
      <c r="F67" s="165">
        <f>'CCE1'!F64+'CCE1'!G64</f>
        <v>10</v>
      </c>
      <c r="G67" s="164"/>
      <c r="H67" s="164"/>
      <c r="I67" s="165">
        <f>'CCE2'!D64+'CCE2'!E64</f>
        <v>7</v>
      </c>
      <c r="J67" s="165">
        <f>'CCE2'!F64+'CCE2'!G64</f>
        <v>8</v>
      </c>
      <c r="K67" s="164"/>
      <c r="L67" s="164"/>
      <c r="M67" s="164"/>
      <c r="N67" s="165">
        <f>'CCE3'!D64</f>
        <v>9</v>
      </c>
      <c r="O67" s="165">
        <f>'CCE3'!E64</f>
        <v>10</v>
      </c>
      <c r="P67" s="165">
        <f>'CCE3'!F64</f>
        <v>8</v>
      </c>
      <c r="Q67" s="165">
        <f>'CCE3'!G64</f>
        <v>8</v>
      </c>
      <c r="R67" s="165">
        <f>'CCE3'!H64</f>
        <v>8</v>
      </c>
      <c r="S67" s="163">
        <f t="shared" si="0"/>
        <v>34</v>
      </c>
      <c r="T67" s="163">
        <f t="shared" si="0"/>
        <v>38</v>
      </c>
      <c r="U67" s="163">
        <f t="shared" si="0"/>
        <v>18</v>
      </c>
      <c r="V67" s="163">
        <f t="shared" si="0"/>
        <v>8</v>
      </c>
      <c r="W67" s="163">
        <f t="shared" si="1"/>
        <v>8</v>
      </c>
      <c r="X67" s="163">
        <f t="shared" si="2"/>
        <v>106</v>
      </c>
    </row>
    <row r="68" spans="1:24" s="161" customFormat="1" ht="15.75">
      <c r="A68" s="160">
        <v>55</v>
      </c>
      <c r="B68" s="158">
        <v>22155</v>
      </c>
      <c r="C68" s="159" t="s">
        <v>178</v>
      </c>
      <c r="D68" s="165">
        <f>'CCE1'!D65+'CCE1'!E65</f>
        <v>17</v>
      </c>
      <c r="E68" s="165">
        <f>'CCE1'!E65+'CCE1'!F65</f>
        <v>18</v>
      </c>
      <c r="F68" s="165">
        <f>'CCE1'!F65+'CCE1'!G65</f>
        <v>10</v>
      </c>
      <c r="G68" s="164"/>
      <c r="H68" s="164"/>
      <c r="I68" s="165">
        <f>'CCE2'!D65+'CCE2'!E65</f>
        <v>7</v>
      </c>
      <c r="J68" s="165">
        <f>'CCE2'!F65+'CCE2'!G65</f>
        <v>8</v>
      </c>
      <c r="K68" s="164"/>
      <c r="L68" s="164"/>
      <c r="M68" s="164"/>
      <c r="N68" s="165">
        <f>'CCE3'!D65</f>
        <v>10</v>
      </c>
      <c r="O68" s="165">
        <f>'CCE3'!E65</f>
        <v>8</v>
      </c>
      <c r="P68" s="165">
        <f>'CCE3'!F65</f>
        <v>9</v>
      </c>
      <c r="Q68" s="165">
        <f>'CCE3'!G65</f>
        <v>5</v>
      </c>
      <c r="R68" s="165">
        <f>'CCE3'!H65</f>
        <v>4</v>
      </c>
      <c r="S68" s="163">
        <f t="shared" si="0"/>
        <v>34</v>
      </c>
      <c r="T68" s="163">
        <f t="shared" si="0"/>
        <v>34</v>
      </c>
      <c r="U68" s="163">
        <f t="shared" si="0"/>
        <v>19</v>
      </c>
      <c r="V68" s="163">
        <f t="shared" si="0"/>
        <v>5</v>
      </c>
      <c r="W68" s="163">
        <f t="shared" si="1"/>
        <v>4</v>
      </c>
      <c r="X68" s="163">
        <f t="shared" si="2"/>
        <v>96</v>
      </c>
    </row>
    <row r="69" spans="1:24" s="161" customFormat="1" ht="15.75">
      <c r="A69" s="160">
        <v>56</v>
      </c>
      <c r="B69" s="158">
        <v>22156</v>
      </c>
      <c r="C69" s="159" t="s">
        <v>179</v>
      </c>
      <c r="D69" s="165">
        <f>'CCE1'!D66+'CCE1'!E66</f>
        <v>18</v>
      </c>
      <c r="E69" s="165">
        <f>'CCE1'!E66+'CCE1'!F66</f>
        <v>19</v>
      </c>
      <c r="F69" s="165">
        <f>'CCE1'!F66+'CCE1'!G66</f>
        <v>10</v>
      </c>
      <c r="G69" s="164"/>
      <c r="H69" s="164"/>
      <c r="I69" s="165">
        <f>'CCE2'!D66+'CCE2'!E66</f>
        <v>9</v>
      </c>
      <c r="J69" s="165">
        <f>'CCE2'!F66+'CCE2'!G66</f>
        <v>7</v>
      </c>
      <c r="K69" s="164"/>
      <c r="L69" s="164"/>
      <c r="M69" s="164"/>
      <c r="N69" s="165">
        <f>'CCE3'!D66</f>
        <v>9</v>
      </c>
      <c r="O69" s="165">
        <f>'CCE3'!E66</f>
        <v>9</v>
      </c>
      <c r="P69" s="165">
        <f>'CCE3'!F66</f>
        <v>8</v>
      </c>
      <c r="Q69" s="165">
        <f>'CCE3'!G66</f>
        <v>8</v>
      </c>
      <c r="R69" s="165">
        <f>'CCE3'!H66</f>
        <v>8</v>
      </c>
      <c r="S69" s="163">
        <f t="shared" si="0"/>
        <v>36</v>
      </c>
      <c r="T69" s="163">
        <f t="shared" si="0"/>
        <v>35</v>
      </c>
      <c r="U69" s="163">
        <f t="shared" si="0"/>
        <v>18</v>
      </c>
      <c r="V69" s="163">
        <f t="shared" si="0"/>
        <v>8</v>
      </c>
      <c r="W69" s="163">
        <f t="shared" si="1"/>
        <v>8</v>
      </c>
      <c r="X69" s="163">
        <f t="shared" si="2"/>
        <v>105</v>
      </c>
    </row>
    <row r="70" spans="1:24" s="161" customFormat="1" ht="15.75">
      <c r="A70" s="160">
        <v>57</v>
      </c>
      <c r="B70" s="158">
        <v>22157</v>
      </c>
      <c r="C70" s="159" t="s">
        <v>180</v>
      </c>
      <c r="D70" s="165">
        <f>'CCE1'!D67+'CCE1'!E67</f>
        <v>19</v>
      </c>
      <c r="E70" s="165">
        <f>'CCE1'!E67+'CCE1'!F67</f>
        <v>18</v>
      </c>
      <c r="F70" s="165">
        <f>'CCE1'!F67+'CCE1'!G67</f>
        <v>9</v>
      </c>
      <c r="G70" s="164"/>
      <c r="H70" s="164"/>
      <c r="I70" s="165">
        <f>'CCE2'!D67+'CCE2'!E67</f>
        <v>7</v>
      </c>
      <c r="J70" s="165">
        <f>'CCE2'!F67+'CCE2'!G67</f>
        <v>8</v>
      </c>
      <c r="K70" s="164"/>
      <c r="L70" s="164"/>
      <c r="M70" s="164"/>
      <c r="N70" s="165">
        <f>'CCE3'!D67</f>
        <v>9</v>
      </c>
      <c r="O70" s="165">
        <f>'CCE3'!E67</f>
        <v>8</v>
      </c>
      <c r="P70" s="165">
        <f>'CCE3'!F67</f>
        <v>9</v>
      </c>
      <c r="Q70" s="165">
        <f>'CCE3'!G67</f>
        <v>9</v>
      </c>
      <c r="R70" s="165">
        <f>'CCE3'!H67</f>
        <v>7</v>
      </c>
      <c r="S70" s="163">
        <f t="shared" si="0"/>
        <v>35</v>
      </c>
      <c r="T70" s="163">
        <f t="shared" si="0"/>
        <v>34</v>
      </c>
      <c r="U70" s="163">
        <f t="shared" si="0"/>
        <v>18</v>
      </c>
      <c r="V70" s="163">
        <f t="shared" si="0"/>
        <v>9</v>
      </c>
      <c r="W70" s="163">
        <f t="shared" si="1"/>
        <v>7</v>
      </c>
      <c r="X70" s="163">
        <f t="shared" si="2"/>
        <v>103</v>
      </c>
    </row>
    <row r="71" spans="1:24" s="161" customFormat="1" ht="15.75">
      <c r="A71" s="160">
        <v>58</v>
      </c>
      <c r="B71" s="158">
        <v>22158</v>
      </c>
      <c r="C71" s="159" t="s">
        <v>181</v>
      </c>
      <c r="D71" s="165">
        <f>'CCE1'!D68+'CCE1'!E68</f>
        <v>18</v>
      </c>
      <c r="E71" s="165">
        <f>'CCE1'!E68+'CCE1'!F68</f>
        <v>18</v>
      </c>
      <c r="F71" s="165">
        <f>'CCE1'!F68+'CCE1'!G68</f>
        <v>10</v>
      </c>
      <c r="G71" s="164"/>
      <c r="H71" s="164"/>
      <c r="I71" s="165">
        <f>'CCE2'!D68+'CCE2'!E68</f>
        <v>8</v>
      </c>
      <c r="J71" s="165">
        <f>'CCE2'!F68+'CCE2'!G68</f>
        <v>7</v>
      </c>
      <c r="K71" s="164"/>
      <c r="L71" s="164"/>
      <c r="M71" s="164"/>
      <c r="N71" s="165">
        <f>'CCE3'!D68</f>
        <v>8</v>
      </c>
      <c r="O71" s="165">
        <f>'CCE3'!E68</f>
        <v>8</v>
      </c>
      <c r="P71" s="165">
        <f>'CCE3'!F68</f>
        <v>9</v>
      </c>
      <c r="Q71" s="165">
        <f>'CCE3'!G68</f>
        <v>6</v>
      </c>
      <c r="R71" s="165">
        <f>'CCE3'!H68</f>
        <v>8</v>
      </c>
      <c r="S71" s="163">
        <f t="shared" si="0"/>
        <v>34</v>
      </c>
      <c r="T71" s="163">
        <f t="shared" si="0"/>
        <v>33</v>
      </c>
      <c r="U71" s="163">
        <f t="shared" si="0"/>
        <v>19</v>
      </c>
      <c r="V71" s="163">
        <f t="shared" si="0"/>
        <v>6</v>
      </c>
      <c r="W71" s="163">
        <f t="shared" si="1"/>
        <v>8</v>
      </c>
      <c r="X71" s="163">
        <f t="shared" si="2"/>
        <v>100</v>
      </c>
    </row>
    <row r="72" spans="1:24" s="161" customFormat="1" ht="15.75">
      <c r="A72" s="160">
        <v>59</v>
      </c>
      <c r="B72" s="158">
        <v>22159</v>
      </c>
      <c r="C72" s="159" t="s">
        <v>182</v>
      </c>
      <c r="D72" s="165">
        <f>'CCE1'!D69+'CCE1'!E69</f>
        <v>18</v>
      </c>
      <c r="E72" s="165">
        <f>'CCE1'!E69+'CCE1'!F69</f>
        <v>18</v>
      </c>
      <c r="F72" s="165">
        <f>'CCE1'!F69+'CCE1'!G69</f>
        <v>10</v>
      </c>
      <c r="G72" s="164"/>
      <c r="H72" s="164"/>
      <c r="I72" s="165">
        <f>'CCE2'!D69+'CCE2'!E69</f>
        <v>7</v>
      </c>
      <c r="J72" s="165">
        <f>'CCE2'!F69+'CCE2'!G69</f>
        <v>7</v>
      </c>
      <c r="K72" s="164"/>
      <c r="L72" s="164"/>
      <c r="M72" s="164"/>
      <c r="N72" s="165">
        <f>'CCE3'!D69</f>
        <v>9</v>
      </c>
      <c r="O72" s="165">
        <f>'CCE3'!E69</f>
        <v>8</v>
      </c>
      <c r="P72" s="165">
        <f>'CCE3'!F69</f>
        <v>9</v>
      </c>
      <c r="Q72" s="165">
        <f>'CCE3'!G69</f>
        <v>8</v>
      </c>
      <c r="R72" s="165">
        <f>'CCE3'!H69</f>
        <v>9</v>
      </c>
      <c r="S72" s="163">
        <f t="shared" si="0"/>
        <v>34</v>
      </c>
      <c r="T72" s="163">
        <f t="shared" si="0"/>
        <v>33</v>
      </c>
      <c r="U72" s="163">
        <f t="shared" si="0"/>
        <v>19</v>
      </c>
      <c r="V72" s="163">
        <f t="shared" si="0"/>
        <v>8</v>
      </c>
      <c r="W72" s="163">
        <f t="shared" si="1"/>
        <v>9</v>
      </c>
      <c r="X72" s="163">
        <f t="shared" si="2"/>
        <v>103</v>
      </c>
    </row>
    <row r="73" spans="1:24" s="161" customFormat="1" ht="15.75">
      <c r="A73" s="160">
        <v>60</v>
      </c>
      <c r="B73" s="158">
        <v>22160</v>
      </c>
      <c r="C73" s="159" t="s">
        <v>183</v>
      </c>
      <c r="D73" s="165">
        <f>'CCE1'!D70+'CCE1'!E70</f>
        <v>18</v>
      </c>
      <c r="E73" s="165">
        <f>'CCE1'!E70+'CCE1'!F70</f>
        <v>19</v>
      </c>
      <c r="F73" s="165">
        <f>'CCE1'!F70+'CCE1'!G70</f>
        <v>9</v>
      </c>
      <c r="G73" s="164"/>
      <c r="H73" s="164"/>
      <c r="I73" s="165">
        <f>'CCE2'!D70+'CCE2'!E70</f>
        <v>6</v>
      </c>
      <c r="J73" s="165">
        <f>'CCE2'!F70+'CCE2'!G70</f>
        <v>7</v>
      </c>
      <c r="K73" s="164"/>
      <c r="L73" s="164"/>
      <c r="M73" s="164"/>
      <c r="N73" s="165">
        <f>'CCE3'!D70</f>
        <v>8</v>
      </c>
      <c r="O73" s="165">
        <f>'CCE3'!E70</f>
        <v>8</v>
      </c>
      <c r="P73" s="165">
        <f>'CCE3'!F70</f>
        <v>10</v>
      </c>
      <c r="Q73" s="165">
        <f>'CCE3'!G70</f>
        <v>9</v>
      </c>
      <c r="R73" s="165">
        <f>'CCE3'!H70</f>
        <v>9</v>
      </c>
      <c r="S73" s="163">
        <f t="shared" si="0"/>
        <v>32</v>
      </c>
      <c r="T73" s="163">
        <f t="shared" si="0"/>
        <v>34</v>
      </c>
      <c r="U73" s="163">
        <f t="shared" si="0"/>
        <v>19</v>
      </c>
      <c r="V73" s="163">
        <f t="shared" si="0"/>
        <v>9</v>
      </c>
      <c r="W73" s="163">
        <f t="shared" si="1"/>
        <v>9</v>
      </c>
      <c r="X73" s="163">
        <f t="shared" si="2"/>
        <v>103</v>
      </c>
    </row>
    <row r="74" spans="1:24" s="161" customFormat="1" ht="15.75">
      <c r="A74" s="160">
        <v>61</v>
      </c>
      <c r="B74" s="158">
        <v>22161</v>
      </c>
      <c r="C74" s="159" t="s">
        <v>184</v>
      </c>
      <c r="D74" s="165">
        <f>'CCE1'!D71+'CCE1'!E71</f>
        <v>17</v>
      </c>
      <c r="E74" s="165">
        <f>'CCE1'!E71+'CCE1'!F71</f>
        <v>17</v>
      </c>
      <c r="F74" s="165">
        <f>'CCE1'!F71+'CCE1'!G71</f>
        <v>8</v>
      </c>
      <c r="G74" s="164"/>
      <c r="H74" s="164"/>
      <c r="I74" s="165">
        <f>'CCE2'!D71+'CCE2'!E71</f>
        <v>10</v>
      </c>
      <c r="J74" s="165">
        <f>'CCE2'!F71+'CCE2'!G71</f>
        <v>10</v>
      </c>
      <c r="K74" s="164"/>
      <c r="L74" s="164"/>
      <c r="M74" s="164"/>
      <c r="N74" s="165">
        <f>'CCE3'!D71</f>
        <v>9</v>
      </c>
      <c r="O74" s="165">
        <f>'CCE3'!E71</f>
        <v>8</v>
      </c>
      <c r="P74" s="165">
        <f>'CCE3'!F71</f>
        <v>9</v>
      </c>
      <c r="Q74" s="165">
        <f>'CCE3'!G71</f>
        <v>10</v>
      </c>
      <c r="R74" s="165">
        <f>'CCE3'!H71</f>
        <v>10</v>
      </c>
      <c r="S74" s="163">
        <f t="shared" si="0"/>
        <v>36</v>
      </c>
      <c r="T74" s="163">
        <f t="shared" si="0"/>
        <v>35</v>
      </c>
      <c r="U74" s="163">
        <f t="shared" si="0"/>
        <v>17</v>
      </c>
      <c r="V74" s="163">
        <f t="shared" si="0"/>
        <v>10</v>
      </c>
      <c r="W74" s="163">
        <f t="shared" si="1"/>
        <v>10</v>
      </c>
      <c r="X74" s="163">
        <f t="shared" si="2"/>
        <v>108</v>
      </c>
    </row>
    <row r="75" spans="1:24" s="161" customFormat="1" ht="15.75">
      <c r="A75" s="160">
        <v>62</v>
      </c>
      <c r="B75" s="158">
        <v>22162</v>
      </c>
      <c r="C75" s="159" t="s">
        <v>185</v>
      </c>
      <c r="D75" s="165">
        <f>'CCE1'!D72+'CCE1'!E72</f>
        <v>19</v>
      </c>
      <c r="E75" s="165">
        <f>'CCE1'!E72+'CCE1'!F72</f>
        <v>17</v>
      </c>
      <c r="F75" s="165">
        <f>'CCE1'!F72+'CCE1'!G72</f>
        <v>8</v>
      </c>
      <c r="G75" s="164"/>
      <c r="H75" s="164"/>
      <c r="I75" s="165">
        <f>'CCE2'!D72+'CCE2'!E72</f>
        <v>6</v>
      </c>
      <c r="J75" s="165">
        <f>'CCE2'!F72+'CCE2'!G72</f>
        <v>8</v>
      </c>
      <c r="K75" s="164"/>
      <c r="L75" s="164"/>
      <c r="M75" s="164"/>
      <c r="N75" s="165">
        <f>'CCE3'!D72</f>
        <v>10</v>
      </c>
      <c r="O75" s="165">
        <f>'CCE3'!E72</f>
        <v>10</v>
      </c>
      <c r="P75" s="165">
        <f>'CCE3'!F72</f>
        <v>9</v>
      </c>
      <c r="Q75" s="165">
        <f>'CCE3'!G72</f>
        <v>8</v>
      </c>
      <c r="R75" s="165">
        <f>'CCE3'!H72</f>
        <v>8</v>
      </c>
      <c r="S75" s="163">
        <f t="shared" si="0"/>
        <v>35</v>
      </c>
      <c r="T75" s="163">
        <f t="shared" si="0"/>
        <v>35</v>
      </c>
      <c r="U75" s="163">
        <f t="shared" si="0"/>
        <v>17</v>
      </c>
      <c r="V75" s="163">
        <f t="shared" si="0"/>
        <v>8</v>
      </c>
      <c r="W75" s="163">
        <f t="shared" si="1"/>
        <v>8</v>
      </c>
      <c r="X75" s="163">
        <f t="shared" si="2"/>
        <v>103</v>
      </c>
    </row>
    <row r="76" spans="1:24" s="161" customFormat="1" ht="15.75">
      <c r="A76" s="160">
        <v>63</v>
      </c>
      <c r="B76" s="158">
        <v>22163</v>
      </c>
      <c r="C76" s="159" t="s">
        <v>186</v>
      </c>
      <c r="D76" s="165">
        <f>'CCE1'!D73+'CCE1'!E73</f>
        <v>20</v>
      </c>
      <c r="E76" s="165">
        <f>'CCE1'!E73+'CCE1'!F73</f>
        <v>18</v>
      </c>
      <c r="F76" s="165">
        <f>'CCE1'!F73+'CCE1'!G73</f>
        <v>8</v>
      </c>
      <c r="G76" s="164"/>
      <c r="H76" s="164"/>
      <c r="I76" s="165">
        <f>'CCE2'!D73+'CCE2'!E73</f>
        <v>10</v>
      </c>
      <c r="J76" s="165">
        <f>'CCE2'!F73+'CCE2'!G73</f>
        <v>10</v>
      </c>
      <c r="K76" s="164"/>
      <c r="L76" s="164"/>
      <c r="M76" s="164"/>
      <c r="N76" s="165">
        <f>'CCE3'!D73</f>
        <v>9</v>
      </c>
      <c r="O76" s="165">
        <f>'CCE3'!E73</f>
        <v>10</v>
      </c>
      <c r="P76" s="165">
        <f>'CCE3'!F73</f>
        <v>10</v>
      </c>
      <c r="Q76" s="165">
        <f>'CCE3'!G73</f>
        <v>8</v>
      </c>
      <c r="R76" s="165">
        <f>'CCE3'!H73</f>
        <v>9</v>
      </c>
      <c r="S76" s="163">
        <f t="shared" si="0"/>
        <v>39</v>
      </c>
      <c r="T76" s="163">
        <f t="shared" si="0"/>
        <v>38</v>
      </c>
      <c r="U76" s="163">
        <f t="shared" si="0"/>
        <v>18</v>
      </c>
      <c r="V76" s="163">
        <f t="shared" si="0"/>
        <v>8</v>
      </c>
      <c r="W76" s="163">
        <f t="shared" si="1"/>
        <v>9</v>
      </c>
      <c r="X76" s="163">
        <f t="shared" si="2"/>
        <v>112</v>
      </c>
    </row>
    <row r="77" spans="1:24" s="161" customFormat="1" ht="15.75">
      <c r="A77" s="160">
        <v>64</v>
      </c>
      <c r="B77" s="158">
        <v>22164</v>
      </c>
      <c r="C77" s="159" t="s">
        <v>187</v>
      </c>
      <c r="D77" s="165">
        <f>'CCE1'!D74+'CCE1'!E74</f>
        <v>14</v>
      </c>
      <c r="E77" s="165">
        <f>'CCE1'!E74+'CCE1'!F74</f>
        <v>11</v>
      </c>
      <c r="F77" s="165">
        <f>'CCE1'!F74+'CCE1'!G74</f>
        <v>6</v>
      </c>
      <c r="G77" s="164"/>
      <c r="H77" s="164"/>
      <c r="I77" s="165">
        <f>'CCE2'!D74+'CCE2'!E74</f>
        <v>9</v>
      </c>
      <c r="J77" s="165">
        <f>'CCE2'!F74+'CCE2'!G74</f>
        <v>9</v>
      </c>
      <c r="K77" s="164"/>
      <c r="L77" s="164"/>
      <c r="M77" s="164"/>
      <c r="N77" s="165">
        <f>'CCE3'!D74</f>
        <v>10</v>
      </c>
      <c r="O77" s="165">
        <f>'CCE3'!E74</f>
        <v>9</v>
      </c>
      <c r="P77" s="165">
        <f>'CCE3'!F74</f>
        <v>9</v>
      </c>
      <c r="Q77" s="165">
        <f>'CCE3'!G74</f>
        <v>8</v>
      </c>
      <c r="R77" s="165">
        <f>'CCE3'!H74</f>
        <v>8</v>
      </c>
      <c r="S77" s="163">
        <f t="shared" si="0"/>
        <v>33</v>
      </c>
      <c r="T77" s="163">
        <f t="shared" si="0"/>
        <v>29</v>
      </c>
      <c r="U77" s="163">
        <f t="shared" si="0"/>
        <v>15</v>
      </c>
      <c r="V77" s="163">
        <f t="shared" ref="V77:W121" si="3">IFERROR(SUM(G77,L77,Q77),"AB")</f>
        <v>8</v>
      </c>
      <c r="W77" s="163">
        <f t="shared" si="1"/>
        <v>8</v>
      </c>
      <c r="X77" s="163">
        <f t="shared" si="2"/>
        <v>93</v>
      </c>
    </row>
    <row r="78" spans="1:24" s="161" customFormat="1" ht="15.75">
      <c r="A78" s="160">
        <v>65</v>
      </c>
      <c r="B78" s="158">
        <v>22165</v>
      </c>
      <c r="C78" s="159" t="s">
        <v>188</v>
      </c>
      <c r="D78" s="165">
        <f>'CCE1'!D75+'CCE1'!E75</f>
        <v>17</v>
      </c>
      <c r="E78" s="165">
        <f>'CCE1'!E75+'CCE1'!F75</f>
        <v>19</v>
      </c>
      <c r="F78" s="165">
        <f>'CCE1'!F75+'CCE1'!G75</f>
        <v>10</v>
      </c>
      <c r="G78" s="164"/>
      <c r="H78" s="164"/>
      <c r="I78" s="165">
        <f>'CCE2'!D75+'CCE2'!E75</f>
        <v>7</v>
      </c>
      <c r="J78" s="165">
        <f>'CCE2'!F75+'CCE2'!G75</f>
        <v>8</v>
      </c>
      <c r="K78" s="164"/>
      <c r="L78" s="164"/>
      <c r="M78" s="164"/>
      <c r="N78" s="165">
        <f>'CCE3'!D75</f>
        <v>8</v>
      </c>
      <c r="O78" s="165">
        <f>'CCE3'!E75</f>
        <v>9</v>
      </c>
      <c r="P78" s="165">
        <f>'CCE3'!F75</f>
        <v>8</v>
      </c>
      <c r="Q78" s="165">
        <f>'CCE3'!G75</f>
        <v>10</v>
      </c>
      <c r="R78" s="165">
        <f>'CCE3'!H75</f>
        <v>10</v>
      </c>
      <c r="S78" s="163">
        <f t="shared" ref="S78:U121" si="4">IFERROR(SUM(D78,I78,N78),"AB")</f>
        <v>32</v>
      </c>
      <c r="T78" s="163">
        <f t="shared" si="4"/>
        <v>36</v>
      </c>
      <c r="U78" s="163">
        <f t="shared" si="4"/>
        <v>18</v>
      </c>
      <c r="V78" s="163">
        <f t="shared" si="3"/>
        <v>10</v>
      </c>
      <c r="W78" s="163">
        <f t="shared" si="3"/>
        <v>10</v>
      </c>
      <c r="X78" s="163">
        <f t="shared" ref="X78:X121" si="5">IFERROR(SUM(S78:W78),"AB")</f>
        <v>106</v>
      </c>
    </row>
    <row r="79" spans="1:24" s="161" customFormat="1" ht="15.75">
      <c r="A79" s="160">
        <v>66</v>
      </c>
      <c r="B79" s="158">
        <v>22166</v>
      </c>
      <c r="C79" s="159" t="s">
        <v>189</v>
      </c>
      <c r="D79" s="165">
        <f>'CCE1'!D76+'CCE1'!E76</f>
        <v>20</v>
      </c>
      <c r="E79" s="165">
        <f>'CCE1'!E76+'CCE1'!F76</f>
        <v>20</v>
      </c>
      <c r="F79" s="165">
        <f>'CCE1'!F76+'CCE1'!G76</f>
        <v>10</v>
      </c>
      <c r="G79" s="164"/>
      <c r="H79" s="164"/>
      <c r="I79" s="165">
        <f>'CCE2'!D76+'CCE2'!E76</f>
        <v>9</v>
      </c>
      <c r="J79" s="165">
        <f>'CCE2'!F76+'CCE2'!G76</f>
        <v>8</v>
      </c>
      <c r="K79" s="164"/>
      <c r="L79" s="164"/>
      <c r="M79" s="164"/>
      <c r="N79" s="165">
        <f>'CCE3'!D76</f>
        <v>8</v>
      </c>
      <c r="O79" s="165">
        <f>'CCE3'!E76</f>
        <v>10</v>
      </c>
      <c r="P79" s="165">
        <f>'CCE3'!F76</f>
        <v>8</v>
      </c>
      <c r="Q79" s="165">
        <f>'CCE3'!G76</f>
        <v>8</v>
      </c>
      <c r="R79" s="165">
        <f>'CCE3'!H76</f>
        <v>8</v>
      </c>
      <c r="S79" s="163">
        <f t="shared" si="4"/>
        <v>37</v>
      </c>
      <c r="T79" s="163">
        <f t="shared" si="4"/>
        <v>38</v>
      </c>
      <c r="U79" s="163">
        <f t="shared" si="4"/>
        <v>18</v>
      </c>
      <c r="V79" s="163">
        <f t="shared" si="3"/>
        <v>8</v>
      </c>
      <c r="W79" s="163">
        <f t="shared" si="3"/>
        <v>8</v>
      </c>
      <c r="X79" s="163">
        <f t="shared" si="5"/>
        <v>109</v>
      </c>
    </row>
    <row r="80" spans="1:24" s="161" customFormat="1" ht="15.75">
      <c r="A80" s="160">
        <v>67</v>
      </c>
      <c r="B80" s="158">
        <v>22167</v>
      </c>
      <c r="C80" s="159" t="s">
        <v>190</v>
      </c>
      <c r="D80" s="165">
        <f>'CCE1'!D77+'CCE1'!E77</f>
        <v>18</v>
      </c>
      <c r="E80" s="165">
        <f>'CCE1'!E77+'CCE1'!F77</f>
        <v>16</v>
      </c>
      <c r="F80" s="165">
        <f>'CCE1'!F77+'CCE1'!G77</f>
        <v>8</v>
      </c>
      <c r="G80" s="164"/>
      <c r="H80" s="164"/>
      <c r="I80" s="165">
        <f>'CCE2'!D77+'CCE2'!E77</f>
        <v>7</v>
      </c>
      <c r="J80" s="165">
        <f>'CCE2'!F77+'CCE2'!G77</f>
        <v>9</v>
      </c>
      <c r="K80" s="164"/>
      <c r="L80" s="164"/>
      <c r="M80" s="164"/>
      <c r="N80" s="165">
        <f>'CCE3'!D77</f>
        <v>9</v>
      </c>
      <c r="O80" s="165">
        <f>'CCE3'!E77</f>
        <v>6</v>
      </c>
      <c r="P80" s="165">
        <f>'CCE3'!F77</f>
        <v>5</v>
      </c>
      <c r="Q80" s="165">
        <f>'CCE3'!G77</f>
        <v>5</v>
      </c>
      <c r="R80" s="165">
        <f>'CCE3'!H77</f>
        <v>4</v>
      </c>
      <c r="S80" s="163">
        <f t="shared" si="4"/>
        <v>34</v>
      </c>
      <c r="T80" s="163">
        <f t="shared" si="4"/>
        <v>31</v>
      </c>
      <c r="U80" s="163">
        <f t="shared" si="4"/>
        <v>13</v>
      </c>
      <c r="V80" s="163">
        <f t="shared" si="3"/>
        <v>5</v>
      </c>
      <c r="W80" s="163">
        <f t="shared" si="3"/>
        <v>4</v>
      </c>
      <c r="X80" s="163">
        <f t="shared" si="5"/>
        <v>87</v>
      </c>
    </row>
    <row r="81" spans="1:24" s="161" customFormat="1" ht="15.75">
      <c r="A81" s="160">
        <v>68</v>
      </c>
      <c r="B81" s="158">
        <v>22168</v>
      </c>
      <c r="C81" s="159" t="s">
        <v>191</v>
      </c>
      <c r="D81" s="165">
        <f>'CCE1'!D78+'CCE1'!E78</f>
        <v>19</v>
      </c>
      <c r="E81" s="165">
        <f>'CCE1'!E78+'CCE1'!F78</f>
        <v>19</v>
      </c>
      <c r="F81" s="165">
        <f>'CCE1'!F78+'CCE1'!G78</f>
        <v>10</v>
      </c>
      <c r="G81" s="164"/>
      <c r="H81" s="164"/>
      <c r="I81" s="165">
        <f>'CCE2'!D78+'CCE2'!E78</f>
        <v>6</v>
      </c>
      <c r="J81" s="165">
        <f>'CCE2'!F78+'CCE2'!G78</f>
        <v>7</v>
      </c>
      <c r="K81" s="164"/>
      <c r="L81" s="164"/>
      <c r="M81" s="164"/>
      <c r="N81" s="165">
        <f>'CCE3'!D78</f>
        <v>10</v>
      </c>
      <c r="O81" s="165">
        <f>'CCE3'!E78</f>
        <v>10</v>
      </c>
      <c r="P81" s="165">
        <f>'CCE3'!F78</f>
        <v>9</v>
      </c>
      <c r="Q81" s="165">
        <f>'CCE3'!G78</f>
        <v>8</v>
      </c>
      <c r="R81" s="165">
        <f>'CCE3'!H78</f>
        <v>5</v>
      </c>
      <c r="S81" s="163">
        <f t="shared" si="4"/>
        <v>35</v>
      </c>
      <c r="T81" s="163">
        <f t="shared" si="4"/>
        <v>36</v>
      </c>
      <c r="U81" s="163">
        <f t="shared" si="4"/>
        <v>19</v>
      </c>
      <c r="V81" s="163">
        <f t="shared" si="3"/>
        <v>8</v>
      </c>
      <c r="W81" s="163">
        <f t="shared" si="3"/>
        <v>5</v>
      </c>
      <c r="X81" s="163">
        <f t="shared" si="5"/>
        <v>103</v>
      </c>
    </row>
    <row r="82" spans="1:24" s="161" customFormat="1" ht="15.75">
      <c r="A82" s="160">
        <v>69</v>
      </c>
      <c r="B82" s="158">
        <v>22201</v>
      </c>
      <c r="C82" s="159" t="s">
        <v>192</v>
      </c>
      <c r="D82" s="165">
        <f>'CCE1'!D79+'CCE1'!E79</f>
        <v>18</v>
      </c>
      <c r="E82" s="165">
        <f>'CCE1'!E79+'CCE1'!F79</f>
        <v>20</v>
      </c>
      <c r="F82" s="165">
        <f>'CCE1'!F79+'CCE1'!G79</f>
        <v>10</v>
      </c>
      <c r="G82" s="164"/>
      <c r="H82" s="164"/>
      <c r="I82" s="165">
        <f>'CCE2'!D79+'CCE2'!E79</f>
        <v>9</v>
      </c>
      <c r="J82" s="165">
        <f>'CCE2'!F79+'CCE2'!G79</f>
        <v>8</v>
      </c>
      <c r="K82" s="164"/>
      <c r="L82" s="164"/>
      <c r="M82" s="164"/>
      <c r="N82" s="165">
        <f>'CCE3'!D79</f>
        <v>9</v>
      </c>
      <c r="O82" s="165">
        <f>'CCE3'!E79</f>
        <v>10</v>
      </c>
      <c r="P82" s="165">
        <f>'CCE3'!F79</f>
        <v>8</v>
      </c>
      <c r="Q82" s="165">
        <f>'CCE3'!G79</f>
        <v>7</v>
      </c>
      <c r="R82" s="165">
        <f>'CCE3'!H79</f>
        <v>8</v>
      </c>
      <c r="S82" s="163">
        <f t="shared" si="4"/>
        <v>36</v>
      </c>
      <c r="T82" s="163">
        <f t="shared" si="4"/>
        <v>38</v>
      </c>
      <c r="U82" s="163">
        <f t="shared" si="4"/>
        <v>18</v>
      </c>
      <c r="V82" s="163">
        <f t="shared" si="3"/>
        <v>7</v>
      </c>
      <c r="W82" s="163">
        <f t="shared" si="3"/>
        <v>8</v>
      </c>
      <c r="X82" s="163">
        <f t="shared" si="5"/>
        <v>107</v>
      </c>
    </row>
    <row r="83" spans="1:24" s="161" customFormat="1" ht="15.75">
      <c r="A83" s="160">
        <v>70</v>
      </c>
      <c r="B83" s="158">
        <v>22202</v>
      </c>
      <c r="C83" s="159" t="s">
        <v>193</v>
      </c>
      <c r="D83" s="165">
        <f>'CCE1'!D80+'CCE1'!E80</f>
        <v>18</v>
      </c>
      <c r="E83" s="165">
        <f>'CCE1'!E80+'CCE1'!F80</f>
        <v>18</v>
      </c>
      <c r="F83" s="165">
        <f>'CCE1'!F80+'CCE1'!G80</f>
        <v>9</v>
      </c>
      <c r="G83" s="164"/>
      <c r="H83" s="164"/>
      <c r="I83" s="165">
        <f>'CCE2'!D80+'CCE2'!E80</f>
        <v>9</v>
      </c>
      <c r="J83" s="165">
        <f>'CCE2'!F80+'CCE2'!G80</f>
        <v>7</v>
      </c>
      <c r="K83" s="164"/>
      <c r="L83" s="164"/>
      <c r="M83" s="164"/>
      <c r="N83" s="165">
        <f>'CCE3'!D80</f>
        <v>10</v>
      </c>
      <c r="O83" s="165">
        <f>'CCE3'!E80</f>
        <v>10</v>
      </c>
      <c r="P83" s="165">
        <f>'CCE3'!F80</f>
        <v>8</v>
      </c>
      <c r="Q83" s="165">
        <f>'CCE3'!G80</f>
        <v>10</v>
      </c>
      <c r="R83" s="165">
        <f>'CCE3'!H80</f>
        <v>8</v>
      </c>
      <c r="S83" s="163">
        <f t="shared" si="4"/>
        <v>37</v>
      </c>
      <c r="T83" s="163">
        <f t="shared" si="4"/>
        <v>35</v>
      </c>
      <c r="U83" s="163">
        <f t="shared" si="4"/>
        <v>17</v>
      </c>
      <c r="V83" s="163">
        <f t="shared" si="3"/>
        <v>10</v>
      </c>
      <c r="W83" s="163">
        <f t="shared" si="3"/>
        <v>8</v>
      </c>
      <c r="X83" s="163">
        <f t="shared" si="5"/>
        <v>107</v>
      </c>
    </row>
    <row r="84" spans="1:24" s="161" customFormat="1" ht="15.75">
      <c r="A84" s="160">
        <v>71</v>
      </c>
      <c r="B84" s="158">
        <v>22203</v>
      </c>
      <c r="C84" s="159" t="s">
        <v>194</v>
      </c>
      <c r="D84" s="165">
        <f>'CCE1'!D81+'CCE1'!E81</f>
        <v>18</v>
      </c>
      <c r="E84" s="165">
        <f>'CCE1'!E81+'CCE1'!F81</f>
        <v>17</v>
      </c>
      <c r="F84" s="165">
        <f>'CCE1'!F81+'CCE1'!G81</f>
        <v>8</v>
      </c>
      <c r="G84" s="164"/>
      <c r="H84" s="164"/>
      <c r="I84" s="165">
        <f>'CCE2'!D81+'CCE2'!E81</f>
        <v>8</v>
      </c>
      <c r="J84" s="165">
        <f>'CCE2'!F81+'CCE2'!G81</f>
        <v>7</v>
      </c>
      <c r="K84" s="164"/>
      <c r="L84" s="164"/>
      <c r="M84" s="164"/>
      <c r="N84" s="165">
        <f>'CCE3'!D81</f>
        <v>6</v>
      </c>
      <c r="O84" s="165">
        <f>'CCE3'!E81</f>
        <v>5</v>
      </c>
      <c r="P84" s="165">
        <f>'CCE3'!F81</f>
        <v>5</v>
      </c>
      <c r="Q84" s="165">
        <f>'CCE3'!G81</f>
        <v>8</v>
      </c>
      <c r="R84" s="165">
        <f>'CCE3'!H81</f>
        <v>5</v>
      </c>
      <c r="S84" s="163">
        <f t="shared" si="4"/>
        <v>32</v>
      </c>
      <c r="T84" s="163">
        <f t="shared" si="4"/>
        <v>29</v>
      </c>
      <c r="U84" s="163">
        <f t="shared" si="4"/>
        <v>13</v>
      </c>
      <c r="V84" s="163">
        <f t="shared" si="3"/>
        <v>8</v>
      </c>
      <c r="W84" s="163">
        <f t="shared" si="3"/>
        <v>5</v>
      </c>
      <c r="X84" s="163">
        <f t="shared" si="5"/>
        <v>87</v>
      </c>
    </row>
    <row r="85" spans="1:24" s="161" customFormat="1" ht="15.75">
      <c r="A85" s="160">
        <v>72</v>
      </c>
      <c r="B85" s="158">
        <v>22204</v>
      </c>
      <c r="C85" s="159" t="s">
        <v>195</v>
      </c>
      <c r="D85" s="165">
        <f>'CCE1'!D82+'CCE1'!E82</f>
        <v>19</v>
      </c>
      <c r="E85" s="165">
        <f>'CCE1'!E82+'CCE1'!F82</f>
        <v>18</v>
      </c>
      <c r="F85" s="165">
        <f>'CCE1'!F82+'CCE1'!G82</f>
        <v>8</v>
      </c>
      <c r="G85" s="164"/>
      <c r="H85" s="164"/>
      <c r="I85" s="165">
        <f>'CCE2'!D82+'CCE2'!E82</f>
        <v>8</v>
      </c>
      <c r="J85" s="165">
        <f>'CCE2'!F82+'CCE2'!G82</f>
        <v>8</v>
      </c>
      <c r="K85" s="164"/>
      <c r="L85" s="164"/>
      <c r="M85" s="164"/>
      <c r="N85" s="165">
        <f>'CCE3'!D82</f>
        <v>8</v>
      </c>
      <c r="O85" s="165">
        <f>'CCE3'!E82</f>
        <v>10</v>
      </c>
      <c r="P85" s="165">
        <f>'CCE3'!F82</f>
        <v>9</v>
      </c>
      <c r="Q85" s="165">
        <f>'CCE3'!G82</f>
        <v>9</v>
      </c>
      <c r="R85" s="165">
        <f>'CCE3'!H82</f>
        <v>8</v>
      </c>
      <c r="S85" s="163">
        <f t="shared" si="4"/>
        <v>35</v>
      </c>
      <c r="T85" s="163">
        <f t="shared" si="4"/>
        <v>36</v>
      </c>
      <c r="U85" s="163">
        <f t="shared" si="4"/>
        <v>17</v>
      </c>
      <c r="V85" s="163">
        <f t="shared" si="3"/>
        <v>9</v>
      </c>
      <c r="W85" s="163">
        <f t="shared" si="3"/>
        <v>8</v>
      </c>
      <c r="X85" s="163">
        <f t="shared" si="5"/>
        <v>105</v>
      </c>
    </row>
    <row r="86" spans="1:24" s="161" customFormat="1" ht="15.75">
      <c r="A86" s="160">
        <v>73</v>
      </c>
      <c r="B86" s="158">
        <v>22205</v>
      </c>
      <c r="C86" s="159" t="s">
        <v>196</v>
      </c>
      <c r="D86" s="165">
        <f>'CCE1'!D83+'CCE1'!E83</f>
        <v>18</v>
      </c>
      <c r="E86" s="165">
        <f>'CCE1'!E83+'CCE1'!F83</f>
        <v>17</v>
      </c>
      <c r="F86" s="165">
        <f>'CCE1'!F83+'CCE1'!G83</f>
        <v>8</v>
      </c>
      <c r="G86" s="164"/>
      <c r="H86" s="164"/>
      <c r="I86" s="165">
        <f>'CCE2'!D83+'CCE2'!E83</f>
        <v>1</v>
      </c>
      <c r="J86" s="165">
        <f>'CCE2'!F83+'CCE2'!G83</f>
        <v>7</v>
      </c>
      <c r="K86" s="164"/>
      <c r="L86" s="164"/>
      <c r="M86" s="164"/>
      <c r="N86" s="165">
        <f>'CCE3'!D83</f>
        <v>10</v>
      </c>
      <c r="O86" s="165">
        <f>'CCE3'!E83</f>
        <v>8</v>
      </c>
      <c r="P86" s="165">
        <f>'CCE3'!F83</f>
        <v>8</v>
      </c>
      <c r="Q86" s="165">
        <f>'CCE3'!G83</f>
        <v>8</v>
      </c>
      <c r="R86" s="165">
        <f>'CCE3'!H83</f>
        <v>8</v>
      </c>
      <c r="S86" s="163">
        <f t="shared" si="4"/>
        <v>29</v>
      </c>
      <c r="T86" s="163">
        <f t="shared" si="4"/>
        <v>32</v>
      </c>
      <c r="U86" s="163">
        <f t="shared" si="4"/>
        <v>16</v>
      </c>
      <c r="V86" s="163">
        <f t="shared" si="3"/>
        <v>8</v>
      </c>
      <c r="W86" s="163">
        <f t="shared" si="3"/>
        <v>8</v>
      </c>
      <c r="X86" s="163">
        <f t="shared" si="5"/>
        <v>93</v>
      </c>
    </row>
    <row r="87" spans="1:24" s="161" customFormat="1" ht="15.75">
      <c r="A87" s="160">
        <v>74</v>
      </c>
      <c r="B87" s="158">
        <v>22206</v>
      </c>
      <c r="C87" s="159" t="s">
        <v>197</v>
      </c>
      <c r="D87" s="165">
        <f>'CCE1'!D84+'CCE1'!E84</f>
        <v>13</v>
      </c>
      <c r="E87" s="165">
        <f>'CCE1'!E84+'CCE1'!F84</f>
        <v>15</v>
      </c>
      <c r="F87" s="165">
        <f>'CCE1'!F84+'CCE1'!G84</f>
        <v>8</v>
      </c>
      <c r="G87" s="164"/>
      <c r="H87" s="164"/>
      <c r="I87" s="165">
        <f>'CCE2'!D84+'CCE2'!E84</f>
        <v>7</v>
      </c>
      <c r="J87" s="165">
        <f>'CCE2'!F84+'CCE2'!G84</f>
        <v>7</v>
      </c>
      <c r="K87" s="164"/>
      <c r="L87" s="164"/>
      <c r="M87" s="164"/>
      <c r="N87" s="165">
        <f>'CCE3'!D84</f>
        <v>8</v>
      </c>
      <c r="O87" s="165">
        <f>'CCE3'!E84</f>
        <v>8</v>
      </c>
      <c r="P87" s="165">
        <f>'CCE3'!F84</f>
        <v>9</v>
      </c>
      <c r="Q87" s="165">
        <f>'CCE3'!G84</f>
        <v>10</v>
      </c>
      <c r="R87" s="165">
        <f>'CCE3'!H84</f>
        <v>10</v>
      </c>
      <c r="S87" s="163">
        <f t="shared" si="4"/>
        <v>28</v>
      </c>
      <c r="T87" s="163">
        <f t="shared" si="4"/>
        <v>30</v>
      </c>
      <c r="U87" s="163">
        <f t="shared" si="4"/>
        <v>17</v>
      </c>
      <c r="V87" s="163">
        <f t="shared" si="3"/>
        <v>10</v>
      </c>
      <c r="W87" s="163">
        <f t="shared" si="3"/>
        <v>10</v>
      </c>
      <c r="X87" s="163">
        <f t="shared" si="5"/>
        <v>95</v>
      </c>
    </row>
    <row r="88" spans="1:24" s="161" customFormat="1" ht="15.75">
      <c r="A88" s="160">
        <v>75</v>
      </c>
      <c r="B88" s="158">
        <v>22207</v>
      </c>
      <c r="C88" s="159" t="s">
        <v>198</v>
      </c>
      <c r="D88" s="165">
        <f>'CCE1'!D85+'CCE1'!E85</f>
        <v>18</v>
      </c>
      <c r="E88" s="165">
        <f>'CCE1'!E85+'CCE1'!F85</f>
        <v>18</v>
      </c>
      <c r="F88" s="165">
        <f>'CCE1'!F85+'CCE1'!G85</f>
        <v>8</v>
      </c>
      <c r="G88" s="164"/>
      <c r="H88" s="164"/>
      <c r="I88" s="165">
        <f>'CCE2'!D85+'CCE2'!E85</f>
        <v>7</v>
      </c>
      <c r="J88" s="165">
        <f>'CCE2'!F85+'CCE2'!G85</f>
        <v>8</v>
      </c>
      <c r="K88" s="164"/>
      <c r="L88" s="164"/>
      <c r="M88" s="164"/>
      <c r="N88" s="165">
        <f>'CCE3'!D85</f>
        <v>9</v>
      </c>
      <c r="O88" s="165">
        <f>'CCE3'!E85</f>
        <v>10</v>
      </c>
      <c r="P88" s="165">
        <f>'CCE3'!F85</f>
        <v>8</v>
      </c>
      <c r="Q88" s="165">
        <f>'CCE3'!G85</f>
        <v>8</v>
      </c>
      <c r="R88" s="165">
        <f>'CCE3'!H85</f>
        <v>9</v>
      </c>
      <c r="S88" s="163">
        <f t="shared" si="4"/>
        <v>34</v>
      </c>
      <c r="T88" s="163">
        <f t="shared" si="4"/>
        <v>36</v>
      </c>
      <c r="U88" s="163">
        <f t="shared" si="4"/>
        <v>16</v>
      </c>
      <c r="V88" s="163">
        <f t="shared" si="3"/>
        <v>8</v>
      </c>
      <c r="W88" s="163">
        <f t="shared" si="3"/>
        <v>9</v>
      </c>
      <c r="X88" s="163">
        <f t="shared" si="5"/>
        <v>103</v>
      </c>
    </row>
    <row r="89" spans="1:24" s="161" customFormat="1" ht="15.75">
      <c r="A89" s="160">
        <v>76</v>
      </c>
      <c r="B89" s="158">
        <v>22208</v>
      </c>
      <c r="C89" s="159" t="s">
        <v>199</v>
      </c>
      <c r="D89" s="165">
        <f>'CCE1'!D86+'CCE1'!E86</f>
        <v>18</v>
      </c>
      <c r="E89" s="165">
        <f>'CCE1'!E86+'CCE1'!F86</f>
        <v>19</v>
      </c>
      <c r="F89" s="165">
        <f>'CCE1'!F86+'CCE1'!G86</f>
        <v>9</v>
      </c>
      <c r="G89" s="164"/>
      <c r="H89" s="164"/>
      <c r="I89" s="165">
        <f>'CCE2'!D86+'CCE2'!E86</f>
        <v>7</v>
      </c>
      <c r="J89" s="165">
        <f>'CCE2'!F86+'CCE2'!G86</f>
        <v>4</v>
      </c>
      <c r="K89" s="164"/>
      <c r="L89" s="164"/>
      <c r="M89" s="164"/>
      <c r="N89" s="165">
        <f>'CCE3'!D86</f>
        <v>9</v>
      </c>
      <c r="O89" s="165">
        <f>'CCE3'!E86</f>
        <v>6</v>
      </c>
      <c r="P89" s="165">
        <f>'CCE3'!F86</f>
        <v>5</v>
      </c>
      <c r="Q89" s="165">
        <f>'CCE3'!G86</f>
        <v>5</v>
      </c>
      <c r="R89" s="165">
        <f>'CCE3'!H86</f>
        <v>8</v>
      </c>
      <c r="S89" s="163">
        <f t="shared" si="4"/>
        <v>34</v>
      </c>
      <c r="T89" s="163">
        <f t="shared" si="4"/>
        <v>29</v>
      </c>
      <c r="U89" s="163">
        <f t="shared" si="4"/>
        <v>14</v>
      </c>
      <c r="V89" s="163">
        <f t="shared" si="3"/>
        <v>5</v>
      </c>
      <c r="W89" s="163">
        <f t="shared" si="3"/>
        <v>8</v>
      </c>
      <c r="X89" s="163">
        <f t="shared" si="5"/>
        <v>90</v>
      </c>
    </row>
    <row r="90" spans="1:24" ht="15.75">
      <c r="A90" s="160">
        <v>77</v>
      </c>
      <c r="B90" s="158">
        <v>22209</v>
      </c>
      <c r="C90" s="159" t="s">
        <v>200</v>
      </c>
      <c r="D90" s="165">
        <f>'CCE1'!D87+'CCE1'!E87</f>
        <v>18</v>
      </c>
      <c r="E90" s="165">
        <f>'CCE1'!E87+'CCE1'!F87</f>
        <v>17</v>
      </c>
      <c r="F90" s="165">
        <f>'CCE1'!F87+'CCE1'!G87</f>
        <v>8</v>
      </c>
      <c r="G90" s="162"/>
      <c r="H90" s="162"/>
      <c r="I90" s="165">
        <f>'CCE2'!D87+'CCE2'!E87</f>
        <v>8</v>
      </c>
      <c r="J90" s="165">
        <f>'CCE2'!F87+'CCE2'!G87</f>
        <v>8</v>
      </c>
      <c r="K90" s="162"/>
      <c r="L90" s="162"/>
      <c r="M90" s="162"/>
      <c r="N90" s="165">
        <f>'CCE3'!D87</f>
        <v>8</v>
      </c>
      <c r="O90" s="165">
        <f>'CCE3'!E87</f>
        <v>8</v>
      </c>
      <c r="P90" s="165">
        <f>'CCE3'!F87</f>
        <v>10</v>
      </c>
      <c r="Q90" s="165">
        <f>'CCE3'!G87</f>
        <v>9</v>
      </c>
      <c r="R90" s="165">
        <f>'CCE3'!H87</f>
        <v>9</v>
      </c>
      <c r="S90" s="163">
        <f t="shared" si="4"/>
        <v>34</v>
      </c>
      <c r="T90" s="163">
        <f t="shared" si="4"/>
        <v>33</v>
      </c>
      <c r="U90" s="163">
        <f t="shared" si="4"/>
        <v>18</v>
      </c>
      <c r="V90" s="163">
        <f t="shared" si="3"/>
        <v>9</v>
      </c>
      <c r="W90" s="163">
        <f t="shared" si="3"/>
        <v>9</v>
      </c>
      <c r="X90" s="163">
        <f t="shared" si="5"/>
        <v>103</v>
      </c>
    </row>
    <row r="91" spans="1:24" ht="15.75">
      <c r="A91" s="160">
        <v>78</v>
      </c>
      <c r="B91" s="158">
        <v>22210</v>
      </c>
      <c r="C91" s="159" t="s">
        <v>201</v>
      </c>
      <c r="D91" s="165">
        <f>'CCE1'!D88+'CCE1'!E88</f>
        <v>19</v>
      </c>
      <c r="E91" s="165">
        <f>'CCE1'!E88+'CCE1'!F88</f>
        <v>15</v>
      </c>
      <c r="F91" s="165">
        <f>'CCE1'!F88+'CCE1'!G88</f>
        <v>6</v>
      </c>
      <c r="G91" s="164"/>
      <c r="H91" s="164"/>
      <c r="I91" s="165">
        <f>'CCE2'!D88+'CCE2'!E88</f>
        <v>10</v>
      </c>
      <c r="J91" s="165">
        <f>'CCE2'!F88+'CCE2'!G88</f>
        <v>7</v>
      </c>
      <c r="K91" s="164"/>
      <c r="L91" s="164"/>
      <c r="M91" s="164"/>
      <c r="N91" s="165">
        <f>'CCE3'!D88</f>
        <v>9</v>
      </c>
      <c r="O91" s="165">
        <f>'CCE3'!E88</f>
        <v>8</v>
      </c>
      <c r="P91" s="165">
        <f>'CCE3'!F88</f>
        <v>9</v>
      </c>
      <c r="Q91" s="165">
        <f>'CCE3'!G88</f>
        <v>8</v>
      </c>
      <c r="R91" s="165">
        <f>'CCE3'!H88</f>
        <v>10</v>
      </c>
      <c r="S91" s="163">
        <f t="shared" si="4"/>
        <v>38</v>
      </c>
      <c r="T91" s="163">
        <f t="shared" si="4"/>
        <v>30</v>
      </c>
      <c r="U91" s="163">
        <f t="shared" si="4"/>
        <v>15</v>
      </c>
      <c r="V91" s="163">
        <f t="shared" si="3"/>
        <v>8</v>
      </c>
      <c r="W91" s="163">
        <f t="shared" si="3"/>
        <v>10</v>
      </c>
      <c r="X91" s="163">
        <f t="shared" si="5"/>
        <v>101</v>
      </c>
    </row>
    <row r="92" spans="1:24" ht="15.75">
      <c r="A92" s="160">
        <v>79</v>
      </c>
      <c r="B92" s="158">
        <v>22211</v>
      </c>
      <c r="C92" s="159" t="s">
        <v>202</v>
      </c>
      <c r="D92" s="165">
        <f>'CCE1'!D89+'CCE1'!E89</f>
        <v>17</v>
      </c>
      <c r="E92" s="165">
        <f>'CCE1'!E89+'CCE1'!F89</f>
        <v>16</v>
      </c>
      <c r="F92" s="165">
        <f>'CCE1'!F89+'CCE1'!G89</f>
        <v>7</v>
      </c>
      <c r="G92" s="164"/>
      <c r="H92" s="164"/>
      <c r="I92" s="165">
        <f>'CCE2'!D89+'CCE2'!E89</f>
        <v>7</v>
      </c>
      <c r="J92" s="165">
        <f>'CCE2'!F89+'CCE2'!G89</f>
        <v>10</v>
      </c>
      <c r="K92" s="164"/>
      <c r="L92" s="164"/>
      <c r="M92" s="164"/>
      <c r="N92" s="165">
        <f>'CCE3'!D89</f>
        <v>10</v>
      </c>
      <c r="O92" s="165">
        <f>'CCE3'!E89</f>
        <v>9</v>
      </c>
      <c r="P92" s="165">
        <f>'CCE3'!F89</f>
        <v>9</v>
      </c>
      <c r="Q92" s="165">
        <f>'CCE3'!G89</f>
        <v>10</v>
      </c>
      <c r="R92" s="165">
        <f>'CCE3'!H89</f>
        <v>10</v>
      </c>
      <c r="S92" s="163">
        <f t="shared" si="4"/>
        <v>34</v>
      </c>
      <c r="T92" s="163">
        <f t="shared" si="4"/>
        <v>35</v>
      </c>
      <c r="U92" s="163">
        <f t="shared" si="4"/>
        <v>16</v>
      </c>
      <c r="V92" s="163">
        <f t="shared" si="3"/>
        <v>10</v>
      </c>
      <c r="W92" s="163">
        <f t="shared" si="3"/>
        <v>10</v>
      </c>
      <c r="X92" s="163">
        <f t="shared" si="5"/>
        <v>105</v>
      </c>
    </row>
    <row r="93" spans="1:24" ht="15.75">
      <c r="A93" s="160">
        <v>80</v>
      </c>
      <c r="B93" s="158">
        <v>22212</v>
      </c>
      <c r="C93" s="159" t="s">
        <v>203</v>
      </c>
      <c r="D93" s="165">
        <f>'CCE1'!D90+'CCE1'!E90</f>
        <v>14</v>
      </c>
      <c r="E93" s="165">
        <f>'CCE1'!E90+'CCE1'!F90</f>
        <v>15</v>
      </c>
      <c r="F93" s="165">
        <f>'CCE1'!F90+'CCE1'!G90</f>
        <v>7</v>
      </c>
      <c r="G93" s="164"/>
      <c r="H93" s="164"/>
      <c r="I93" s="165">
        <f>'CCE2'!D90+'CCE2'!E90</f>
        <v>10</v>
      </c>
      <c r="J93" s="165">
        <f>'CCE2'!F90+'CCE2'!G90</f>
        <v>9</v>
      </c>
      <c r="K93" s="164"/>
      <c r="L93" s="164"/>
      <c r="M93" s="164"/>
      <c r="N93" s="165">
        <f>'CCE3'!D90</f>
        <v>10</v>
      </c>
      <c r="O93" s="165">
        <f>'CCE3'!E90</f>
        <v>8</v>
      </c>
      <c r="P93" s="165">
        <f>'CCE3'!F90</f>
        <v>10</v>
      </c>
      <c r="Q93" s="165">
        <f>'CCE3'!G90</f>
        <v>8</v>
      </c>
      <c r="R93" s="165">
        <f>'CCE3'!H90</f>
        <v>8</v>
      </c>
      <c r="S93" s="163">
        <f t="shared" si="4"/>
        <v>34</v>
      </c>
      <c r="T93" s="163">
        <f t="shared" si="4"/>
        <v>32</v>
      </c>
      <c r="U93" s="163">
        <f t="shared" si="4"/>
        <v>17</v>
      </c>
      <c r="V93" s="163">
        <f t="shared" si="3"/>
        <v>8</v>
      </c>
      <c r="W93" s="163">
        <f t="shared" si="3"/>
        <v>8</v>
      </c>
      <c r="X93" s="163">
        <f t="shared" si="5"/>
        <v>99</v>
      </c>
    </row>
    <row r="94" spans="1:24" ht="15.75">
      <c r="A94" s="160">
        <v>81</v>
      </c>
      <c r="B94" s="158">
        <v>22213</v>
      </c>
      <c r="C94" s="159" t="s">
        <v>204</v>
      </c>
      <c r="D94" s="165">
        <f>'CCE1'!D91+'CCE1'!E91</f>
        <v>17</v>
      </c>
      <c r="E94" s="165">
        <f>'CCE1'!E91+'CCE1'!F91</f>
        <v>18</v>
      </c>
      <c r="F94" s="165">
        <f>'CCE1'!F91+'CCE1'!G91</f>
        <v>9</v>
      </c>
      <c r="G94" s="164"/>
      <c r="H94" s="164"/>
      <c r="I94" s="165">
        <f>'CCE2'!D91+'CCE2'!E91</f>
        <v>8</v>
      </c>
      <c r="J94" s="165">
        <f>'CCE2'!F91+'CCE2'!G91</f>
        <v>9</v>
      </c>
      <c r="K94" s="164"/>
      <c r="L94" s="164"/>
      <c r="M94" s="164"/>
      <c r="N94" s="165">
        <f>'CCE3'!D91</f>
        <v>10</v>
      </c>
      <c r="O94" s="165">
        <f>'CCE3'!E91</f>
        <v>8</v>
      </c>
      <c r="P94" s="165">
        <f>'CCE3'!F91</f>
        <v>9</v>
      </c>
      <c r="Q94" s="165">
        <f>'CCE3'!G91</f>
        <v>8</v>
      </c>
      <c r="R94" s="165">
        <f>'CCE3'!H91</f>
        <v>10</v>
      </c>
      <c r="S94" s="163">
        <f t="shared" si="4"/>
        <v>35</v>
      </c>
      <c r="T94" s="163">
        <f t="shared" si="4"/>
        <v>35</v>
      </c>
      <c r="U94" s="163">
        <f t="shared" si="4"/>
        <v>18</v>
      </c>
      <c r="V94" s="163">
        <f t="shared" si="3"/>
        <v>8</v>
      </c>
      <c r="W94" s="163">
        <f t="shared" si="3"/>
        <v>10</v>
      </c>
      <c r="X94" s="163">
        <f t="shared" si="5"/>
        <v>106</v>
      </c>
    </row>
    <row r="95" spans="1:24" ht="15.75">
      <c r="A95" s="160">
        <v>82</v>
      </c>
      <c r="B95" s="158">
        <v>22214</v>
      </c>
      <c r="C95" s="159" t="s">
        <v>205</v>
      </c>
      <c r="D95" s="165">
        <f>'CCE1'!D92+'CCE1'!E92</f>
        <v>17</v>
      </c>
      <c r="E95" s="165">
        <f>'CCE1'!E92+'CCE1'!F92</f>
        <v>19</v>
      </c>
      <c r="F95" s="165">
        <f>'CCE1'!F92+'CCE1'!G92</f>
        <v>10</v>
      </c>
      <c r="G95" s="164"/>
      <c r="H95" s="164"/>
      <c r="I95" s="165">
        <f>'CCE2'!D92+'CCE2'!E92</f>
        <v>7</v>
      </c>
      <c r="J95" s="165">
        <f>'CCE2'!F92+'CCE2'!G92</f>
        <v>9</v>
      </c>
      <c r="K95" s="164"/>
      <c r="L95" s="164"/>
      <c r="M95" s="164"/>
      <c r="N95" s="165">
        <f>'CCE3'!D92</f>
        <v>5</v>
      </c>
      <c r="O95" s="165">
        <f>'CCE3'!E92</f>
        <v>9</v>
      </c>
      <c r="P95" s="165">
        <f>'CCE3'!F92</f>
        <v>8</v>
      </c>
      <c r="Q95" s="165">
        <f>'CCE3'!G92</f>
        <v>4</v>
      </c>
      <c r="R95" s="165">
        <f>'CCE3'!H92</f>
        <v>4</v>
      </c>
      <c r="S95" s="163">
        <f t="shared" si="4"/>
        <v>29</v>
      </c>
      <c r="T95" s="163">
        <f t="shared" si="4"/>
        <v>37</v>
      </c>
      <c r="U95" s="163">
        <f t="shared" si="4"/>
        <v>18</v>
      </c>
      <c r="V95" s="163">
        <f t="shared" si="3"/>
        <v>4</v>
      </c>
      <c r="W95" s="163">
        <f t="shared" si="3"/>
        <v>4</v>
      </c>
      <c r="X95" s="163">
        <f t="shared" si="5"/>
        <v>92</v>
      </c>
    </row>
    <row r="96" spans="1:24" ht="15.75">
      <c r="A96" s="160">
        <v>83</v>
      </c>
      <c r="B96" s="158">
        <v>22215</v>
      </c>
      <c r="C96" s="159" t="s">
        <v>206</v>
      </c>
      <c r="D96" s="165">
        <f>'CCE1'!D93+'CCE1'!E93</f>
        <v>18</v>
      </c>
      <c r="E96" s="165">
        <f>'CCE1'!E93+'CCE1'!F93</f>
        <v>19</v>
      </c>
      <c r="F96" s="165">
        <f>'CCE1'!F93+'CCE1'!G93</f>
        <v>10</v>
      </c>
      <c r="G96" s="164"/>
      <c r="H96" s="164"/>
      <c r="I96" s="165">
        <f>'CCE2'!D93+'CCE2'!E93</f>
        <v>6</v>
      </c>
      <c r="J96" s="165">
        <f>'CCE2'!F93+'CCE2'!G93</f>
        <v>10</v>
      </c>
      <c r="K96" s="164"/>
      <c r="L96" s="164"/>
      <c r="M96" s="164"/>
      <c r="N96" s="165">
        <f>'CCE3'!D93</f>
        <v>8</v>
      </c>
      <c r="O96" s="165">
        <f>'CCE3'!E93</f>
        <v>9</v>
      </c>
      <c r="P96" s="165">
        <f>'CCE3'!F93</f>
        <v>8</v>
      </c>
      <c r="Q96" s="165">
        <f>'CCE3'!G93</f>
        <v>10</v>
      </c>
      <c r="R96" s="165">
        <f>'CCE3'!H93</f>
        <v>10</v>
      </c>
      <c r="S96" s="163">
        <f t="shared" si="4"/>
        <v>32</v>
      </c>
      <c r="T96" s="163">
        <f t="shared" si="4"/>
        <v>38</v>
      </c>
      <c r="U96" s="163">
        <f t="shared" si="4"/>
        <v>18</v>
      </c>
      <c r="V96" s="163">
        <f t="shared" si="3"/>
        <v>10</v>
      </c>
      <c r="W96" s="163">
        <f t="shared" si="3"/>
        <v>10</v>
      </c>
      <c r="X96" s="163">
        <f t="shared" si="5"/>
        <v>108</v>
      </c>
    </row>
    <row r="97" spans="1:24" ht="15.75">
      <c r="A97" s="160">
        <v>84</v>
      </c>
      <c r="B97" s="158">
        <v>22216</v>
      </c>
      <c r="C97" s="159" t="s">
        <v>207</v>
      </c>
      <c r="D97" s="165">
        <f>'CCE1'!D94+'CCE1'!E94</f>
        <v>18</v>
      </c>
      <c r="E97" s="165">
        <f>'CCE1'!E94+'CCE1'!F94</f>
        <v>17</v>
      </c>
      <c r="F97" s="165">
        <f>'CCE1'!F94+'CCE1'!G94</f>
        <v>8</v>
      </c>
      <c r="G97" s="164"/>
      <c r="H97" s="164"/>
      <c r="I97" s="165">
        <f>'CCE2'!D94+'CCE2'!E94</f>
        <v>6</v>
      </c>
      <c r="J97" s="165">
        <f>'CCE2'!F94+'CCE2'!G94</f>
        <v>8</v>
      </c>
      <c r="K97" s="164"/>
      <c r="L97" s="164"/>
      <c r="M97" s="164"/>
      <c r="N97" s="165">
        <f>'CCE3'!D94</f>
        <v>10</v>
      </c>
      <c r="O97" s="165">
        <f>'CCE3'!E94</f>
        <v>8</v>
      </c>
      <c r="P97" s="165">
        <f>'CCE3'!F94</f>
        <v>8</v>
      </c>
      <c r="Q97" s="165">
        <f>'CCE3'!G94</f>
        <v>10</v>
      </c>
      <c r="R97" s="165">
        <f>'CCE3'!H94</f>
        <v>10</v>
      </c>
      <c r="S97" s="163">
        <f t="shared" si="4"/>
        <v>34</v>
      </c>
      <c r="T97" s="163">
        <f t="shared" si="4"/>
        <v>33</v>
      </c>
      <c r="U97" s="163">
        <f t="shared" si="4"/>
        <v>16</v>
      </c>
      <c r="V97" s="163">
        <f t="shared" si="3"/>
        <v>10</v>
      </c>
      <c r="W97" s="163">
        <f t="shared" si="3"/>
        <v>10</v>
      </c>
      <c r="X97" s="163">
        <f t="shared" si="5"/>
        <v>103</v>
      </c>
    </row>
    <row r="98" spans="1:24" ht="15.75">
      <c r="A98" s="160">
        <v>85</v>
      </c>
      <c r="B98" s="158">
        <v>22217</v>
      </c>
      <c r="C98" s="159" t="s">
        <v>208</v>
      </c>
      <c r="D98" s="165">
        <f>'CCE1'!D95+'CCE1'!E95</f>
        <v>17</v>
      </c>
      <c r="E98" s="165">
        <f>'CCE1'!E95+'CCE1'!F95</f>
        <v>16</v>
      </c>
      <c r="F98" s="165">
        <f>'CCE1'!F95+'CCE1'!G95</f>
        <v>8</v>
      </c>
      <c r="G98" s="164"/>
      <c r="H98" s="164"/>
      <c r="I98" s="165">
        <f>'CCE2'!D95+'CCE2'!E95</f>
        <v>10</v>
      </c>
      <c r="J98" s="165">
        <f>'CCE2'!F95+'CCE2'!G95</f>
        <v>6</v>
      </c>
      <c r="K98" s="164"/>
      <c r="L98" s="164"/>
      <c r="M98" s="164"/>
      <c r="N98" s="165">
        <f>'CCE3'!D95</f>
        <v>9</v>
      </c>
      <c r="O98" s="165">
        <f>'CCE3'!E95</f>
        <v>8</v>
      </c>
      <c r="P98" s="165">
        <f>'CCE3'!F95</f>
        <v>9</v>
      </c>
      <c r="Q98" s="165">
        <f>'CCE3'!G95</f>
        <v>10</v>
      </c>
      <c r="R98" s="165">
        <f>'CCE3'!H95</f>
        <v>8</v>
      </c>
      <c r="S98" s="163">
        <f t="shared" si="4"/>
        <v>36</v>
      </c>
      <c r="T98" s="163">
        <f t="shared" si="4"/>
        <v>30</v>
      </c>
      <c r="U98" s="163">
        <f t="shared" si="4"/>
        <v>17</v>
      </c>
      <c r="V98" s="163">
        <f t="shared" si="3"/>
        <v>10</v>
      </c>
      <c r="W98" s="163">
        <f t="shared" si="3"/>
        <v>8</v>
      </c>
      <c r="X98" s="163">
        <f t="shared" si="5"/>
        <v>101</v>
      </c>
    </row>
    <row r="99" spans="1:24" ht="15.75">
      <c r="A99" s="160">
        <v>86</v>
      </c>
      <c r="B99" s="158">
        <v>22218</v>
      </c>
      <c r="C99" s="159" t="s">
        <v>209</v>
      </c>
      <c r="D99" s="165">
        <f>'CCE1'!D96+'CCE1'!E96</f>
        <v>14</v>
      </c>
      <c r="E99" s="165">
        <f>'CCE1'!E96+'CCE1'!F96</f>
        <v>10</v>
      </c>
      <c r="F99" s="165">
        <f>'CCE1'!F96+'CCE1'!G96</f>
        <v>4</v>
      </c>
      <c r="G99" s="164"/>
      <c r="H99" s="164"/>
      <c r="I99" s="165">
        <f>'CCE2'!D96+'CCE2'!E96</f>
        <v>7</v>
      </c>
      <c r="J99" s="165">
        <f>'CCE2'!F96+'CCE2'!G96</f>
        <v>8</v>
      </c>
      <c r="K99" s="164"/>
      <c r="L99" s="164"/>
      <c r="M99" s="164"/>
      <c r="N99" s="165">
        <f>'CCE3'!D96</f>
        <v>10</v>
      </c>
      <c r="O99" s="165">
        <f>'CCE3'!E96</f>
        <v>10</v>
      </c>
      <c r="P99" s="165">
        <f>'CCE3'!F96</f>
        <v>9</v>
      </c>
      <c r="Q99" s="165">
        <f>'CCE3'!G96</f>
        <v>8</v>
      </c>
      <c r="R99" s="165">
        <f>'CCE3'!H96</f>
        <v>9</v>
      </c>
      <c r="S99" s="163">
        <f t="shared" si="4"/>
        <v>31</v>
      </c>
      <c r="T99" s="163">
        <f t="shared" si="4"/>
        <v>28</v>
      </c>
      <c r="U99" s="163">
        <f t="shared" si="4"/>
        <v>13</v>
      </c>
      <c r="V99" s="163">
        <f t="shared" si="3"/>
        <v>8</v>
      </c>
      <c r="W99" s="163">
        <f t="shared" si="3"/>
        <v>9</v>
      </c>
      <c r="X99" s="163">
        <f t="shared" si="5"/>
        <v>89</v>
      </c>
    </row>
    <row r="100" spans="1:24" ht="15.75">
      <c r="A100" s="160">
        <v>87</v>
      </c>
      <c r="B100" s="158">
        <v>22219</v>
      </c>
      <c r="C100" s="159" t="s">
        <v>210</v>
      </c>
      <c r="D100" s="165">
        <f>'CCE1'!D97+'CCE1'!E97</f>
        <v>14</v>
      </c>
      <c r="E100" s="165">
        <f>'CCE1'!E97+'CCE1'!F97</f>
        <v>9</v>
      </c>
      <c r="F100" s="165">
        <f>'CCE1'!F97+'CCE1'!G97</f>
        <v>4</v>
      </c>
      <c r="G100" s="164"/>
      <c r="H100" s="164"/>
      <c r="I100" s="165">
        <f>'CCE2'!D97+'CCE2'!E97</f>
        <v>9</v>
      </c>
      <c r="J100" s="165">
        <f>'CCE2'!F97+'CCE2'!G97</f>
        <v>8</v>
      </c>
      <c r="K100" s="164"/>
      <c r="L100" s="164"/>
      <c r="M100" s="164"/>
      <c r="N100" s="165">
        <f>'CCE3'!D97</f>
        <v>9</v>
      </c>
      <c r="O100" s="165">
        <f>'CCE3'!E97</f>
        <v>4</v>
      </c>
      <c r="P100" s="165">
        <f>'CCE3'!F97</f>
        <v>9</v>
      </c>
      <c r="Q100" s="165">
        <f>'CCE3'!G97</f>
        <v>4</v>
      </c>
      <c r="R100" s="165">
        <f>'CCE3'!H97</f>
        <v>5</v>
      </c>
      <c r="S100" s="163">
        <f t="shared" si="4"/>
        <v>32</v>
      </c>
      <c r="T100" s="163">
        <f t="shared" si="4"/>
        <v>21</v>
      </c>
      <c r="U100" s="163">
        <f t="shared" si="4"/>
        <v>13</v>
      </c>
      <c r="V100" s="163">
        <f t="shared" si="3"/>
        <v>4</v>
      </c>
      <c r="W100" s="163">
        <f t="shared" si="3"/>
        <v>5</v>
      </c>
      <c r="X100" s="163">
        <f t="shared" si="5"/>
        <v>75</v>
      </c>
    </row>
    <row r="101" spans="1:24" ht="15.75">
      <c r="A101" s="160">
        <v>88</v>
      </c>
      <c r="B101" s="158">
        <v>22220</v>
      </c>
      <c r="C101" s="159" t="s">
        <v>211</v>
      </c>
      <c r="D101" s="165">
        <f>'CCE1'!D98+'CCE1'!E98</f>
        <v>18</v>
      </c>
      <c r="E101" s="165">
        <f>'CCE1'!E98+'CCE1'!F98</f>
        <v>16</v>
      </c>
      <c r="F101" s="165">
        <f>'CCE1'!F98+'CCE1'!G98</f>
        <v>8</v>
      </c>
      <c r="G101" s="164"/>
      <c r="H101" s="164"/>
      <c r="I101" s="165">
        <f>'CCE2'!D98+'CCE2'!E98</f>
        <v>7</v>
      </c>
      <c r="J101" s="165">
        <f>'CCE2'!F98+'CCE2'!G98</f>
        <v>7</v>
      </c>
      <c r="K101" s="164"/>
      <c r="L101" s="164"/>
      <c r="M101" s="164"/>
      <c r="N101" s="165">
        <f>'CCE3'!D98</f>
        <v>10</v>
      </c>
      <c r="O101" s="165">
        <f>'CCE3'!E98</f>
        <v>10</v>
      </c>
      <c r="P101" s="165">
        <f>'CCE3'!F98</f>
        <v>9</v>
      </c>
      <c r="Q101" s="165">
        <f>'CCE3'!G98</f>
        <v>9</v>
      </c>
      <c r="R101" s="165">
        <f>'CCE3'!H98</f>
        <v>8</v>
      </c>
      <c r="S101" s="163">
        <f t="shared" si="4"/>
        <v>35</v>
      </c>
      <c r="T101" s="163">
        <f t="shared" si="4"/>
        <v>33</v>
      </c>
      <c r="U101" s="163">
        <f t="shared" si="4"/>
        <v>17</v>
      </c>
      <c r="V101" s="163">
        <f t="shared" si="3"/>
        <v>9</v>
      </c>
      <c r="W101" s="163">
        <f t="shared" si="3"/>
        <v>8</v>
      </c>
      <c r="X101" s="163">
        <f t="shared" si="5"/>
        <v>102</v>
      </c>
    </row>
    <row r="102" spans="1:24" ht="15.75">
      <c r="A102" s="160">
        <v>89</v>
      </c>
      <c r="B102" s="158">
        <v>22221</v>
      </c>
      <c r="C102" s="159" t="s">
        <v>212</v>
      </c>
      <c r="D102" s="165">
        <f>'CCE1'!D99+'CCE1'!E99</f>
        <v>17</v>
      </c>
      <c r="E102" s="165">
        <f>'CCE1'!E99+'CCE1'!F99</f>
        <v>18</v>
      </c>
      <c r="F102" s="165">
        <f>'CCE1'!F99+'CCE1'!G99</f>
        <v>9</v>
      </c>
      <c r="G102" s="164"/>
      <c r="H102" s="164"/>
      <c r="I102" s="165">
        <f>'CCE2'!D99+'CCE2'!E99</f>
        <v>8</v>
      </c>
      <c r="J102" s="165">
        <f>'CCE2'!F99+'CCE2'!G99</f>
        <v>10</v>
      </c>
      <c r="K102" s="164"/>
      <c r="L102" s="164"/>
      <c r="M102" s="164"/>
      <c r="N102" s="165">
        <f>'CCE3'!D99</f>
        <v>8</v>
      </c>
      <c r="O102" s="165">
        <f>'CCE3'!E99</f>
        <v>10</v>
      </c>
      <c r="P102" s="165">
        <f>'CCE3'!F99</f>
        <v>10</v>
      </c>
      <c r="Q102" s="165">
        <f>'CCE3'!G99</f>
        <v>10</v>
      </c>
      <c r="R102" s="165">
        <f>'CCE3'!H99</f>
        <v>8</v>
      </c>
      <c r="S102" s="163">
        <f t="shared" si="4"/>
        <v>33</v>
      </c>
      <c r="T102" s="163">
        <f t="shared" si="4"/>
        <v>38</v>
      </c>
      <c r="U102" s="163">
        <f t="shared" si="4"/>
        <v>19</v>
      </c>
      <c r="V102" s="163">
        <f t="shared" si="3"/>
        <v>10</v>
      </c>
      <c r="W102" s="163">
        <f t="shared" si="3"/>
        <v>8</v>
      </c>
      <c r="X102" s="163">
        <f t="shared" si="5"/>
        <v>108</v>
      </c>
    </row>
    <row r="103" spans="1:24" ht="15.75">
      <c r="A103" s="160">
        <v>90</v>
      </c>
      <c r="B103" s="158">
        <v>22222</v>
      </c>
      <c r="C103" s="159" t="s">
        <v>213</v>
      </c>
      <c r="D103" s="165">
        <f>'CCE1'!D100+'CCE1'!E100</f>
        <v>18</v>
      </c>
      <c r="E103" s="165">
        <f>'CCE1'!E100+'CCE1'!F100</f>
        <v>18</v>
      </c>
      <c r="F103" s="165">
        <f>'CCE1'!F100+'CCE1'!G100</f>
        <v>9</v>
      </c>
      <c r="G103" s="164"/>
      <c r="H103" s="164"/>
      <c r="I103" s="165">
        <f>'CCE2'!D100+'CCE2'!E100</f>
        <v>7</v>
      </c>
      <c r="J103" s="165">
        <f>'CCE2'!F100+'CCE2'!G100</f>
        <v>10</v>
      </c>
      <c r="K103" s="164"/>
      <c r="L103" s="164"/>
      <c r="M103" s="164"/>
      <c r="N103" s="165">
        <f>'CCE3'!D100</f>
        <v>8</v>
      </c>
      <c r="O103" s="165">
        <f>'CCE3'!E100</f>
        <v>8</v>
      </c>
      <c r="P103" s="165">
        <f>'CCE3'!F100</f>
        <v>8</v>
      </c>
      <c r="Q103" s="165">
        <f>'CCE3'!G100</f>
        <v>8</v>
      </c>
      <c r="R103" s="165">
        <f>'CCE3'!H100</f>
        <v>9</v>
      </c>
      <c r="S103" s="163">
        <f t="shared" si="4"/>
        <v>33</v>
      </c>
      <c r="T103" s="163">
        <f t="shared" si="4"/>
        <v>36</v>
      </c>
      <c r="U103" s="163">
        <f t="shared" si="4"/>
        <v>17</v>
      </c>
      <c r="V103" s="163">
        <f t="shared" si="3"/>
        <v>8</v>
      </c>
      <c r="W103" s="163">
        <f t="shared" si="3"/>
        <v>9</v>
      </c>
      <c r="X103" s="163">
        <f t="shared" si="5"/>
        <v>103</v>
      </c>
    </row>
    <row r="104" spans="1:24" ht="15.75">
      <c r="A104" s="160">
        <v>91</v>
      </c>
      <c r="B104" s="158">
        <v>22223</v>
      </c>
      <c r="C104" s="159" t="s">
        <v>214</v>
      </c>
      <c r="D104" s="165">
        <f>'CCE1'!D101+'CCE1'!E101</f>
        <v>18</v>
      </c>
      <c r="E104" s="165">
        <f>'CCE1'!E101+'CCE1'!F101</f>
        <v>18</v>
      </c>
      <c r="F104" s="165">
        <f>'CCE1'!F101+'CCE1'!G101</f>
        <v>10</v>
      </c>
      <c r="G104" s="164"/>
      <c r="H104" s="164"/>
      <c r="I104" s="165">
        <f>'CCE2'!D101+'CCE2'!E101</f>
        <v>9</v>
      </c>
      <c r="J104" s="165">
        <f>'CCE2'!F101+'CCE2'!G101</f>
        <v>9</v>
      </c>
      <c r="K104" s="164"/>
      <c r="L104" s="164"/>
      <c r="M104" s="164"/>
      <c r="N104" s="165">
        <f>'CCE3'!D101</f>
        <v>8</v>
      </c>
      <c r="O104" s="165">
        <f>'CCE3'!E101</f>
        <v>10</v>
      </c>
      <c r="P104" s="165">
        <f>'CCE3'!F101</f>
        <v>9</v>
      </c>
      <c r="Q104" s="165">
        <f>'CCE3'!G101</f>
        <v>9</v>
      </c>
      <c r="R104" s="165">
        <f>'CCE3'!H101</f>
        <v>8</v>
      </c>
      <c r="S104" s="163">
        <f t="shared" si="4"/>
        <v>35</v>
      </c>
      <c r="T104" s="163">
        <f t="shared" si="4"/>
        <v>37</v>
      </c>
      <c r="U104" s="163">
        <f t="shared" si="4"/>
        <v>19</v>
      </c>
      <c r="V104" s="163">
        <f t="shared" si="3"/>
        <v>9</v>
      </c>
      <c r="W104" s="163">
        <f t="shared" si="3"/>
        <v>8</v>
      </c>
      <c r="X104" s="163">
        <f t="shared" si="5"/>
        <v>108</v>
      </c>
    </row>
    <row r="105" spans="1:24" ht="15.75">
      <c r="A105" s="160">
        <v>92</v>
      </c>
      <c r="B105" s="158">
        <v>22224</v>
      </c>
      <c r="C105" s="159" t="s">
        <v>215</v>
      </c>
      <c r="D105" s="165">
        <f>'CCE1'!D102+'CCE1'!E102</f>
        <v>16</v>
      </c>
      <c r="E105" s="165">
        <f>'CCE1'!E102+'CCE1'!F102</f>
        <v>17</v>
      </c>
      <c r="F105" s="165">
        <f>'CCE1'!F102+'CCE1'!G102</f>
        <v>9</v>
      </c>
      <c r="G105" s="164"/>
      <c r="H105" s="164"/>
      <c r="I105" s="165">
        <f>'CCE2'!D102+'CCE2'!E102</f>
        <v>8</v>
      </c>
      <c r="J105" s="165">
        <f>'CCE2'!F102+'CCE2'!G102</f>
        <v>7</v>
      </c>
      <c r="K105" s="164"/>
      <c r="L105" s="164"/>
      <c r="M105" s="164"/>
      <c r="N105" s="165">
        <f>'CCE3'!D102</f>
        <v>9</v>
      </c>
      <c r="O105" s="165">
        <f>'CCE3'!E102</f>
        <v>10</v>
      </c>
      <c r="P105" s="165">
        <f>'CCE3'!F102</f>
        <v>8</v>
      </c>
      <c r="Q105" s="165">
        <f>'CCE3'!G102</f>
        <v>8</v>
      </c>
      <c r="R105" s="165">
        <f>'CCE3'!H102</f>
        <v>8</v>
      </c>
      <c r="S105" s="163">
        <f t="shared" si="4"/>
        <v>33</v>
      </c>
      <c r="T105" s="163">
        <f t="shared" si="4"/>
        <v>34</v>
      </c>
      <c r="U105" s="163">
        <f t="shared" si="4"/>
        <v>17</v>
      </c>
      <c r="V105" s="163">
        <f t="shared" si="3"/>
        <v>8</v>
      </c>
      <c r="W105" s="163">
        <f t="shared" si="3"/>
        <v>8</v>
      </c>
      <c r="X105" s="163">
        <f t="shared" si="5"/>
        <v>100</v>
      </c>
    </row>
    <row r="106" spans="1:24" ht="15.75">
      <c r="A106" s="160">
        <v>93</v>
      </c>
      <c r="B106" s="158">
        <v>22225</v>
      </c>
      <c r="C106" s="159" t="s">
        <v>216</v>
      </c>
      <c r="D106" s="165">
        <f>'CCE1'!D103+'CCE1'!E103</f>
        <v>19</v>
      </c>
      <c r="E106" s="165">
        <f>'CCE1'!E103+'CCE1'!F103</f>
        <v>19</v>
      </c>
      <c r="F106" s="165">
        <f>'CCE1'!F103+'CCE1'!G103</f>
        <v>9</v>
      </c>
      <c r="G106" s="164"/>
      <c r="H106" s="164"/>
      <c r="I106" s="165">
        <f>'CCE2'!D103+'CCE2'!E103</f>
        <v>8</v>
      </c>
      <c r="J106" s="165">
        <f>'CCE2'!F103+'CCE2'!G103</f>
        <v>7</v>
      </c>
      <c r="K106" s="164"/>
      <c r="L106" s="164"/>
      <c r="M106" s="164"/>
      <c r="N106" s="165">
        <f>'CCE3'!D103</f>
        <v>10</v>
      </c>
      <c r="O106" s="165">
        <f>'CCE3'!E103</f>
        <v>10</v>
      </c>
      <c r="P106" s="165">
        <f>'CCE3'!F103</f>
        <v>9</v>
      </c>
      <c r="Q106" s="165">
        <f>'CCE3'!G103</f>
        <v>10</v>
      </c>
      <c r="R106" s="165">
        <f>'CCE3'!H103</f>
        <v>8</v>
      </c>
      <c r="S106" s="163">
        <f t="shared" si="4"/>
        <v>37</v>
      </c>
      <c r="T106" s="163">
        <f t="shared" si="4"/>
        <v>36</v>
      </c>
      <c r="U106" s="163">
        <f t="shared" si="4"/>
        <v>18</v>
      </c>
      <c r="V106" s="163">
        <f t="shared" si="3"/>
        <v>10</v>
      </c>
      <c r="W106" s="163">
        <f t="shared" si="3"/>
        <v>8</v>
      </c>
      <c r="X106" s="163">
        <f t="shared" si="5"/>
        <v>109</v>
      </c>
    </row>
    <row r="107" spans="1:24" ht="15.75">
      <c r="A107" s="160">
        <v>94</v>
      </c>
      <c r="B107" s="158">
        <v>22226</v>
      </c>
      <c r="C107" s="159" t="s">
        <v>217</v>
      </c>
      <c r="D107" s="165">
        <f>'CCE1'!D104+'CCE1'!E104</f>
        <v>18</v>
      </c>
      <c r="E107" s="165">
        <f>'CCE1'!E104+'CCE1'!F104</f>
        <v>18</v>
      </c>
      <c r="F107" s="165">
        <f>'CCE1'!F104+'CCE1'!G104</f>
        <v>9</v>
      </c>
      <c r="G107" s="164"/>
      <c r="H107" s="164"/>
      <c r="I107" s="165">
        <f>'CCE2'!D104+'CCE2'!E104</f>
        <v>3</v>
      </c>
      <c r="J107" s="165">
        <f>'CCE2'!F104+'CCE2'!G104</f>
        <v>2</v>
      </c>
      <c r="K107" s="164"/>
      <c r="L107" s="164"/>
      <c r="M107" s="164"/>
      <c r="N107" s="165">
        <f>'CCE3'!D104</f>
        <v>4</v>
      </c>
      <c r="O107" s="165">
        <f>'CCE3'!E104</f>
        <v>3</v>
      </c>
      <c r="P107" s="165">
        <f>'CCE3'!F104</f>
        <v>6</v>
      </c>
      <c r="Q107" s="165">
        <f>'CCE3'!G104</f>
        <v>8</v>
      </c>
      <c r="R107" s="165">
        <f>'CCE3'!H104</f>
        <v>8</v>
      </c>
      <c r="S107" s="163">
        <f t="shared" si="4"/>
        <v>25</v>
      </c>
      <c r="T107" s="163">
        <f t="shared" si="4"/>
        <v>23</v>
      </c>
      <c r="U107" s="163">
        <f t="shared" si="4"/>
        <v>15</v>
      </c>
      <c r="V107" s="163">
        <f t="shared" si="3"/>
        <v>8</v>
      </c>
      <c r="W107" s="163">
        <f t="shared" si="3"/>
        <v>8</v>
      </c>
      <c r="X107" s="163">
        <f t="shared" si="5"/>
        <v>79</v>
      </c>
    </row>
    <row r="108" spans="1:24" ht="15.75">
      <c r="A108" s="160">
        <v>95</v>
      </c>
      <c r="B108" s="158">
        <v>22227</v>
      </c>
      <c r="C108" s="159" t="s">
        <v>218</v>
      </c>
      <c r="D108" s="165">
        <f>'CCE1'!D105+'CCE1'!E105</f>
        <v>18</v>
      </c>
      <c r="E108" s="165">
        <f>'CCE1'!E105+'CCE1'!F105</f>
        <v>19</v>
      </c>
      <c r="F108" s="165">
        <f>'CCE1'!F105+'CCE1'!G105</f>
        <v>10</v>
      </c>
      <c r="G108" s="164"/>
      <c r="H108" s="164"/>
      <c r="I108" s="165">
        <f>'CCE2'!D105+'CCE2'!E105</f>
        <v>10</v>
      </c>
      <c r="J108" s="165">
        <f>'CCE2'!F105+'CCE2'!G105</f>
        <v>8</v>
      </c>
      <c r="K108" s="164"/>
      <c r="L108" s="164"/>
      <c r="M108" s="164"/>
      <c r="N108" s="165">
        <f>'CCE3'!D105</f>
        <v>10</v>
      </c>
      <c r="O108" s="165">
        <f>'CCE3'!E105</f>
        <v>10</v>
      </c>
      <c r="P108" s="165">
        <f>'CCE3'!F105</f>
        <v>9</v>
      </c>
      <c r="Q108" s="165">
        <f>'CCE3'!G105</f>
        <v>9</v>
      </c>
      <c r="R108" s="165">
        <f>'CCE3'!H105</f>
        <v>9</v>
      </c>
      <c r="S108" s="163">
        <f t="shared" si="4"/>
        <v>38</v>
      </c>
      <c r="T108" s="163">
        <f t="shared" si="4"/>
        <v>37</v>
      </c>
      <c r="U108" s="163">
        <f t="shared" si="4"/>
        <v>19</v>
      </c>
      <c r="V108" s="163">
        <f t="shared" si="3"/>
        <v>9</v>
      </c>
      <c r="W108" s="163">
        <f t="shared" si="3"/>
        <v>9</v>
      </c>
      <c r="X108" s="163">
        <f t="shared" si="5"/>
        <v>112</v>
      </c>
    </row>
    <row r="109" spans="1:24" ht="15.75">
      <c r="A109" s="160">
        <v>96</v>
      </c>
      <c r="B109" s="158">
        <v>22228</v>
      </c>
      <c r="C109" s="159" t="s">
        <v>219</v>
      </c>
      <c r="D109" s="165">
        <f>'CCE1'!D106+'CCE1'!E106</f>
        <v>16</v>
      </c>
      <c r="E109" s="165">
        <f>'CCE1'!E106+'CCE1'!F106</f>
        <v>18</v>
      </c>
      <c r="F109" s="165">
        <f>'CCE1'!F106+'CCE1'!G106</f>
        <v>10</v>
      </c>
      <c r="G109" s="164"/>
      <c r="H109" s="164"/>
      <c r="I109" s="165">
        <f>'CCE2'!D106+'CCE2'!E106</f>
        <v>7</v>
      </c>
      <c r="J109" s="165">
        <f>'CCE2'!F106+'CCE2'!G106</f>
        <v>9</v>
      </c>
      <c r="K109" s="164"/>
      <c r="L109" s="164"/>
      <c r="M109" s="164"/>
      <c r="N109" s="165">
        <f>'CCE3'!D106</f>
        <v>9</v>
      </c>
      <c r="O109" s="165">
        <f>'CCE3'!E106</f>
        <v>10</v>
      </c>
      <c r="P109" s="165">
        <f>'CCE3'!F106</f>
        <v>10</v>
      </c>
      <c r="Q109" s="165">
        <f>'CCE3'!G106</f>
        <v>10</v>
      </c>
      <c r="R109" s="165">
        <f>'CCE3'!H106</f>
        <v>9</v>
      </c>
      <c r="S109" s="163">
        <f t="shared" si="4"/>
        <v>32</v>
      </c>
      <c r="T109" s="163">
        <f t="shared" si="4"/>
        <v>37</v>
      </c>
      <c r="U109" s="163">
        <f t="shared" si="4"/>
        <v>20</v>
      </c>
      <c r="V109" s="163">
        <f t="shared" si="3"/>
        <v>10</v>
      </c>
      <c r="W109" s="163">
        <f t="shared" si="3"/>
        <v>9</v>
      </c>
      <c r="X109" s="163">
        <f t="shared" si="5"/>
        <v>108</v>
      </c>
    </row>
    <row r="110" spans="1:24" ht="15.75">
      <c r="A110" s="160">
        <v>97</v>
      </c>
      <c r="B110" s="158">
        <v>22229</v>
      </c>
      <c r="C110" s="159" t="s">
        <v>220</v>
      </c>
      <c r="D110" s="165">
        <f>'CCE1'!D107+'CCE1'!E107</f>
        <v>17</v>
      </c>
      <c r="E110" s="165">
        <f>'CCE1'!E107+'CCE1'!F107</f>
        <v>19</v>
      </c>
      <c r="F110" s="165">
        <f>'CCE1'!F107+'CCE1'!G107</f>
        <v>10</v>
      </c>
      <c r="G110" s="164"/>
      <c r="H110" s="164"/>
      <c r="I110" s="165">
        <f>'CCE2'!D107+'CCE2'!E107</f>
        <v>8</v>
      </c>
      <c r="J110" s="165">
        <f>'CCE2'!F107+'CCE2'!G107</f>
        <v>7</v>
      </c>
      <c r="K110" s="164"/>
      <c r="L110" s="164"/>
      <c r="M110" s="164"/>
      <c r="N110" s="165">
        <f>'CCE3'!D107</f>
        <v>8</v>
      </c>
      <c r="O110" s="165">
        <f>'CCE3'!E107</f>
        <v>9</v>
      </c>
      <c r="P110" s="165">
        <f>'CCE3'!F107</f>
        <v>9</v>
      </c>
      <c r="Q110" s="165">
        <f>'CCE3'!G107</f>
        <v>9</v>
      </c>
      <c r="R110" s="165">
        <f>'CCE3'!H107</f>
        <v>10</v>
      </c>
      <c r="S110" s="163">
        <f t="shared" si="4"/>
        <v>33</v>
      </c>
      <c r="T110" s="163">
        <f t="shared" si="4"/>
        <v>35</v>
      </c>
      <c r="U110" s="163">
        <f t="shared" si="4"/>
        <v>19</v>
      </c>
      <c r="V110" s="163">
        <f t="shared" si="3"/>
        <v>9</v>
      </c>
      <c r="W110" s="163">
        <f t="shared" si="3"/>
        <v>10</v>
      </c>
      <c r="X110" s="163">
        <f t="shared" si="5"/>
        <v>106</v>
      </c>
    </row>
    <row r="111" spans="1:24" ht="15.75">
      <c r="A111" s="160">
        <v>98</v>
      </c>
      <c r="B111" s="158">
        <v>22230</v>
      </c>
      <c r="C111" s="159" t="s">
        <v>221</v>
      </c>
      <c r="D111" s="165">
        <f>'CCE1'!D108+'CCE1'!E108</f>
        <v>16</v>
      </c>
      <c r="E111" s="165">
        <f>'CCE1'!E108+'CCE1'!F108</f>
        <v>18</v>
      </c>
      <c r="F111" s="165">
        <f>'CCE1'!F108+'CCE1'!G108</f>
        <v>10</v>
      </c>
      <c r="G111" s="164"/>
      <c r="H111" s="164"/>
      <c r="I111" s="165">
        <f>'CCE2'!D108+'CCE2'!E108</f>
        <v>8</v>
      </c>
      <c r="J111" s="165">
        <f>'CCE2'!F108+'CCE2'!G108</f>
        <v>7</v>
      </c>
      <c r="K111" s="164"/>
      <c r="L111" s="164"/>
      <c r="M111" s="164"/>
      <c r="N111" s="165">
        <f>'CCE3'!D108</f>
        <v>8</v>
      </c>
      <c r="O111" s="165">
        <f>'CCE3'!E108</f>
        <v>10</v>
      </c>
      <c r="P111" s="165">
        <f>'CCE3'!F108</f>
        <v>9</v>
      </c>
      <c r="Q111" s="165">
        <f>'CCE3'!G108</f>
        <v>10</v>
      </c>
      <c r="R111" s="165">
        <f>'CCE3'!H108</f>
        <v>9</v>
      </c>
      <c r="S111" s="163">
        <f t="shared" si="4"/>
        <v>32</v>
      </c>
      <c r="T111" s="163">
        <f t="shared" si="4"/>
        <v>35</v>
      </c>
      <c r="U111" s="163">
        <f t="shared" si="4"/>
        <v>19</v>
      </c>
      <c r="V111" s="163">
        <f t="shared" si="3"/>
        <v>10</v>
      </c>
      <c r="W111" s="163">
        <f t="shared" si="3"/>
        <v>9</v>
      </c>
      <c r="X111" s="163">
        <f t="shared" si="5"/>
        <v>105</v>
      </c>
    </row>
    <row r="112" spans="1:24" ht="15.75">
      <c r="A112" s="160">
        <v>99</v>
      </c>
      <c r="B112" s="158">
        <v>22231</v>
      </c>
      <c r="C112" s="159" t="s">
        <v>222</v>
      </c>
      <c r="D112" s="165">
        <f>'CCE1'!D109+'CCE1'!E109</f>
        <v>20</v>
      </c>
      <c r="E112" s="165">
        <f>'CCE1'!E109+'CCE1'!F109</f>
        <v>19</v>
      </c>
      <c r="F112" s="165">
        <f>'CCE1'!F109+'CCE1'!G109</f>
        <v>9</v>
      </c>
      <c r="G112" s="164"/>
      <c r="H112" s="164"/>
      <c r="I112" s="165">
        <f>'CCE2'!D109+'CCE2'!E109</f>
        <v>8</v>
      </c>
      <c r="J112" s="165">
        <f>'CCE2'!F109+'CCE2'!G109</f>
        <v>7</v>
      </c>
      <c r="K112" s="164"/>
      <c r="L112" s="164"/>
      <c r="M112" s="164"/>
      <c r="N112" s="165">
        <f>'CCE3'!D109</f>
        <v>8</v>
      </c>
      <c r="O112" s="165">
        <f>'CCE3'!E109</f>
        <v>10</v>
      </c>
      <c r="P112" s="165">
        <f>'CCE3'!F109</f>
        <v>10</v>
      </c>
      <c r="Q112" s="165">
        <f>'CCE3'!G109</f>
        <v>9</v>
      </c>
      <c r="R112" s="165">
        <f>'CCE3'!H109</f>
        <v>9</v>
      </c>
      <c r="S112" s="163">
        <f t="shared" si="4"/>
        <v>36</v>
      </c>
      <c r="T112" s="163">
        <f t="shared" si="4"/>
        <v>36</v>
      </c>
      <c r="U112" s="163">
        <f t="shared" si="4"/>
        <v>19</v>
      </c>
      <c r="V112" s="163">
        <f t="shared" si="3"/>
        <v>9</v>
      </c>
      <c r="W112" s="163">
        <f t="shared" si="3"/>
        <v>9</v>
      </c>
      <c r="X112" s="163">
        <f t="shared" si="5"/>
        <v>109</v>
      </c>
    </row>
    <row r="113" spans="1:24" ht="15.75">
      <c r="A113" s="160">
        <v>100</v>
      </c>
      <c r="B113" s="158">
        <v>22232</v>
      </c>
      <c r="C113" s="159" t="s">
        <v>223</v>
      </c>
      <c r="D113" s="165">
        <f>'CCE1'!D110+'CCE1'!E110</f>
        <v>18</v>
      </c>
      <c r="E113" s="165">
        <f>'CCE1'!E110+'CCE1'!F110</f>
        <v>19</v>
      </c>
      <c r="F113" s="165">
        <f>'CCE1'!F110+'CCE1'!G110</f>
        <v>10</v>
      </c>
      <c r="G113" s="164"/>
      <c r="H113" s="164"/>
      <c r="I113" s="165">
        <f>'CCE2'!D110+'CCE2'!E110</f>
        <v>9</v>
      </c>
      <c r="J113" s="165">
        <f>'CCE2'!F110+'CCE2'!G110</f>
        <v>8</v>
      </c>
      <c r="K113" s="164"/>
      <c r="L113" s="164"/>
      <c r="M113" s="164"/>
      <c r="N113" s="165">
        <f>'CCE3'!D110</f>
        <v>9</v>
      </c>
      <c r="O113" s="165">
        <f>'CCE3'!E110</f>
        <v>9</v>
      </c>
      <c r="P113" s="165">
        <f>'CCE3'!F110</f>
        <v>10</v>
      </c>
      <c r="Q113" s="165">
        <f>'CCE3'!G110</f>
        <v>9</v>
      </c>
      <c r="R113" s="165">
        <f>'CCE3'!H110</f>
        <v>8</v>
      </c>
      <c r="S113" s="163">
        <f t="shared" si="4"/>
        <v>36</v>
      </c>
      <c r="T113" s="163">
        <f t="shared" si="4"/>
        <v>36</v>
      </c>
      <c r="U113" s="163">
        <f t="shared" si="4"/>
        <v>20</v>
      </c>
      <c r="V113" s="163">
        <f t="shared" si="3"/>
        <v>9</v>
      </c>
      <c r="W113" s="163">
        <f t="shared" si="3"/>
        <v>8</v>
      </c>
      <c r="X113" s="163">
        <f t="shared" si="5"/>
        <v>109</v>
      </c>
    </row>
    <row r="114" spans="1:24" ht="15.75">
      <c r="A114" s="160">
        <v>101</v>
      </c>
      <c r="B114" s="158">
        <v>22233</v>
      </c>
      <c r="C114" s="159" t="s">
        <v>224</v>
      </c>
      <c r="D114" s="165">
        <f>'CCE1'!D111+'CCE1'!E111</f>
        <v>19</v>
      </c>
      <c r="E114" s="165">
        <f>'CCE1'!E111+'CCE1'!F111</f>
        <v>18</v>
      </c>
      <c r="F114" s="165">
        <f>'CCE1'!F111+'CCE1'!G111</f>
        <v>9</v>
      </c>
      <c r="G114" s="164"/>
      <c r="H114" s="164"/>
      <c r="I114" s="165">
        <f>'CCE2'!D111+'CCE2'!E111</f>
        <v>8</v>
      </c>
      <c r="J114" s="165">
        <f>'CCE2'!F111+'CCE2'!G111</f>
        <v>9</v>
      </c>
      <c r="K114" s="164"/>
      <c r="L114" s="164"/>
      <c r="M114" s="164"/>
      <c r="N114" s="165">
        <f>'CCE3'!D111</f>
        <v>8</v>
      </c>
      <c r="O114" s="165">
        <f>'CCE3'!E111</f>
        <v>8</v>
      </c>
      <c r="P114" s="165">
        <f>'CCE3'!F111</f>
        <v>10</v>
      </c>
      <c r="Q114" s="165">
        <f>'CCE3'!G111</f>
        <v>8</v>
      </c>
      <c r="R114" s="165">
        <f>'CCE3'!H111</f>
        <v>8</v>
      </c>
      <c r="S114" s="163">
        <f t="shared" si="4"/>
        <v>35</v>
      </c>
      <c r="T114" s="163">
        <f t="shared" si="4"/>
        <v>35</v>
      </c>
      <c r="U114" s="163">
        <f t="shared" si="4"/>
        <v>19</v>
      </c>
      <c r="V114" s="163">
        <f t="shared" si="3"/>
        <v>8</v>
      </c>
      <c r="W114" s="163">
        <f t="shared" si="3"/>
        <v>8</v>
      </c>
      <c r="X114" s="163">
        <f t="shared" si="5"/>
        <v>105</v>
      </c>
    </row>
    <row r="115" spans="1:24" ht="15.75">
      <c r="A115" s="160">
        <v>102</v>
      </c>
      <c r="B115" s="158">
        <v>22234</v>
      </c>
      <c r="C115" s="159" t="s">
        <v>225</v>
      </c>
      <c r="D115" s="165">
        <f>'CCE1'!D112+'CCE1'!E112</f>
        <v>19</v>
      </c>
      <c r="E115" s="165">
        <f>'CCE1'!E112+'CCE1'!F112</f>
        <v>19</v>
      </c>
      <c r="F115" s="165">
        <f>'CCE1'!F112+'CCE1'!G112</f>
        <v>10</v>
      </c>
      <c r="G115" s="164"/>
      <c r="H115" s="164"/>
      <c r="I115" s="165">
        <f>'CCE2'!D112+'CCE2'!E112</f>
        <v>8</v>
      </c>
      <c r="J115" s="165">
        <f>'CCE2'!F112+'CCE2'!G112</f>
        <v>7</v>
      </c>
      <c r="K115" s="164"/>
      <c r="L115" s="164"/>
      <c r="M115" s="164"/>
      <c r="N115" s="165">
        <f>'CCE3'!D112</f>
        <v>8</v>
      </c>
      <c r="O115" s="165">
        <f>'CCE3'!E112</f>
        <v>8</v>
      </c>
      <c r="P115" s="165">
        <f>'CCE3'!F112</f>
        <v>9</v>
      </c>
      <c r="Q115" s="165">
        <f>'CCE3'!G112</f>
        <v>6</v>
      </c>
      <c r="R115" s="165">
        <f>'CCE3'!H112</f>
        <v>5</v>
      </c>
      <c r="S115" s="163">
        <f t="shared" si="4"/>
        <v>35</v>
      </c>
      <c r="T115" s="163">
        <f t="shared" si="4"/>
        <v>34</v>
      </c>
      <c r="U115" s="163">
        <f t="shared" si="4"/>
        <v>19</v>
      </c>
      <c r="V115" s="163">
        <f t="shared" si="3"/>
        <v>6</v>
      </c>
      <c r="W115" s="163">
        <f t="shared" si="3"/>
        <v>5</v>
      </c>
      <c r="X115" s="163">
        <f t="shared" si="5"/>
        <v>99</v>
      </c>
    </row>
    <row r="116" spans="1:24" ht="15.75">
      <c r="A116" s="160">
        <v>103</v>
      </c>
      <c r="B116" s="158">
        <v>22235</v>
      </c>
      <c r="C116" s="159" t="s">
        <v>226</v>
      </c>
      <c r="D116" s="165">
        <f>'CCE1'!D113+'CCE1'!E113</f>
        <v>19</v>
      </c>
      <c r="E116" s="165">
        <f>'CCE1'!E113+'CCE1'!F113</f>
        <v>18</v>
      </c>
      <c r="F116" s="165">
        <f>'CCE1'!F113+'CCE1'!G113</f>
        <v>9</v>
      </c>
      <c r="G116" s="164"/>
      <c r="H116" s="164"/>
      <c r="I116" s="165">
        <f>'CCE2'!D113+'CCE2'!E113</f>
        <v>9</v>
      </c>
      <c r="J116" s="165">
        <f>'CCE2'!F113+'CCE2'!G113</f>
        <v>8</v>
      </c>
      <c r="K116" s="164"/>
      <c r="L116" s="164"/>
      <c r="M116" s="164"/>
      <c r="N116" s="165">
        <f>'CCE3'!D113</f>
        <v>9</v>
      </c>
      <c r="O116" s="165">
        <f>'CCE3'!E113</f>
        <v>10</v>
      </c>
      <c r="P116" s="165">
        <f>'CCE3'!F113</f>
        <v>10</v>
      </c>
      <c r="Q116" s="165">
        <f>'CCE3'!G113</f>
        <v>9</v>
      </c>
      <c r="R116" s="165">
        <f>'CCE3'!H113</f>
        <v>9</v>
      </c>
      <c r="S116" s="163">
        <f t="shared" si="4"/>
        <v>37</v>
      </c>
      <c r="T116" s="163">
        <f t="shared" si="4"/>
        <v>36</v>
      </c>
      <c r="U116" s="163">
        <f t="shared" si="4"/>
        <v>19</v>
      </c>
      <c r="V116" s="163">
        <f t="shared" si="3"/>
        <v>9</v>
      </c>
      <c r="W116" s="163">
        <f t="shared" si="3"/>
        <v>9</v>
      </c>
      <c r="X116" s="163">
        <f t="shared" si="5"/>
        <v>110</v>
      </c>
    </row>
    <row r="117" spans="1:24" ht="15.75">
      <c r="A117" s="160">
        <v>104</v>
      </c>
      <c r="B117" s="158">
        <v>22236</v>
      </c>
      <c r="C117" s="159" t="s">
        <v>227</v>
      </c>
      <c r="D117" s="165">
        <f>'CCE1'!D114+'CCE1'!E114</f>
        <v>19</v>
      </c>
      <c r="E117" s="165">
        <f>'CCE1'!E114+'CCE1'!F114</f>
        <v>18</v>
      </c>
      <c r="F117" s="165">
        <f>'CCE1'!F114+'CCE1'!G114</f>
        <v>8</v>
      </c>
      <c r="G117" s="164"/>
      <c r="H117" s="164"/>
      <c r="I117" s="165">
        <f>'CCE2'!D114+'CCE2'!E114</f>
        <v>7</v>
      </c>
      <c r="J117" s="165">
        <f>'CCE2'!F114+'CCE2'!G114</f>
        <v>9</v>
      </c>
      <c r="K117" s="164"/>
      <c r="L117" s="164"/>
      <c r="M117" s="164"/>
      <c r="N117" s="165">
        <f>'CCE3'!D114</f>
        <v>8</v>
      </c>
      <c r="O117" s="165">
        <f>'CCE3'!E114</f>
        <v>8</v>
      </c>
      <c r="P117" s="165">
        <f>'CCE3'!F114</f>
        <v>8</v>
      </c>
      <c r="Q117" s="165">
        <f>'CCE3'!G114</f>
        <v>9</v>
      </c>
      <c r="R117" s="165">
        <f>'CCE3'!H114</f>
        <v>8</v>
      </c>
      <c r="S117" s="163">
        <f t="shared" si="4"/>
        <v>34</v>
      </c>
      <c r="T117" s="163">
        <f t="shared" si="4"/>
        <v>35</v>
      </c>
      <c r="U117" s="163">
        <f t="shared" si="4"/>
        <v>16</v>
      </c>
      <c r="V117" s="163">
        <f t="shared" si="3"/>
        <v>9</v>
      </c>
      <c r="W117" s="163">
        <f t="shared" si="3"/>
        <v>8</v>
      </c>
      <c r="X117" s="163">
        <f t="shared" si="5"/>
        <v>102</v>
      </c>
    </row>
    <row r="118" spans="1:24" ht="15.75">
      <c r="A118" s="160">
        <v>105</v>
      </c>
      <c r="B118" s="158">
        <v>22237</v>
      </c>
      <c r="C118" s="159" t="s">
        <v>228</v>
      </c>
      <c r="D118" s="165">
        <f>'CCE1'!D115+'CCE1'!E115</f>
        <v>20</v>
      </c>
      <c r="E118" s="165">
        <f>'CCE1'!E115+'CCE1'!F115</f>
        <v>19</v>
      </c>
      <c r="F118" s="165">
        <f>'CCE1'!F115+'CCE1'!G115</f>
        <v>9</v>
      </c>
      <c r="G118" s="164"/>
      <c r="H118" s="164"/>
      <c r="I118" s="165">
        <f>'CCE2'!D115+'CCE2'!E115</f>
        <v>8</v>
      </c>
      <c r="J118" s="165">
        <f>'CCE2'!F115+'CCE2'!G115</f>
        <v>8</v>
      </c>
      <c r="K118" s="164"/>
      <c r="L118" s="164"/>
      <c r="M118" s="164"/>
      <c r="N118" s="165">
        <f>'CCE3'!D115</f>
        <v>9</v>
      </c>
      <c r="O118" s="165">
        <f>'CCE3'!E115</f>
        <v>8</v>
      </c>
      <c r="P118" s="165">
        <f>'CCE3'!F115</f>
        <v>9</v>
      </c>
      <c r="Q118" s="165">
        <f>'CCE3'!G115</f>
        <v>10</v>
      </c>
      <c r="R118" s="165">
        <f>'CCE3'!H115</f>
        <v>8</v>
      </c>
      <c r="S118" s="163">
        <f t="shared" si="4"/>
        <v>37</v>
      </c>
      <c r="T118" s="163">
        <f t="shared" si="4"/>
        <v>35</v>
      </c>
      <c r="U118" s="163">
        <f t="shared" si="4"/>
        <v>18</v>
      </c>
      <c r="V118" s="163">
        <f t="shared" si="3"/>
        <v>10</v>
      </c>
      <c r="W118" s="163">
        <f t="shared" si="3"/>
        <v>8</v>
      </c>
      <c r="X118" s="163">
        <f t="shared" si="5"/>
        <v>108</v>
      </c>
    </row>
    <row r="119" spans="1:24" ht="15.75">
      <c r="A119" s="160">
        <v>106</v>
      </c>
      <c r="B119" s="158">
        <v>22238</v>
      </c>
      <c r="C119" s="159" t="s">
        <v>229</v>
      </c>
      <c r="D119" s="165">
        <f>'CCE1'!D116+'CCE1'!E116</f>
        <v>18</v>
      </c>
      <c r="E119" s="165">
        <f>'CCE1'!E116+'CCE1'!F116</f>
        <v>18</v>
      </c>
      <c r="F119" s="165">
        <f>'CCE1'!F116+'CCE1'!G116</f>
        <v>10</v>
      </c>
      <c r="G119" s="164"/>
      <c r="H119" s="164"/>
      <c r="I119" s="165">
        <f>'CCE2'!D116+'CCE2'!E116</f>
        <v>8</v>
      </c>
      <c r="J119" s="165">
        <f>'CCE2'!F116+'CCE2'!G116</f>
        <v>8</v>
      </c>
      <c r="K119" s="164"/>
      <c r="L119" s="164"/>
      <c r="M119" s="164"/>
      <c r="N119" s="165">
        <f>'CCE3'!D116</f>
        <v>8</v>
      </c>
      <c r="O119" s="165">
        <f>'CCE3'!E116</f>
        <v>10</v>
      </c>
      <c r="P119" s="165">
        <f>'CCE3'!F116</f>
        <v>10</v>
      </c>
      <c r="Q119" s="165">
        <f>'CCE3'!G116</f>
        <v>9</v>
      </c>
      <c r="R119" s="165">
        <f>'CCE3'!H116</f>
        <v>8</v>
      </c>
      <c r="S119" s="163">
        <f t="shared" si="4"/>
        <v>34</v>
      </c>
      <c r="T119" s="163">
        <f t="shared" si="4"/>
        <v>36</v>
      </c>
      <c r="U119" s="163">
        <f t="shared" si="4"/>
        <v>20</v>
      </c>
      <c r="V119" s="163">
        <f t="shared" si="3"/>
        <v>9</v>
      </c>
      <c r="W119" s="163">
        <f t="shared" si="3"/>
        <v>8</v>
      </c>
      <c r="X119" s="163">
        <f t="shared" si="5"/>
        <v>107</v>
      </c>
    </row>
    <row r="120" spans="1:24" ht="15.75">
      <c r="A120" s="160">
        <v>107</v>
      </c>
      <c r="B120" s="158">
        <v>22239</v>
      </c>
      <c r="C120" s="159" t="s">
        <v>230</v>
      </c>
      <c r="D120" s="165">
        <f>'CCE1'!D117+'CCE1'!E117</f>
        <v>9</v>
      </c>
      <c r="E120" s="165">
        <f>'CCE1'!E117+'CCE1'!F117</f>
        <v>9</v>
      </c>
      <c r="F120" s="165">
        <f>'CCE1'!F117+'CCE1'!G117</f>
        <v>4</v>
      </c>
      <c r="G120" s="164"/>
      <c r="H120" s="164"/>
      <c r="I120" s="165">
        <f>'CCE2'!D117+'CCE2'!E117</f>
        <v>8</v>
      </c>
      <c r="J120" s="165">
        <f>'CCE2'!F117+'CCE2'!G117</f>
        <v>9</v>
      </c>
      <c r="K120" s="164"/>
      <c r="L120" s="164"/>
      <c r="M120" s="164"/>
      <c r="N120" s="165">
        <f>'CCE3'!D117</f>
        <v>8</v>
      </c>
      <c r="O120" s="165">
        <f>'CCE3'!E117</f>
        <v>9</v>
      </c>
      <c r="P120" s="165">
        <f>'CCE3'!F117</f>
        <v>10</v>
      </c>
      <c r="Q120" s="165">
        <f>'CCE3'!G117</f>
        <v>9</v>
      </c>
      <c r="R120" s="165">
        <f>'CCE3'!H117</f>
        <v>9</v>
      </c>
      <c r="S120" s="163">
        <f t="shared" si="4"/>
        <v>25</v>
      </c>
      <c r="T120" s="163">
        <f t="shared" si="4"/>
        <v>27</v>
      </c>
      <c r="U120" s="163">
        <f t="shared" si="4"/>
        <v>14</v>
      </c>
      <c r="V120" s="163">
        <f t="shared" si="3"/>
        <v>9</v>
      </c>
      <c r="W120" s="163">
        <f t="shared" si="3"/>
        <v>9</v>
      </c>
      <c r="X120" s="163">
        <f t="shared" si="5"/>
        <v>84</v>
      </c>
    </row>
    <row r="121" spans="1:24" ht="15.75">
      <c r="A121" s="160">
        <v>108</v>
      </c>
      <c r="B121" s="158">
        <v>22240</v>
      </c>
      <c r="C121" s="159" t="s">
        <v>231</v>
      </c>
      <c r="D121" s="165">
        <f>'CCE1'!D118+'CCE1'!E118</f>
        <v>18</v>
      </c>
      <c r="E121" s="165">
        <f>'CCE1'!E118+'CCE1'!F118</f>
        <v>17</v>
      </c>
      <c r="F121" s="165">
        <f>'CCE1'!F118+'CCE1'!G118</f>
        <v>9</v>
      </c>
      <c r="G121" s="164"/>
      <c r="H121" s="164"/>
      <c r="I121" s="165">
        <f>'CCE2'!D118+'CCE2'!E118</f>
        <v>5</v>
      </c>
      <c r="J121" s="165">
        <f>'CCE2'!F118+'CCE2'!G118</f>
        <v>5</v>
      </c>
      <c r="K121" s="164"/>
      <c r="L121" s="164"/>
      <c r="M121" s="164"/>
      <c r="N121" s="165">
        <f>'CCE3'!D118</f>
        <v>8</v>
      </c>
      <c r="O121" s="165">
        <f>'CCE3'!E118</f>
        <v>9</v>
      </c>
      <c r="P121" s="165">
        <f>'CCE3'!F118</f>
        <v>10</v>
      </c>
      <c r="Q121" s="165">
        <f>'CCE3'!G118</f>
        <v>8</v>
      </c>
      <c r="R121" s="165">
        <f>'CCE3'!H118</f>
        <v>9</v>
      </c>
      <c r="S121" s="163">
        <f t="shared" si="4"/>
        <v>31</v>
      </c>
      <c r="T121" s="163">
        <f t="shared" si="4"/>
        <v>31</v>
      </c>
      <c r="U121" s="163">
        <f t="shared" si="4"/>
        <v>19</v>
      </c>
      <c r="V121" s="163">
        <f t="shared" si="3"/>
        <v>8</v>
      </c>
      <c r="W121" s="163">
        <f t="shared" si="3"/>
        <v>9</v>
      </c>
      <c r="X121" s="163">
        <f t="shared" si="5"/>
        <v>98</v>
      </c>
    </row>
    <row r="122" spans="1:24" ht="15.6" customHeight="1">
      <c r="A122" s="129"/>
      <c r="B122" s="129"/>
      <c r="C122" s="130" t="str">
        <f>CONCATENATE("No of students more than ",S6* 100, "% = (x)")</f>
        <v>No of students more than 60% = (x)</v>
      </c>
      <c r="D122" s="128">
        <f>COUNTIF(D14:D121,CONCATENATE("&gt;=",$D$13*$S$6))</f>
        <v>106</v>
      </c>
      <c r="E122" s="128">
        <f>COUNTIF(E14:E121,CONCATENATE("&gt;=",$E$13*$S$6))</f>
        <v>108</v>
      </c>
      <c r="F122" s="128">
        <f>COUNTIF(F14:F121,CONCATENATE("&gt;=",$F$13*$S$6))</f>
        <v>108</v>
      </c>
      <c r="G122" s="128">
        <f>COUNTIF(G14:G121,CONCATENATE("&gt;=",$D$13*$S$6))</f>
        <v>0</v>
      </c>
      <c r="H122" s="128">
        <f>COUNTIF(H14:H121,CONCATENATE("&gt;=",$D$13*$S$6))</f>
        <v>0</v>
      </c>
      <c r="I122" s="128">
        <f>COUNTIF(I14:I121,CONCATENATE("&gt;=",$I$13*$S$6))</f>
        <v>104</v>
      </c>
      <c r="J122" s="128">
        <f>COUNTIF(J14:J121,CONCATENATE("&gt;=",$J$13*$S$6))</f>
        <v>104</v>
      </c>
      <c r="K122" s="128">
        <f>COUNTIF(K14:K121,CONCATENATE("&gt;=",$D$13*$S$6))</f>
        <v>0</v>
      </c>
      <c r="L122" s="128">
        <f>COUNTIF(L14:L121,CONCATENATE("&gt;=",$D$13*$S$6))</f>
        <v>0</v>
      </c>
      <c r="M122" s="128">
        <f>COUNTIF(M14:M121,CONCATENATE("&gt;=",$D$13*$S$6))</f>
        <v>0</v>
      </c>
      <c r="N122" s="128">
        <f>COUNTIF(N14:N121,CONCATENATE("&gt;=",$N$13*$S$6))</f>
        <v>105</v>
      </c>
      <c r="O122" s="128">
        <f>COUNTIF(O14:O121,CONCATENATE("&gt;=",$O$13*$S$6))</f>
        <v>102</v>
      </c>
      <c r="P122" s="128">
        <f>COUNTIF(P14:P121,CONCATENATE("&gt;=",$P$13*$S$6))</f>
        <v>105</v>
      </c>
      <c r="Q122" s="128">
        <f>COUNTIF(Q14:Q121,CONCATENATE("&gt;=",$Q$13*$S$6))</f>
        <v>100</v>
      </c>
      <c r="R122" s="128">
        <f>COUNTIF(R14:R121,CONCATENATE("&gt;=",$R$13*$S$6))</f>
        <v>97</v>
      </c>
      <c r="S122" s="128">
        <f>COUNTIF(S14:S121,CONCATENATE("&gt;=",$S$13*$S$6))</f>
        <v>107</v>
      </c>
      <c r="T122" s="128">
        <f>COUNTIF(T14:T121,CONCATENATE("&gt;=",$T$13*$S$6))</f>
        <v>108</v>
      </c>
      <c r="U122" s="128">
        <f>COUNTIF(U14:U121,CONCATENATE("&gt;=",$U$13*$S$6))</f>
        <v>108</v>
      </c>
      <c r="V122" s="128">
        <f>COUNTIF(V14:V121,CONCATENATE("&gt;=",$V$13*$S$6))</f>
        <v>100</v>
      </c>
      <c r="W122" s="128">
        <f>COUNTIF(W14:W121,CONCATENATE("&gt;=",$W$13*$S$6))</f>
        <v>97</v>
      </c>
      <c r="X122" s="128">
        <f>COUNTIF(X14:X121,CONCATENATE("&gt;=",$X$13*$S$6))</f>
        <v>108</v>
      </c>
    </row>
    <row r="123" spans="1:24">
      <c r="A123" s="131"/>
      <c r="B123" s="131"/>
      <c r="C123" s="131" t="s">
        <v>25</v>
      </c>
      <c r="D123" s="128">
        <f t="shared" ref="D123:X123" si="6">COUNT(D14:D121)</f>
        <v>108</v>
      </c>
      <c r="E123" s="128">
        <f t="shared" si="6"/>
        <v>108</v>
      </c>
      <c r="F123" s="128">
        <f t="shared" si="6"/>
        <v>108</v>
      </c>
      <c r="G123" s="128">
        <f t="shared" si="6"/>
        <v>0</v>
      </c>
      <c r="H123" s="128">
        <f t="shared" si="6"/>
        <v>0</v>
      </c>
      <c r="I123" s="128">
        <f t="shared" si="6"/>
        <v>108</v>
      </c>
      <c r="J123" s="128">
        <f t="shared" si="6"/>
        <v>108</v>
      </c>
      <c r="K123" s="128">
        <f t="shared" si="6"/>
        <v>0</v>
      </c>
      <c r="L123" s="128">
        <f t="shared" si="6"/>
        <v>0</v>
      </c>
      <c r="M123" s="128">
        <f t="shared" si="6"/>
        <v>0</v>
      </c>
      <c r="N123" s="128">
        <f t="shared" si="6"/>
        <v>108</v>
      </c>
      <c r="O123" s="128">
        <f t="shared" si="6"/>
        <v>108</v>
      </c>
      <c r="P123" s="128">
        <f t="shared" si="6"/>
        <v>108</v>
      </c>
      <c r="Q123" s="128">
        <f t="shared" si="6"/>
        <v>108</v>
      </c>
      <c r="R123" s="128">
        <f t="shared" si="6"/>
        <v>108</v>
      </c>
      <c r="S123" s="128">
        <f t="shared" si="6"/>
        <v>108</v>
      </c>
      <c r="T123" s="128">
        <f t="shared" si="6"/>
        <v>108</v>
      </c>
      <c r="U123" s="128">
        <f t="shared" si="6"/>
        <v>108</v>
      </c>
      <c r="V123" s="128">
        <f t="shared" si="6"/>
        <v>108</v>
      </c>
      <c r="W123" s="128">
        <f t="shared" si="6"/>
        <v>108</v>
      </c>
      <c r="X123" s="128">
        <f t="shared" si="6"/>
        <v>108</v>
      </c>
    </row>
    <row r="124" spans="1:24">
      <c r="A124" s="131"/>
      <c r="B124" s="131"/>
      <c r="C124" s="131" t="s">
        <v>28</v>
      </c>
      <c r="D124" s="133">
        <f t="shared" ref="D124:X124" si="7">IFERROR(D122/D123,"NA")*100</f>
        <v>98.148148148148152</v>
      </c>
      <c r="E124" s="133">
        <f t="shared" si="7"/>
        <v>100</v>
      </c>
      <c r="F124" s="133">
        <f t="shared" si="7"/>
        <v>100</v>
      </c>
      <c r="G124" s="133" t="s">
        <v>118</v>
      </c>
      <c r="H124" s="133" t="s">
        <v>118</v>
      </c>
      <c r="I124" s="133">
        <f t="shared" si="7"/>
        <v>96.296296296296291</v>
      </c>
      <c r="J124" s="133">
        <f t="shared" si="7"/>
        <v>96.296296296296291</v>
      </c>
      <c r="K124" s="133" t="s">
        <v>118</v>
      </c>
      <c r="L124" s="133" t="s">
        <v>118</v>
      </c>
      <c r="M124" s="133" t="s">
        <v>118</v>
      </c>
      <c r="N124" s="133">
        <f t="shared" si="7"/>
        <v>97.222222222222214</v>
      </c>
      <c r="O124" s="133">
        <f t="shared" si="7"/>
        <v>94.444444444444443</v>
      </c>
      <c r="P124" s="133">
        <f t="shared" si="7"/>
        <v>97.222222222222214</v>
      </c>
      <c r="Q124" s="133">
        <f t="shared" si="7"/>
        <v>92.592592592592595</v>
      </c>
      <c r="R124" s="133">
        <f t="shared" si="7"/>
        <v>89.81481481481481</v>
      </c>
      <c r="S124" s="133">
        <f t="shared" si="7"/>
        <v>99.074074074074076</v>
      </c>
      <c r="T124" s="133">
        <f t="shared" si="7"/>
        <v>100</v>
      </c>
      <c r="U124" s="133">
        <f t="shared" si="7"/>
        <v>100</v>
      </c>
      <c r="V124" s="133">
        <f t="shared" si="7"/>
        <v>92.592592592592595</v>
      </c>
      <c r="W124" s="133">
        <f t="shared" si="7"/>
        <v>89.81481481481481</v>
      </c>
      <c r="X124" s="133">
        <f t="shared" si="7"/>
        <v>100</v>
      </c>
    </row>
    <row r="125" spans="1:24" ht="15.6" customHeight="1">
      <c r="A125" s="132"/>
      <c r="B125" s="131"/>
      <c r="C125" s="130" t="s">
        <v>26</v>
      </c>
      <c r="D125" s="128">
        <f t="shared" ref="D125:X125" si="8">IF(D124&lt;&gt;"NA",IF(D124&gt;=$N6,$L6,IF(D124&gt;=$N7,$L7,IF(D124&gt;=$N8,$L8,"0"))),"NA")</f>
        <v>3</v>
      </c>
      <c r="E125" s="128">
        <f t="shared" si="8"/>
        <v>3</v>
      </c>
      <c r="F125" s="128">
        <f t="shared" si="8"/>
        <v>3</v>
      </c>
      <c r="G125" s="128" t="str">
        <f t="shared" si="8"/>
        <v>NA</v>
      </c>
      <c r="H125" s="128" t="str">
        <f t="shared" si="8"/>
        <v>NA</v>
      </c>
      <c r="I125" s="128">
        <f t="shared" si="8"/>
        <v>3</v>
      </c>
      <c r="J125" s="128">
        <f t="shared" si="8"/>
        <v>3</v>
      </c>
      <c r="K125" s="128" t="str">
        <f t="shared" si="8"/>
        <v>NA</v>
      </c>
      <c r="L125" s="128" t="str">
        <f t="shared" si="8"/>
        <v>NA</v>
      </c>
      <c r="M125" s="128" t="str">
        <f t="shared" si="8"/>
        <v>NA</v>
      </c>
      <c r="N125" s="128">
        <f t="shared" si="8"/>
        <v>3</v>
      </c>
      <c r="O125" s="128">
        <f t="shared" si="8"/>
        <v>3</v>
      </c>
      <c r="P125" s="128">
        <f t="shared" si="8"/>
        <v>3</v>
      </c>
      <c r="Q125" s="128">
        <f t="shared" si="8"/>
        <v>3</v>
      </c>
      <c r="R125" s="128">
        <f t="shared" si="8"/>
        <v>3</v>
      </c>
      <c r="S125" s="128">
        <f t="shared" si="8"/>
        <v>3</v>
      </c>
      <c r="T125" s="128">
        <f t="shared" si="8"/>
        <v>3</v>
      </c>
      <c r="U125" s="128">
        <f t="shared" si="8"/>
        <v>3</v>
      </c>
      <c r="V125" s="128">
        <f t="shared" si="8"/>
        <v>3</v>
      </c>
      <c r="W125" s="128">
        <f t="shared" si="8"/>
        <v>3</v>
      </c>
      <c r="X125" s="128">
        <f t="shared" si="8"/>
        <v>3</v>
      </c>
    </row>
    <row r="127" spans="1:24" ht="25.5">
      <c r="C127" s="70" t="s">
        <v>54</v>
      </c>
      <c r="D127" s="135">
        <f>AVERAGE(S125:W125)</f>
        <v>3</v>
      </c>
      <c r="E127" s="135">
        <f>AVERAGE(D124:X124)</f>
        <v>96.469907407407405</v>
      </c>
      <c r="F127" s="135">
        <f>(3/100)*E127</f>
        <v>2.8940972222222219</v>
      </c>
      <c r="G127" s="276" t="s">
        <v>22</v>
      </c>
      <c r="H127" s="276"/>
    </row>
    <row r="128" spans="1:24">
      <c r="G128" s="161" t="s">
        <v>2</v>
      </c>
      <c r="H128" s="169">
        <f>AVERAGE(D124,I124,N124)</f>
        <v>97.222222222222229</v>
      </c>
    </row>
    <row r="129" spans="1:16">
      <c r="A129"/>
      <c r="B129"/>
      <c r="C129"/>
      <c r="D129"/>
      <c r="E129"/>
      <c r="F129"/>
      <c r="G129" s="170" t="s">
        <v>3</v>
      </c>
      <c r="H129" s="169">
        <f>AVERAGE(E124,J124,O124)</f>
        <v>96.913580246913583</v>
      </c>
      <c r="I129"/>
      <c r="J129"/>
      <c r="K129"/>
      <c r="L129"/>
      <c r="M129"/>
    </row>
    <row r="130" spans="1:16">
      <c r="A130"/>
      <c r="B130"/>
      <c r="C130"/>
      <c r="D130"/>
      <c r="E130"/>
      <c r="F130"/>
      <c r="G130" s="170" t="s">
        <v>4</v>
      </c>
      <c r="H130" s="169">
        <f>AVERAGE(F124,P124)</f>
        <v>98.611111111111114</v>
      </c>
      <c r="I130"/>
      <c r="J130"/>
      <c r="K130"/>
      <c r="L130"/>
      <c r="M130"/>
    </row>
    <row r="131" spans="1:16">
      <c r="A131"/>
      <c r="B131"/>
      <c r="C131"/>
      <c r="D131"/>
      <c r="E131"/>
      <c r="F131"/>
      <c r="G131" s="161" t="s">
        <v>10</v>
      </c>
      <c r="H131" s="169">
        <f>AVERAGE(G124,Q124)</f>
        <v>92.592592592592595</v>
      </c>
      <c r="I131"/>
      <c r="J131"/>
      <c r="K131"/>
      <c r="L131"/>
      <c r="M131"/>
    </row>
    <row r="132" spans="1:16">
      <c r="A132"/>
      <c r="B132" s="7" t="str">
        <f>Faculty</f>
        <v xml:space="preserve">Dr. Ashwini Chavan, </v>
      </c>
      <c r="C132"/>
      <c r="D132"/>
      <c r="E132"/>
      <c r="F132"/>
      <c r="G132" s="161" t="s">
        <v>12</v>
      </c>
      <c r="H132" s="169">
        <f>AVERAGE(R124)</f>
        <v>89.81481481481481</v>
      </c>
      <c r="I132"/>
      <c r="J132"/>
      <c r="K132"/>
      <c r="L132"/>
      <c r="M132"/>
    </row>
    <row r="133" spans="1:16">
      <c r="A133"/>
      <c r="B133"/>
      <c r="C133"/>
      <c r="D133"/>
      <c r="E133"/>
      <c r="F133"/>
      <c r="G133"/>
      <c r="H133"/>
      <c r="I133"/>
      <c r="J133"/>
      <c r="K133"/>
      <c r="L133"/>
      <c r="M133"/>
    </row>
    <row r="134" spans="1:16" ht="15.75">
      <c r="A134" s="82"/>
      <c r="B134" s="82"/>
      <c r="C134"/>
      <c r="D134" s="199"/>
      <c r="E134" s="199"/>
      <c r="F134" s="199"/>
      <c r="G134" s="2"/>
      <c r="H134" s="2"/>
      <c r="I134" s="100"/>
      <c r="J134" s="82"/>
      <c r="K134"/>
      <c r="L134" s="82"/>
      <c r="M134" s="48"/>
    </row>
    <row r="135" spans="1:16" ht="15.75">
      <c r="A135" s="82"/>
      <c r="B135" s="82"/>
      <c r="C135"/>
      <c r="D135" s="199"/>
      <c r="E135" s="199"/>
      <c r="F135" s="199"/>
      <c r="G135" s="2"/>
      <c r="H135" s="2"/>
      <c r="I135" s="100"/>
      <c r="J135" s="82"/>
      <c r="K135"/>
      <c r="L135" s="82"/>
      <c r="M135" s="48"/>
    </row>
    <row r="136" spans="1:16" ht="15.75">
      <c r="A136"/>
      <c r="B136"/>
      <c r="C136"/>
      <c r="D136"/>
      <c r="E136"/>
      <c r="F136"/>
      <c r="G136"/>
      <c r="H136"/>
      <c r="I136" s="2"/>
      <c r="J136"/>
      <c r="K136"/>
      <c r="L136"/>
      <c r="M136" s="3"/>
    </row>
    <row r="137" spans="1:16" ht="15.75">
      <c r="A137" s="1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3"/>
    </row>
    <row r="138" spans="1:16" s="36" customFormat="1" ht="15.75">
      <c r="A138" s="199" t="str">
        <f>SubjectDetails!A24</f>
        <v>Dr. Ravi Chourasiya</v>
      </c>
      <c r="B138" s="199"/>
      <c r="C138" s="199"/>
      <c r="D138" s="202" t="str">
        <f>SubjectDetails!E24</f>
        <v>Dr. Ashwini Chavan</v>
      </c>
      <c r="E138" s="202"/>
      <c r="F138" s="202"/>
      <c r="G138" s="202"/>
      <c r="H138"/>
      <c r="I138" s="200"/>
      <c r="J138" s="200"/>
      <c r="K138"/>
      <c r="L138" s="82"/>
      <c r="M138" s="48"/>
      <c r="N138" s="238" t="str">
        <f>SubjectDetails!H24</f>
        <v>Dr. Priyanka Singh</v>
      </c>
      <c r="O138" s="238"/>
      <c r="P138" s="238"/>
    </row>
    <row r="139" spans="1:16" s="36" customFormat="1" ht="15.75">
      <c r="A139" s="199" t="str">
        <f>SubjectDetails!A25</f>
        <v>(College Examination Officer)</v>
      </c>
      <c r="B139" s="199"/>
      <c r="C139" s="199"/>
      <c r="D139" s="202" t="str">
        <f>SubjectDetails!E25</f>
        <v>HOD (MCA)</v>
      </c>
      <c r="E139" s="202"/>
      <c r="F139" s="202"/>
      <c r="G139" s="202"/>
      <c r="H139"/>
      <c r="I139" s="200"/>
      <c r="J139" s="200"/>
      <c r="K139"/>
      <c r="L139" s="82"/>
      <c r="M139" s="48"/>
      <c r="N139" s="238" t="str">
        <f>SubjectDetails!H25</f>
        <v>Director</v>
      </c>
      <c r="O139" s="238"/>
      <c r="P139" s="238"/>
    </row>
  </sheetData>
  <mergeCells count="30">
    <mergeCell ref="A1:X1"/>
    <mergeCell ref="A2:X2"/>
    <mergeCell ref="A3:X3"/>
    <mergeCell ref="A4:X4"/>
    <mergeCell ref="O6:R8"/>
    <mergeCell ref="I6:K8"/>
    <mergeCell ref="L6:M6"/>
    <mergeCell ref="L7:M7"/>
    <mergeCell ref="L8:M8"/>
    <mergeCell ref="G127:H127"/>
    <mergeCell ref="D134:F134"/>
    <mergeCell ref="D135:F135"/>
    <mergeCell ref="D11:H11"/>
    <mergeCell ref="S6:S8"/>
    <mergeCell ref="I11:M11"/>
    <mergeCell ref="A10:X10"/>
    <mergeCell ref="X11:X12"/>
    <mergeCell ref="S11:W11"/>
    <mergeCell ref="A11:A13"/>
    <mergeCell ref="B11:B13"/>
    <mergeCell ref="C11:C13"/>
    <mergeCell ref="N11:R11"/>
    <mergeCell ref="N139:P139"/>
    <mergeCell ref="N138:P138"/>
    <mergeCell ref="A138:C138"/>
    <mergeCell ref="A139:C139"/>
    <mergeCell ref="D138:G138"/>
    <mergeCell ref="D139:G139"/>
    <mergeCell ref="I138:J138"/>
    <mergeCell ref="I139:J139"/>
  </mergeCells>
  <pageMargins left="0.7" right="0.7" top="0.75" bottom="0.75" header="0.3" footer="0.3"/>
  <pageSetup scale="52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8"/>
  <sheetViews>
    <sheetView topLeftCell="A109" zoomScaleNormal="100" workbookViewId="0">
      <selection activeCell="D121" sqref="D14:D121"/>
    </sheetView>
  </sheetViews>
  <sheetFormatPr defaultColWidth="8.85546875" defaultRowHeight="12.75"/>
  <cols>
    <col min="1" max="1" width="8.85546875" style="7"/>
    <col min="2" max="2" width="10.85546875" style="7" customWidth="1"/>
    <col min="3" max="3" width="41.42578125" style="7" bestFit="1" customWidth="1"/>
    <col min="4" max="9" width="8" style="7" customWidth="1"/>
    <col min="10" max="10" width="11.28515625" style="7" customWidth="1"/>
    <col min="11" max="11" width="6.28515625" style="7" customWidth="1"/>
    <col min="12" max="15" width="7.7109375" style="7" customWidth="1"/>
    <col min="16" max="16" width="9" style="7" bestFit="1" customWidth="1"/>
    <col min="17" max="16384" width="8.85546875" style="7"/>
  </cols>
  <sheetData>
    <row r="1" spans="1:24" ht="18.75">
      <c r="A1" s="210" t="s">
        <v>73</v>
      </c>
      <c r="B1" s="211"/>
      <c r="C1" s="211"/>
      <c r="D1" s="211"/>
      <c r="E1" s="211"/>
      <c r="F1" s="211"/>
      <c r="G1" s="211"/>
      <c r="H1" s="211"/>
      <c r="I1" s="211"/>
      <c r="J1" s="211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</row>
    <row r="2" spans="1:24" ht="23.45" customHeight="1">
      <c r="A2" s="212" t="s">
        <v>74</v>
      </c>
      <c r="B2" s="213"/>
      <c r="C2" s="213"/>
      <c r="D2" s="213"/>
      <c r="E2" s="213"/>
      <c r="F2" s="213"/>
      <c r="G2" s="213"/>
      <c r="H2" s="213"/>
      <c r="I2" s="213"/>
      <c r="J2" s="213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</row>
    <row r="3" spans="1:24" ht="13.9" customHeight="1">
      <c r="A3" s="214" t="s">
        <v>75</v>
      </c>
      <c r="B3" s="215"/>
      <c r="C3" s="215"/>
      <c r="D3" s="215"/>
      <c r="E3" s="215"/>
      <c r="F3" s="215"/>
      <c r="G3" s="215"/>
      <c r="H3" s="215"/>
      <c r="I3" s="215"/>
      <c r="J3" s="215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</row>
    <row r="4" spans="1:24" ht="13.9" customHeight="1">
      <c r="A4" s="214" t="s">
        <v>9</v>
      </c>
      <c r="B4" s="215"/>
      <c r="C4" s="215"/>
      <c r="D4" s="215"/>
      <c r="E4" s="215"/>
      <c r="F4" s="215"/>
      <c r="G4" s="215"/>
      <c r="H4" s="215"/>
      <c r="I4" s="215"/>
      <c r="J4" s="215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</row>
    <row r="5" spans="1:24" ht="15.75" thickBo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24" ht="15.75">
      <c r="A6" s="328" t="str">
        <f>CONCATENATE("Faculty Name: ", Faculty)</f>
        <v xml:space="preserve">Faculty Name: Dr. Ashwini Chavan, </v>
      </c>
      <c r="B6" s="328"/>
      <c r="C6" s="329"/>
      <c r="D6" s="330" t="s">
        <v>117</v>
      </c>
      <c r="E6" s="331"/>
      <c r="F6" s="61">
        <v>3</v>
      </c>
      <c r="G6" s="62">
        <v>0.7</v>
      </c>
      <c r="H6" s="338" t="s">
        <v>31</v>
      </c>
      <c r="I6" s="339"/>
      <c r="J6" s="344">
        <v>0.6</v>
      </c>
      <c r="K6" s="30"/>
      <c r="L6" s="30"/>
      <c r="P6" s="6"/>
      <c r="Q6" s="6"/>
      <c r="R6" s="6"/>
      <c r="S6" s="6"/>
    </row>
    <row r="7" spans="1:24" ht="15.75">
      <c r="A7" s="326" t="str">
        <f>CONCATENATE("Subject Name &amp; Code: ", Sub_Code)</f>
        <v>Subject Name &amp; Code: Network Technologies</v>
      </c>
      <c r="B7" s="326"/>
      <c r="C7" s="327"/>
      <c r="D7" s="332"/>
      <c r="E7" s="333"/>
      <c r="F7" s="63">
        <v>2</v>
      </c>
      <c r="G7" s="64">
        <v>0.6</v>
      </c>
      <c r="H7" s="340"/>
      <c r="I7" s="341"/>
      <c r="J7" s="345"/>
      <c r="K7" s="12"/>
      <c r="L7" s="12"/>
      <c r="P7" s="12"/>
      <c r="Q7" s="6"/>
      <c r="R7" s="6"/>
      <c r="S7" s="6"/>
    </row>
    <row r="8" spans="1:24" ht="16.5" thickBot="1">
      <c r="A8" s="328" t="str">
        <f>CONCATENATE("Class: ",Class_AY)</f>
        <v>Class: MCA I SEM I AY 2023-24</v>
      </c>
      <c r="B8" s="328"/>
      <c r="C8" s="329"/>
      <c r="D8" s="334"/>
      <c r="E8" s="335"/>
      <c r="F8" s="65">
        <v>1</v>
      </c>
      <c r="G8" s="66">
        <v>0.5</v>
      </c>
      <c r="H8" s="342"/>
      <c r="I8" s="343"/>
      <c r="J8" s="346"/>
      <c r="K8" s="6"/>
      <c r="L8" s="6"/>
      <c r="P8" s="6"/>
      <c r="Q8" s="6"/>
      <c r="R8" s="6"/>
      <c r="S8" s="6"/>
    </row>
    <row r="9" spans="1:24" ht="13.5" thickBot="1"/>
    <row r="10" spans="1:24" ht="21" thickBot="1">
      <c r="A10" s="322" t="s">
        <v>29</v>
      </c>
      <c r="B10" s="323"/>
      <c r="C10" s="323"/>
      <c r="D10" s="324"/>
      <c r="E10" s="324"/>
      <c r="F10" s="324"/>
      <c r="G10" s="324"/>
      <c r="H10" s="324"/>
      <c r="I10" s="324"/>
      <c r="J10" s="325"/>
      <c r="K10" s="23"/>
      <c r="L10" s="23"/>
      <c r="M10" s="23"/>
      <c r="N10" s="23"/>
      <c r="O10" s="23"/>
      <c r="P10" s="23"/>
    </row>
    <row r="11" spans="1:24">
      <c r="A11" s="285" t="s">
        <v>0</v>
      </c>
      <c r="B11" s="288" t="s">
        <v>6</v>
      </c>
      <c r="C11" s="336" t="s">
        <v>1</v>
      </c>
      <c r="D11" s="347" t="s">
        <v>30</v>
      </c>
      <c r="E11" s="348"/>
      <c r="F11" s="348"/>
      <c r="G11" s="348"/>
      <c r="H11" s="348"/>
      <c r="I11" s="348"/>
      <c r="J11" s="349"/>
      <c r="K11" s="24"/>
      <c r="L11" s="24"/>
      <c r="M11" s="24"/>
      <c r="N11" s="24"/>
      <c r="O11" s="24"/>
      <c r="P11" s="321"/>
    </row>
    <row r="12" spans="1:24">
      <c r="A12" s="286"/>
      <c r="B12" s="277"/>
      <c r="C12" s="337"/>
      <c r="D12" s="350"/>
      <c r="E12" s="351"/>
      <c r="F12" s="351"/>
      <c r="G12" s="351"/>
      <c r="H12" s="351"/>
      <c r="I12" s="351"/>
      <c r="J12" s="352"/>
      <c r="K12" s="25"/>
      <c r="L12" s="26"/>
      <c r="M12" s="26"/>
      <c r="N12" s="26"/>
      <c r="O12" s="26"/>
      <c r="P12" s="321"/>
    </row>
    <row r="13" spans="1:24" ht="19.5" thickBot="1">
      <c r="A13" s="286"/>
      <c r="B13" s="277"/>
      <c r="C13" s="337"/>
      <c r="D13" s="306">
        <v>50</v>
      </c>
      <c r="E13" s="307"/>
      <c r="F13" s="307"/>
      <c r="G13" s="307"/>
      <c r="H13" s="307"/>
      <c r="I13" s="307"/>
      <c r="J13" s="308"/>
      <c r="K13" s="25"/>
      <c r="L13" s="26"/>
      <c r="M13" s="26"/>
      <c r="N13" s="26"/>
      <c r="O13" s="26"/>
      <c r="P13" s="26"/>
    </row>
    <row r="14" spans="1:24" ht="15.75">
      <c r="A14" s="69">
        <v>1</v>
      </c>
      <c r="B14" s="68">
        <v>2032303524</v>
      </c>
      <c r="C14" s="159" t="s">
        <v>197</v>
      </c>
      <c r="D14" s="182">
        <v>32</v>
      </c>
      <c r="E14"/>
      <c r="F14"/>
      <c r="G14"/>
      <c r="H14"/>
      <c r="I14"/>
      <c r="J14"/>
      <c r="K14" s="27"/>
      <c r="L14" s="28"/>
      <c r="M14" s="28"/>
      <c r="N14" s="28"/>
      <c r="O14" s="28"/>
      <c r="P14" s="28"/>
    </row>
    <row r="15" spans="1:24" ht="15.75">
      <c r="A15" s="69">
        <v>2</v>
      </c>
      <c r="B15" s="68">
        <v>2032303491</v>
      </c>
      <c r="C15" s="159" t="s">
        <v>165</v>
      </c>
      <c r="D15" s="182">
        <v>32</v>
      </c>
      <c r="E15"/>
      <c r="F15"/>
      <c r="G15"/>
      <c r="H15"/>
      <c r="I15"/>
      <c r="J15"/>
      <c r="K15" s="27"/>
      <c r="L15" s="28"/>
      <c r="M15" s="28"/>
      <c r="N15" s="28"/>
      <c r="O15" s="28"/>
      <c r="P15" s="28"/>
    </row>
    <row r="16" spans="1:24" ht="15.75">
      <c r="A16" s="69">
        <v>3</v>
      </c>
      <c r="B16" s="68">
        <v>2032303500</v>
      </c>
      <c r="C16" s="159" t="s">
        <v>174</v>
      </c>
      <c r="D16" s="182">
        <v>32</v>
      </c>
      <c r="E16"/>
      <c r="F16"/>
      <c r="G16"/>
      <c r="H16"/>
      <c r="I16"/>
      <c r="J16"/>
      <c r="K16" s="27"/>
      <c r="L16" s="28"/>
      <c r="M16" s="28"/>
      <c r="N16" s="28"/>
      <c r="O16" s="28"/>
      <c r="P16" s="28"/>
    </row>
    <row r="17" spans="1:16" ht="15.75">
      <c r="A17" s="149">
        <v>4</v>
      </c>
      <c r="B17" s="68">
        <v>2032303484</v>
      </c>
      <c r="C17" s="159" t="s">
        <v>158</v>
      </c>
      <c r="D17" s="182">
        <v>32</v>
      </c>
      <c r="E17"/>
      <c r="F17"/>
      <c r="G17"/>
      <c r="H17"/>
      <c r="I17"/>
      <c r="J17"/>
      <c r="K17" s="27"/>
      <c r="L17" s="28"/>
      <c r="M17" s="28"/>
      <c r="N17" s="28"/>
      <c r="O17" s="28"/>
      <c r="P17" s="28"/>
    </row>
    <row r="18" spans="1:16" ht="15.75">
      <c r="A18" s="149">
        <v>5</v>
      </c>
      <c r="B18" s="68">
        <v>2032303481</v>
      </c>
      <c r="C18" s="159" t="s">
        <v>155</v>
      </c>
      <c r="D18" s="182">
        <v>35</v>
      </c>
      <c r="E18"/>
      <c r="F18"/>
      <c r="G18"/>
      <c r="H18"/>
      <c r="I18"/>
      <c r="J18"/>
      <c r="K18" s="27"/>
      <c r="L18" s="28"/>
      <c r="M18" s="28"/>
      <c r="N18" s="28"/>
      <c r="O18" s="28"/>
      <c r="P18" s="28"/>
    </row>
    <row r="19" spans="1:16" ht="15.75">
      <c r="A19" s="149">
        <v>6</v>
      </c>
      <c r="B19" s="68">
        <v>2032303483</v>
      </c>
      <c r="C19" s="159" t="s">
        <v>157</v>
      </c>
      <c r="D19" s="182">
        <v>32</v>
      </c>
      <c r="E19"/>
      <c r="F19"/>
      <c r="G19"/>
      <c r="H19"/>
      <c r="I19"/>
      <c r="J19"/>
      <c r="K19" s="27"/>
      <c r="L19" s="28"/>
      <c r="M19" s="28"/>
      <c r="N19" s="28"/>
      <c r="O19" s="28"/>
      <c r="P19" s="28"/>
    </row>
    <row r="20" spans="1:16" ht="15.75">
      <c r="A20" s="149">
        <v>7</v>
      </c>
      <c r="B20" s="68">
        <v>2032303463</v>
      </c>
      <c r="C20" s="159" t="s">
        <v>137</v>
      </c>
      <c r="D20" s="182">
        <v>32</v>
      </c>
      <c r="E20"/>
      <c r="F20"/>
      <c r="G20"/>
      <c r="H20"/>
      <c r="I20"/>
      <c r="J20"/>
      <c r="K20" s="27"/>
      <c r="L20" s="28"/>
      <c r="M20" s="28"/>
      <c r="N20" s="28"/>
      <c r="O20" s="28"/>
      <c r="P20" s="28"/>
    </row>
    <row r="21" spans="1:16" ht="15.75">
      <c r="A21" s="149">
        <v>8</v>
      </c>
      <c r="B21" s="68">
        <v>2032303487</v>
      </c>
      <c r="C21" s="159" t="s">
        <v>161</v>
      </c>
      <c r="D21" s="182">
        <v>35</v>
      </c>
      <c r="E21"/>
      <c r="F21"/>
      <c r="G21"/>
      <c r="H21"/>
      <c r="I21"/>
      <c r="J21"/>
      <c r="K21" s="27"/>
      <c r="L21" s="28"/>
      <c r="M21" s="28"/>
      <c r="N21" s="28"/>
      <c r="O21" s="28"/>
      <c r="P21" s="28"/>
    </row>
    <row r="22" spans="1:16" ht="15.75">
      <c r="A22" s="149">
        <v>9</v>
      </c>
      <c r="B22" s="68">
        <v>2032303455</v>
      </c>
      <c r="C22" s="159" t="s">
        <v>129</v>
      </c>
      <c r="D22" s="182">
        <v>31</v>
      </c>
      <c r="E22"/>
      <c r="F22"/>
      <c r="G22"/>
      <c r="H22"/>
      <c r="I22"/>
      <c r="J22"/>
      <c r="K22" s="27"/>
      <c r="L22" s="28"/>
      <c r="M22" s="28"/>
      <c r="N22" s="28"/>
      <c r="O22" s="28"/>
      <c r="P22" s="28"/>
    </row>
    <row r="23" spans="1:16" ht="15.75">
      <c r="A23" s="149">
        <v>10</v>
      </c>
      <c r="B23" s="68">
        <v>2032303516</v>
      </c>
      <c r="C23" s="159" t="s">
        <v>189</v>
      </c>
      <c r="D23" s="182">
        <v>32</v>
      </c>
      <c r="E23"/>
      <c r="F23"/>
      <c r="G23"/>
      <c r="H23"/>
      <c r="I23"/>
      <c r="J23"/>
      <c r="K23" s="27"/>
      <c r="L23" s="28"/>
      <c r="M23" s="28"/>
      <c r="N23" s="28"/>
      <c r="O23" s="28"/>
      <c r="P23" s="28"/>
    </row>
    <row r="24" spans="1:16" ht="15.75">
      <c r="A24" s="149">
        <v>11</v>
      </c>
      <c r="B24" s="68">
        <v>2032303515</v>
      </c>
      <c r="C24" s="159" t="s">
        <v>188</v>
      </c>
      <c r="D24" s="182">
        <v>32</v>
      </c>
      <c r="E24"/>
      <c r="F24"/>
      <c r="G24"/>
      <c r="H24"/>
      <c r="I24"/>
      <c r="J24"/>
      <c r="K24" s="27"/>
      <c r="L24" s="28"/>
      <c r="M24" s="28"/>
      <c r="N24" s="28"/>
      <c r="O24" s="28"/>
      <c r="P24" s="28"/>
    </row>
    <row r="25" spans="1:16" ht="15.75">
      <c r="A25" s="149">
        <v>12</v>
      </c>
      <c r="B25" s="68">
        <v>2032303502</v>
      </c>
      <c r="C25" s="159" t="s">
        <v>176</v>
      </c>
      <c r="D25" s="182">
        <v>22</v>
      </c>
      <c r="E25"/>
      <c r="F25"/>
      <c r="G25"/>
      <c r="H25"/>
      <c r="I25"/>
      <c r="J25"/>
      <c r="K25" s="27"/>
      <c r="L25" s="28"/>
      <c r="M25" s="28"/>
      <c r="N25" s="28"/>
      <c r="O25" s="28"/>
      <c r="P25" s="28"/>
    </row>
    <row r="26" spans="1:16" ht="15.75">
      <c r="A26" s="149">
        <v>13</v>
      </c>
      <c r="B26" s="68">
        <v>2032303513</v>
      </c>
      <c r="C26" s="159" t="s">
        <v>186</v>
      </c>
      <c r="D26" s="182">
        <v>32</v>
      </c>
      <c r="E26"/>
      <c r="F26"/>
      <c r="G26"/>
      <c r="H26"/>
      <c r="I26"/>
      <c r="J26"/>
      <c r="K26" s="27"/>
      <c r="L26" s="28"/>
      <c r="M26" s="28"/>
      <c r="N26" s="28"/>
      <c r="O26" s="28"/>
      <c r="P26" s="28"/>
    </row>
    <row r="27" spans="1:16" ht="15.75">
      <c r="A27" s="149">
        <v>14</v>
      </c>
      <c r="B27" s="68">
        <v>2032303538</v>
      </c>
      <c r="C27" s="159" t="s">
        <v>211</v>
      </c>
      <c r="D27" s="182">
        <v>22</v>
      </c>
      <c r="E27"/>
      <c r="F27"/>
      <c r="G27"/>
      <c r="H27"/>
      <c r="I27"/>
      <c r="J27"/>
      <c r="K27" s="27"/>
      <c r="L27" s="28"/>
      <c r="M27" s="28"/>
      <c r="N27" s="28"/>
      <c r="O27" s="28"/>
      <c r="P27" s="28"/>
    </row>
    <row r="28" spans="1:16" ht="15.75">
      <c r="A28" s="149">
        <v>15</v>
      </c>
      <c r="B28" s="68">
        <v>2032303478</v>
      </c>
      <c r="C28" s="159" t="s">
        <v>152</v>
      </c>
      <c r="D28" s="182">
        <v>35</v>
      </c>
      <c r="E28"/>
      <c r="F28"/>
      <c r="G28"/>
      <c r="H28"/>
      <c r="I28"/>
      <c r="J28"/>
      <c r="K28" s="27"/>
      <c r="L28" s="28"/>
      <c r="M28" s="28"/>
      <c r="N28" s="28"/>
      <c r="O28" s="28"/>
      <c r="P28" s="28"/>
    </row>
    <row r="29" spans="1:16" ht="15.75">
      <c r="A29" s="149">
        <v>16</v>
      </c>
      <c r="B29" s="68">
        <v>2032303464</v>
      </c>
      <c r="C29" s="159" t="s">
        <v>138</v>
      </c>
      <c r="D29" s="182">
        <v>32</v>
      </c>
      <c r="E29"/>
      <c r="F29"/>
      <c r="G29"/>
      <c r="H29"/>
      <c r="I29"/>
      <c r="J29"/>
      <c r="K29" s="27"/>
      <c r="L29" s="28"/>
      <c r="M29" s="28"/>
      <c r="N29" s="28"/>
      <c r="O29" s="28"/>
      <c r="P29" s="28"/>
    </row>
    <row r="30" spans="1:16" ht="15.75">
      <c r="A30" s="149">
        <v>17</v>
      </c>
      <c r="B30" s="68">
        <v>2032303528</v>
      </c>
      <c r="C30" s="159" t="s">
        <v>201</v>
      </c>
      <c r="D30" s="182">
        <v>32</v>
      </c>
      <c r="E30"/>
      <c r="F30"/>
      <c r="G30"/>
      <c r="H30"/>
      <c r="I30"/>
      <c r="J30"/>
      <c r="K30" s="27"/>
      <c r="L30" s="28"/>
      <c r="M30" s="28"/>
      <c r="N30" s="28"/>
      <c r="O30" s="28"/>
      <c r="P30" s="28"/>
    </row>
    <row r="31" spans="1:16" ht="15.75">
      <c r="A31" s="149">
        <v>18</v>
      </c>
      <c r="B31" s="68">
        <v>2032303476</v>
      </c>
      <c r="C31" s="159" t="s">
        <v>150</v>
      </c>
      <c r="D31" s="182">
        <v>34</v>
      </c>
      <c r="E31"/>
      <c r="F31"/>
      <c r="G31"/>
      <c r="H31"/>
      <c r="I31"/>
      <c r="J31"/>
      <c r="K31" s="27"/>
      <c r="L31" s="28"/>
      <c r="M31" s="28"/>
      <c r="N31" s="28"/>
      <c r="O31" s="28"/>
      <c r="P31" s="28"/>
    </row>
    <row r="32" spans="1:16" ht="15.75">
      <c r="A32" s="149">
        <v>19</v>
      </c>
      <c r="B32" s="68">
        <v>2032303509</v>
      </c>
      <c r="C32" s="159" t="s">
        <v>182</v>
      </c>
      <c r="D32" s="182">
        <v>17</v>
      </c>
      <c r="E32"/>
      <c r="F32"/>
      <c r="G32"/>
      <c r="H32"/>
      <c r="I32"/>
      <c r="J32"/>
      <c r="K32" s="27"/>
      <c r="L32" s="28"/>
      <c r="M32" s="28"/>
      <c r="N32" s="28"/>
      <c r="O32" s="28"/>
      <c r="P32" s="28"/>
    </row>
    <row r="33" spans="1:16" ht="15.75">
      <c r="A33" s="149">
        <v>20</v>
      </c>
      <c r="B33" s="68">
        <v>2032303535</v>
      </c>
      <c r="C33" s="159" t="s">
        <v>208</v>
      </c>
      <c r="D33" s="182">
        <v>33</v>
      </c>
      <c r="E33"/>
      <c r="F33"/>
      <c r="G33"/>
      <c r="H33"/>
      <c r="I33"/>
      <c r="J33"/>
      <c r="K33" s="27"/>
      <c r="L33" s="28"/>
      <c r="M33" s="28"/>
      <c r="N33" s="28"/>
      <c r="O33" s="28"/>
      <c r="P33" s="28"/>
    </row>
    <row r="34" spans="1:16" ht="15.75">
      <c r="A34" s="149">
        <v>21</v>
      </c>
      <c r="B34" s="68">
        <v>2032303548</v>
      </c>
      <c r="C34" s="159" t="s">
        <v>221</v>
      </c>
      <c r="D34" s="182">
        <v>35</v>
      </c>
      <c r="E34"/>
      <c r="F34"/>
      <c r="G34"/>
      <c r="H34"/>
      <c r="I34"/>
      <c r="J34"/>
      <c r="K34" s="27"/>
      <c r="L34" s="28"/>
      <c r="M34" s="28"/>
      <c r="N34" s="28"/>
      <c r="O34" s="28"/>
      <c r="P34" s="28"/>
    </row>
    <row r="35" spans="1:16" ht="15.75">
      <c r="A35" s="149">
        <v>22</v>
      </c>
      <c r="B35" s="68">
        <v>2032303503</v>
      </c>
      <c r="C35" s="159" t="s">
        <v>177</v>
      </c>
      <c r="D35" s="182">
        <v>34</v>
      </c>
      <c r="E35"/>
      <c r="F35"/>
      <c r="G35"/>
      <c r="H35"/>
      <c r="I35"/>
      <c r="J35"/>
      <c r="K35" s="27"/>
      <c r="L35" s="28"/>
      <c r="M35" s="28"/>
      <c r="N35" s="28"/>
      <c r="O35" s="28"/>
      <c r="P35" s="28"/>
    </row>
    <row r="36" spans="1:16" ht="15.75">
      <c r="A36" s="149">
        <v>23</v>
      </c>
      <c r="B36" s="68">
        <v>2032303495</v>
      </c>
      <c r="C36" s="159" t="s">
        <v>169</v>
      </c>
      <c r="D36" s="182">
        <v>32</v>
      </c>
      <c r="E36"/>
      <c r="F36"/>
      <c r="G36"/>
      <c r="H36"/>
      <c r="I36"/>
      <c r="J36"/>
      <c r="K36" s="27"/>
      <c r="L36" s="28"/>
      <c r="M36" s="28"/>
      <c r="N36" s="28"/>
      <c r="O36" s="28"/>
      <c r="P36" s="28"/>
    </row>
    <row r="37" spans="1:16" ht="15.75">
      <c r="A37" s="149">
        <v>24</v>
      </c>
      <c r="B37" s="68">
        <v>2032303482</v>
      </c>
      <c r="C37" s="159" t="s">
        <v>156</v>
      </c>
      <c r="D37" s="182">
        <v>32</v>
      </c>
      <c r="E37"/>
      <c r="F37"/>
      <c r="G37"/>
      <c r="H37"/>
      <c r="I37"/>
      <c r="J37"/>
      <c r="K37" s="27"/>
      <c r="L37" s="28"/>
      <c r="M37" s="28"/>
      <c r="N37" s="28"/>
      <c r="O37" s="28"/>
      <c r="P37" s="28"/>
    </row>
    <row r="38" spans="1:16" ht="15.75">
      <c r="A38" s="149">
        <v>25</v>
      </c>
      <c r="B38" s="68">
        <v>2032303508</v>
      </c>
      <c r="C38" s="159" t="s">
        <v>181</v>
      </c>
      <c r="D38" s="182">
        <v>34</v>
      </c>
      <c r="E38"/>
      <c r="F38"/>
      <c r="G38"/>
      <c r="H38"/>
      <c r="I38"/>
      <c r="J38"/>
      <c r="K38" s="27"/>
      <c r="L38" s="28"/>
      <c r="M38" s="28"/>
      <c r="N38" s="28"/>
      <c r="O38" s="28"/>
      <c r="P38" s="28"/>
    </row>
    <row r="39" spans="1:16" ht="15.75">
      <c r="A39" s="149">
        <v>26</v>
      </c>
      <c r="B39" s="68">
        <v>2032303472</v>
      </c>
      <c r="C39" s="159" t="s">
        <v>146</v>
      </c>
      <c r="D39" s="182">
        <v>34</v>
      </c>
      <c r="E39"/>
      <c r="F39"/>
      <c r="G39"/>
      <c r="H39"/>
      <c r="I39"/>
      <c r="J39"/>
      <c r="K39" s="27"/>
      <c r="L39" s="28"/>
      <c r="M39" s="28"/>
      <c r="N39" s="28"/>
      <c r="O39" s="28"/>
      <c r="P39" s="28"/>
    </row>
    <row r="40" spans="1:16" ht="15.75">
      <c r="A40" s="149">
        <v>27</v>
      </c>
      <c r="B40" s="68">
        <v>2032303549</v>
      </c>
      <c r="C40" s="159" t="s">
        <v>222</v>
      </c>
      <c r="D40" s="182">
        <v>34</v>
      </c>
      <c r="E40"/>
      <c r="F40"/>
      <c r="G40"/>
      <c r="H40"/>
      <c r="I40"/>
      <c r="J40"/>
      <c r="K40" s="27"/>
      <c r="L40" s="28"/>
      <c r="M40" s="28"/>
      <c r="N40" s="28"/>
      <c r="O40" s="28"/>
      <c r="P40" s="28"/>
    </row>
    <row r="41" spans="1:16" ht="15.75">
      <c r="A41" s="149">
        <v>28</v>
      </c>
      <c r="B41" s="68">
        <v>2032303479</v>
      </c>
      <c r="C41" s="159" t="s">
        <v>153</v>
      </c>
      <c r="D41" s="182">
        <v>14</v>
      </c>
      <c r="E41"/>
      <c r="F41"/>
      <c r="G41"/>
      <c r="H41"/>
      <c r="I41"/>
      <c r="J41"/>
      <c r="K41" s="27"/>
      <c r="L41" s="28"/>
      <c r="M41" s="28"/>
      <c r="N41" s="28"/>
      <c r="O41" s="28"/>
      <c r="P41" s="28"/>
    </row>
    <row r="42" spans="1:16" ht="15.75">
      <c r="A42" s="149">
        <v>29</v>
      </c>
      <c r="B42" s="68">
        <v>2032303519</v>
      </c>
      <c r="C42" s="159" t="s">
        <v>192</v>
      </c>
      <c r="D42" s="182">
        <v>32</v>
      </c>
      <c r="E42"/>
      <c r="F42"/>
      <c r="G42"/>
      <c r="H42"/>
      <c r="I42"/>
      <c r="J42"/>
      <c r="K42" s="27"/>
      <c r="L42" s="28"/>
      <c r="M42" s="28"/>
      <c r="N42" s="28"/>
      <c r="O42" s="28"/>
      <c r="P42" s="28"/>
    </row>
    <row r="43" spans="1:16" ht="15.75">
      <c r="A43" s="149">
        <v>30</v>
      </c>
      <c r="B43" s="68">
        <v>2032303497</v>
      </c>
      <c r="C43" s="159" t="s">
        <v>171</v>
      </c>
      <c r="D43" s="182">
        <v>35</v>
      </c>
      <c r="E43"/>
      <c r="F43"/>
      <c r="G43"/>
      <c r="H43"/>
      <c r="I43"/>
      <c r="J43"/>
      <c r="K43" s="27"/>
      <c r="L43" s="28"/>
      <c r="M43" s="28"/>
      <c r="N43" s="28"/>
      <c r="O43" s="28"/>
      <c r="P43" s="28"/>
    </row>
    <row r="44" spans="1:16" ht="15.75">
      <c r="A44" s="149">
        <v>31</v>
      </c>
      <c r="B44" s="68">
        <v>2032303539</v>
      </c>
      <c r="C44" s="159" t="s">
        <v>212</v>
      </c>
      <c r="D44" s="182">
        <v>34</v>
      </c>
      <c r="E44"/>
      <c r="F44"/>
      <c r="G44"/>
      <c r="H44"/>
      <c r="I44"/>
      <c r="J44"/>
      <c r="K44" s="27"/>
      <c r="L44" s="28"/>
      <c r="M44" s="28"/>
      <c r="N44" s="28"/>
      <c r="O44" s="28"/>
      <c r="P44" s="28"/>
    </row>
    <row r="45" spans="1:16" ht="15.75">
      <c r="A45" s="149">
        <v>32</v>
      </c>
      <c r="B45" s="68">
        <v>2032303486</v>
      </c>
      <c r="C45" s="159" t="s">
        <v>160</v>
      </c>
      <c r="D45" s="182">
        <v>32</v>
      </c>
      <c r="E45"/>
      <c r="F45"/>
      <c r="G45"/>
      <c r="H45"/>
      <c r="I45"/>
      <c r="J45"/>
      <c r="K45" s="27"/>
      <c r="L45" s="28"/>
      <c r="M45" s="28"/>
      <c r="N45" s="28"/>
      <c r="O45" s="28"/>
      <c r="P45" s="28"/>
    </row>
    <row r="46" spans="1:16" ht="15.75">
      <c r="A46" s="149">
        <v>33</v>
      </c>
      <c r="B46" s="68">
        <v>2032303469</v>
      </c>
      <c r="C46" s="159" t="s">
        <v>143</v>
      </c>
      <c r="D46" s="182">
        <v>35</v>
      </c>
      <c r="E46"/>
      <c r="F46"/>
      <c r="G46"/>
      <c r="H46"/>
      <c r="I46"/>
      <c r="J46"/>
      <c r="K46" s="27"/>
      <c r="L46" s="28"/>
      <c r="M46" s="28"/>
      <c r="N46" s="28"/>
      <c r="O46" s="28"/>
      <c r="P46" s="28"/>
    </row>
    <row r="47" spans="1:16" ht="15.75">
      <c r="A47" s="149">
        <v>34</v>
      </c>
      <c r="B47" s="68">
        <v>2032303462</v>
      </c>
      <c r="C47" s="159" t="s">
        <v>136</v>
      </c>
      <c r="D47" s="182">
        <v>35</v>
      </c>
      <c r="E47"/>
      <c r="F47"/>
      <c r="G47"/>
      <c r="H47"/>
      <c r="I47"/>
      <c r="J47"/>
      <c r="K47" s="27"/>
      <c r="L47" s="28"/>
      <c r="M47" s="28"/>
      <c r="N47" s="28"/>
      <c r="O47" s="28"/>
      <c r="P47" s="28"/>
    </row>
    <row r="48" spans="1:16" ht="15.75">
      <c r="A48" s="149">
        <v>35</v>
      </c>
      <c r="B48" s="68">
        <v>2032303529</v>
      </c>
      <c r="C48" s="159" t="s">
        <v>202</v>
      </c>
      <c r="D48" s="182">
        <v>32</v>
      </c>
      <c r="E48"/>
      <c r="F48"/>
      <c r="G48"/>
      <c r="H48"/>
      <c r="I48"/>
      <c r="J48"/>
      <c r="K48" s="27"/>
      <c r="L48" s="28"/>
      <c r="M48" s="28"/>
      <c r="N48" s="28"/>
      <c r="O48" s="28"/>
      <c r="P48" s="28"/>
    </row>
    <row r="49" spans="1:16" ht="15.75">
      <c r="A49" s="149">
        <v>36</v>
      </c>
      <c r="B49" s="68">
        <v>2032303556</v>
      </c>
      <c r="C49" s="159" t="s">
        <v>229</v>
      </c>
      <c r="D49" s="182">
        <v>12</v>
      </c>
      <c r="E49"/>
      <c r="F49"/>
      <c r="G49"/>
      <c r="H49"/>
      <c r="I49"/>
      <c r="J49"/>
      <c r="K49" s="27"/>
      <c r="L49" s="28"/>
      <c r="M49" s="28"/>
      <c r="N49" s="28"/>
      <c r="O49" s="28"/>
      <c r="P49" s="28"/>
    </row>
    <row r="50" spans="1:16" ht="15.75">
      <c r="A50" s="149">
        <v>37</v>
      </c>
      <c r="B50" s="68">
        <v>2032303480</v>
      </c>
      <c r="C50" s="159" t="s">
        <v>154</v>
      </c>
      <c r="D50" s="182">
        <v>10</v>
      </c>
      <c r="E50"/>
      <c r="F50"/>
      <c r="G50"/>
      <c r="H50"/>
      <c r="I50"/>
      <c r="J50"/>
      <c r="K50" s="27"/>
      <c r="L50" s="28"/>
      <c r="M50" s="28"/>
      <c r="N50" s="28"/>
      <c r="O50" s="28"/>
      <c r="P50" s="28"/>
    </row>
    <row r="51" spans="1:16" ht="15.75">
      <c r="A51" s="149">
        <v>38</v>
      </c>
      <c r="B51" s="68">
        <v>2032303490</v>
      </c>
      <c r="C51" s="159" t="s">
        <v>164</v>
      </c>
      <c r="D51" s="182">
        <v>34</v>
      </c>
      <c r="E51"/>
      <c r="F51"/>
      <c r="G51"/>
      <c r="H51"/>
      <c r="I51"/>
      <c r="J51"/>
      <c r="K51" s="27"/>
      <c r="L51" s="28"/>
      <c r="M51" s="28"/>
      <c r="N51" s="28"/>
      <c r="O51" s="28"/>
      <c r="P51" s="28"/>
    </row>
    <row r="52" spans="1:16" ht="15.75">
      <c r="A52" s="149">
        <v>39</v>
      </c>
      <c r="B52" s="68">
        <v>2032303492</v>
      </c>
      <c r="C52" s="159" t="s">
        <v>166</v>
      </c>
      <c r="D52" s="182">
        <v>35</v>
      </c>
      <c r="E52"/>
      <c r="F52"/>
      <c r="G52"/>
      <c r="H52"/>
      <c r="I52"/>
      <c r="J52"/>
      <c r="K52" s="27"/>
      <c r="L52" s="28"/>
      <c r="M52" s="28"/>
      <c r="N52" s="28"/>
      <c r="O52" s="28"/>
      <c r="P52" s="28"/>
    </row>
    <row r="53" spans="1:16" ht="15.75">
      <c r="A53" s="149">
        <v>40</v>
      </c>
      <c r="B53" s="68">
        <v>2032303540</v>
      </c>
      <c r="C53" s="159" t="s">
        <v>213</v>
      </c>
      <c r="D53" s="182">
        <v>12</v>
      </c>
      <c r="E53"/>
      <c r="F53"/>
      <c r="G53"/>
      <c r="H53"/>
      <c r="I53"/>
      <c r="J53"/>
      <c r="K53" s="27"/>
      <c r="L53" s="28"/>
      <c r="M53" s="28"/>
      <c r="N53" s="28"/>
      <c r="O53" s="28"/>
      <c r="P53" s="28"/>
    </row>
    <row r="54" spans="1:16" ht="15.75">
      <c r="A54" s="149">
        <v>41</v>
      </c>
      <c r="B54" s="68">
        <v>2032303465</v>
      </c>
      <c r="C54" s="159" t="s">
        <v>139</v>
      </c>
      <c r="D54" s="182">
        <v>34</v>
      </c>
      <c r="E54"/>
      <c r="F54"/>
      <c r="G54"/>
      <c r="H54"/>
      <c r="I54"/>
      <c r="J54"/>
      <c r="K54" s="27"/>
      <c r="L54" s="28"/>
      <c r="M54" s="28"/>
      <c r="N54" s="28"/>
      <c r="O54" s="28"/>
      <c r="P54" s="28"/>
    </row>
    <row r="55" spans="1:16" ht="15.75">
      <c r="A55" s="149">
        <v>42</v>
      </c>
      <c r="B55" s="68">
        <v>2032303530</v>
      </c>
      <c r="C55" s="159" t="s">
        <v>203</v>
      </c>
      <c r="D55" s="182">
        <v>35</v>
      </c>
      <c r="E55"/>
      <c r="F55"/>
      <c r="G55"/>
      <c r="H55"/>
      <c r="I55"/>
      <c r="J55"/>
      <c r="K55" s="27"/>
      <c r="L55" s="28"/>
      <c r="M55" s="28"/>
      <c r="N55" s="28"/>
      <c r="O55" s="28"/>
      <c r="P55" s="28"/>
    </row>
    <row r="56" spans="1:16" ht="15.75">
      <c r="A56" s="149">
        <v>43</v>
      </c>
      <c r="B56" s="68">
        <v>2032303542</v>
      </c>
      <c r="C56" s="159" t="s">
        <v>215</v>
      </c>
      <c r="D56" s="182">
        <v>22</v>
      </c>
      <c r="E56"/>
      <c r="F56"/>
      <c r="G56"/>
      <c r="H56"/>
      <c r="I56"/>
      <c r="J56"/>
      <c r="K56" s="27"/>
      <c r="L56" s="28"/>
      <c r="M56" s="28"/>
      <c r="N56" s="28"/>
      <c r="O56" s="28"/>
      <c r="P56" s="28"/>
    </row>
    <row r="57" spans="1:16" ht="15.75">
      <c r="A57" s="149">
        <v>44</v>
      </c>
      <c r="B57" s="68">
        <v>2032303470</v>
      </c>
      <c r="C57" s="159" t="s">
        <v>144</v>
      </c>
      <c r="D57" s="182">
        <v>35</v>
      </c>
      <c r="E57"/>
      <c r="F57"/>
      <c r="G57"/>
      <c r="H57"/>
      <c r="I57"/>
      <c r="J57"/>
      <c r="K57" s="27"/>
      <c r="L57" s="28"/>
      <c r="M57" s="28"/>
      <c r="N57" s="28"/>
      <c r="O57" s="28"/>
      <c r="P57" s="28"/>
    </row>
    <row r="58" spans="1:16" ht="15.75">
      <c r="A58" s="149">
        <v>45</v>
      </c>
      <c r="B58" s="68">
        <v>2032303494</v>
      </c>
      <c r="C58" s="159" t="s">
        <v>168</v>
      </c>
      <c r="D58" s="182">
        <v>35</v>
      </c>
      <c r="E58"/>
      <c r="F58"/>
      <c r="G58"/>
      <c r="H58"/>
      <c r="I58"/>
      <c r="J58"/>
      <c r="K58" s="27"/>
      <c r="L58" s="28"/>
      <c r="M58" s="28"/>
      <c r="N58" s="28"/>
      <c r="O58" s="28"/>
      <c r="P58" s="28"/>
    </row>
    <row r="59" spans="1:16" ht="15.75">
      <c r="A59" s="149">
        <v>46</v>
      </c>
      <c r="B59" s="68">
        <v>2032303459</v>
      </c>
      <c r="C59" s="159" t="s">
        <v>133</v>
      </c>
      <c r="D59" s="182">
        <v>12</v>
      </c>
      <c r="E59"/>
      <c r="F59"/>
      <c r="G59"/>
      <c r="H59"/>
      <c r="I59"/>
      <c r="J59"/>
      <c r="K59" s="27"/>
      <c r="L59" s="28"/>
      <c r="M59" s="28"/>
      <c r="N59" s="28"/>
      <c r="O59" s="28"/>
      <c r="P59" s="28"/>
    </row>
    <row r="60" spans="1:16" ht="15.75">
      <c r="A60" s="149">
        <v>47</v>
      </c>
      <c r="B60" s="68">
        <v>2032303534</v>
      </c>
      <c r="C60" s="159" t="s">
        <v>207</v>
      </c>
      <c r="D60" s="182">
        <v>34</v>
      </c>
      <c r="E60"/>
      <c r="F60"/>
      <c r="G60"/>
      <c r="H60"/>
      <c r="I60"/>
      <c r="J60"/>
      <c r="K60" s="27"/>
      <c r="L60" s="28"/>
      <c r="M60" s="28"/>
      <c r="N60" s="28"/>
      <c r="O60" s="28"/>
      <c r="P60" s="28"/>
    </row>
    <row r="61" spans="1:16" ht="15.75">
      <c r="A61" s="149">
        <v>48</v>
      </c>
      <c r="B61" s="68">
        <v>2032303488</v>
      </c>
      <c r="C61" s="159" t="s">
        <v>162</v>
      </c>
      <c r="D61" s="182">
        <v>14</v>
      </c>
      <c r="E61"/>
      <c r="F61"/>
      <c r="G61"/>
      <c r="H61"/>
      <c r="I61"/>
      <c r="J61"/>
      <c r="K61" s="27"/>
      <c r="L61" s="28"/>
      <c r="M61" s="28"/>
      <c r="N61" s="28"/>
      <c r="O61" s="28"/>
      <c r="P61" s="28"/>
    </row>
    <row r="62" spans="1:16" ht="15.75">
      <c r="A62" s="149">
        <v>49</v>
      </c>
      <c r="B62" s="68">
        <v>2032303523</v>
      </c>
      <c r="C62" s="159" t="s">
        <v>196</v>
      </c>
      <c r="D62" s="182">
        <v>32</v>
      </c>
      <c r="E62"/>
      <c r="F62"/>
      <c r="G62"/>
      <c r="H62"/>
      <c r="I62"/>
      <c r="J62"/>
      <c r="K62" s="27"/>
      <c r="L62" s="28"/>
      <c r="M62" s="28"/>
      <c r="N62" s="28"/>
      <c r="O62" s="28"/>
      <c r="P62" s="28"/>
    </row>
    <row r="63" spans="1:16" ht="15.75">
      <c r="A63" s="149">
        <v>50</v>
      </c>
      <c r="B63" s="68">
        <v>2032303466</v>
      </c>
      <c r="C63" s="159" t="s">
        <v>140</v>
      </c>
      <c r="D63" s="182">
        <v>35</v>
      </c>
      <c r="E63"/>
      <c r="F63"/>
      <c r="G63"/>
      <c r="H63"/>
      <c r="I63"/>
      <c r="J63"/>
      <c r="K63" s="27"/>
      <c r="L63" s="28"/>
      <c r="M63" s="28"/>
      <c r="N63" s="28"/>
      <c r="O63" s="28"/>
      <c r="P63" s="28"/>
    </row>
    <row r="64" spans="1:16" ht="15.75">
      <c r="A64" s="149">
        <v>51</v>
      </c>
      <c r="B64" s="68">
        <v>2032303522</v>
      </c>
      <c r="C64" s="159" t="s">
        <v>195</v>
      </c>
      <c r="D64" s="182">
        <v>35</v>
      </c>
      <c r="E64"/>
      <c r="F64"/>
      <c r="G64"/>
      <c r="H64"/>
      <c r="I64"/>
      <c r="J64"/>
      <c r="K64" s="27"/>
      <c r="L64" s="28"/>
      <c r="M64" s="28"/>
      <c r="N64" s="28"/>
      <c r="O64" s="28"/>
      <c r="P64" s="28"/>
    </row>
    <row r="65" spans="1:16" ht="15.75">
      <c r="A65" s="149">
        <v>52</v>
      </c>
      <c r="B65" s="68">
        <v>2032303518</v>
      </c>
      <c r="C65" s="159" t="s">
        <v>191</v>
      </c>
      <c r="D65" s="182">
        <v>32</v>
      </c>
      <c r="E65"/>
      <c r="F65"/>
      <c r="G65"/>
      <c r="H65"/>
      <c r="I65"/>
      <c r="J65"/>
      <c r="K65" s="27"/>
      <c r="L65" s="28"/>
      <c r="M65" s="28"/>
      <c r="N65" s="28"/>
      <c r="O65" s="28"/>
      <c r="P65" s="28"/>
    </row>
    <row r="66" spans="1:16" ht="15.75">
      <c r="A66" s="149">
        <v>53</v>
      </c>
      <c r="B66" s="68">
        <v>2032303485</v>
      </c>
      <c r="C66" s="159" t="s">
        <v>159</v>
      </c>
      <c r="D66" s="182">
        <v>22</v>
      </c>
      <c r="E66"/>
      <c r="F66"/>
      <c r="G66"/>
      <c r="H66"/>
      <c r="I66"/>
      <c r="J66"/>
      <c r="K66" s="27"/>
      <c r="L66" s="28"/>
      <c r="M66" s="28"/>
      <c r="N66" s="28"/>
      <c r="O66" s="28"/>
      <c r="P66" s="28"/>
    </row>
    <row r="67" spans="1:16" ht="15.75">
      <c r="A67" s="149">
        <v>54</v>
      </c>
      <c r="B67" s="68">
        <v>2032303551</v>
      </c>
      <c r="C67" s="159" t="s">
        <v>224</v>
      </c>
      <c r="D67" s="182">
        <v>34</v>
      </c>
      <c r="E67"/>
      <c r="F67"/>
      <c r="G67"/>
      <c r="H67"/>
      <c r="I67"/>
      <c r="J67"/>
      <c r="K67" s="27"/>
      <c r="L67" s="28"/>
      <c r="M67" s="28"/>
      <c r="N67" s="28"/>
      <c r="O67" s="28"/>
      <c r="P67" s="28"/>
    </row>
    <row r="68" spans="1:16" ht="15.75">
      <c r="A68" s="149">
        <v>55</v>
      </c>
      <c r="B68" s="68">
        <v>2032303453</v>
      </c>
      <c r="C68" s="159" t="s">
        <v>127</v>
      </c>
      <c r="D68" s="182">
        <v>34</v>
      </c>
      <c r="E68"/>
      <c r="F68"/>
      <c r="G68"/>
      <c r="H68"/>
      <c r="I68"/>
      <c r="J68"/>
      <c r="K68" s="27"/>
      <c r="L68" s="28"/>
      <c r="M68" s="28"/>
      <c r="N68" s="28"/>
      <c r="O68" s="28"/>
      <c r="P68" s="28"/>
    </row>
    <row r="69" spans="1:16" ht="15.75">
      <c r="A69" s="149">
        <v>56</v>
      </c>
      <c r="B69" s="68">
        <v>2032303541</v>
      </c>
      <c r="C69" s="159" t="s">
        <v>214</v>
      </c>
      <c r="D69" s="182">
        <v>11</v>
      </c>
      <c r="E69"/>
      <c r="F69"/>
      <c r="G69"/>
      <c r="H69"/>
      <c r="I69"/>
      <c r="J69"/>
      <c r="K69" s="27"/>
      <c r="L69" s="28"/>
      <c r="M69" s="28"/>
      <c r="N69" s="28"/>
      <c r="O69" s="28"/>
      <c r="P69" s="28"/>
    </row>
    <row r="70" spans="1:16" ht="15.75">
      <c r="A70" s="149">
        <v>57</v>
      </c>
      <c r="B70" s="68">
        <v>2032303473</v>
      </c>
      <c r="C70" s="159" t="s">
        <v>147</v>
      </c>
      <c r="D70" s="182">
        <v>35</v>
      </c>
      <c r="E70"/>
      <c r="F70"/>
      <c r="G70"/>
      <c r="H70"/>
      <c r="I70"/>
      <c r="J70"/>
      <c r="K70" s="27"/>
      <c r="L70" s="28"/>
      <c r="M70" s="28"/>
      <c r="N70" s="28"/>
      <c r="O70" s="28"/>
      <c r="P70" s="28"/>
    </row>
    <row r="71" spans="1:16" ht="15.6" customHeight="1">
      <c r="A71" s="149">
        <v>58</v>
      </c>
      <c r="B71" s="68">
        <v>2032303550</v>
      </c>
      <c r="C71" s="159" t="s">
        <v>223</v>
      </c>
      <c r="D71" s="182">
        <v>35</v>
      </c>
      <c r="E71"/>
      <c r="F71"/>
      <c r="G71"/>
      <c r="H71"/>
      <c r="I71"/>
      <c r="J71"/>
      <c r="K71" s="27"/>
      <c r="L71" s="28"/>
      <c r="M71" s="28"/>
      <c r="N71" s="28"/>
      <c r="O71" s="28"/>
      <c r="P71" s="28"/>
    </row>
    <row r="72" spans="1:16" ht="15.6" customHeight="1">
      <c r="A72" s="149">
        <v>59</v>
      </c>
      <c r="B72" s="68">
        <v>2032303496</v>
      </c>
      <c r="C72" s="159" t="s">
        <v>170</v>
      </c>
      <c r="D72" s="182">
        <v>35</v>
      </c>
      <c r="E72"/>
      <c r="F72"/>
      <c r="G72"/>
      <c r="H72"/>
      <c r="I72"/>
      <c r="J72"/>
      <c r="K72" s="27"/>
      <c r="L72" s="28"/>
      <c r="M72" s="28"/>
      <c r="N72" s="28"/>
      <c r="O72" s="28"/>
      <c r="P72" s="28"/>
    </row>
    <row r="73" spans="1:16" ht="15.6" customHeight="1">
      <c r="A73" s="149">
        <v>60</v>
      </c>
      <c r="B73" s="68">
        <v>2032303457</v>
      </c>
      <c r="C73" s="159" t="s">
        <v>131</v>
      </c>
      <c r="D73" s="182">
        <v>34</v>
      </c>
      <c r="E73"/>
      <c r="F73"/>
      <c r="G73"/>
      <c r="H73"/>
      <c r="I73"/>
      <c r="J73"/>
      <c r="K73" s="27"/>
      <c r="L73" s="28"/>
      <c r="M73" s="28"/>
      <c r="N73" s="28"/>
      <c r="O73" s="28"/>
      <c r="P73" s="28"/>
    </row>
    <row r="74" spans="1:16" ht="15.6" customHeight="1">
      <c r="A74" s="149">
        <v>61</v>
      </c>
      <c r="B74" s="68">
        <v>2032303499</v>
      </c>
      <c r="C74" s="159" t="s">
        <v>173</v>
      </c>
      <c r="D74" s="182">
        <v>34</v>
      </c>
      <c r="E74"/>
      <c r="F74"/>
      <c r="G74"/>
      <c r="H74"/>
      <c r="I74"/>
      <c r="J74"/>
      <c r="K74" s="27"/>
      <c r="L74" s="28"/>
      <c r="M74" s="28"/>
      <c r="N74" s="28"/>
      <c r="O74" s="28"/>
      <c r="P74" s="28"/>
    </row>
    <row r="75" spans="1:16" ht="15.6" customHeight="1">
      <c r="A75" s="149">
        <v>62</v>
      </c>
      <c r="B75" s="68">
        <v>2032303474</v>
      </c>
      <c r="C75" s="159" t="s">
        <v>148</v>
      </c>
      <c r="D75" s="182">
        <v>17</v>
      </c>
      <c r="E75"/>
      <c r="F75"/>
      <c r="G75"/>
      <c r="H75"/>
      <c r="I75"/>
      <c r="J75"/>
      <c r="K75" s="27"/>
      <c r="L75" s="28"/>
      <c r="M75" s="28"/>
      <c r="N75" s="28"/>
      <c r="O75" s="28"/>
      <c r="P75" s="28"/>
    </row>
    <row r="76" spans="1:16" ht="15.6" customHeight="1">
      <c r="A76" s="149">
        <v>63</v>
      </c>
      <c r="B76" s="68">
        <v>2032303547</v>
      </c>
      <c r="C76" s="159" t="s">
        <v>220</v>
      </c>
      <c r="D76" s="182">
        <v>12</v>
      </c>
      <c r="E76"/>
      <c r="F76"/>
      <c r="G76"/>
      <c r="H76"/>
      <c r="I76"/>
      <c r="J76"/>
      <c r="K76" s="27"/>
      <c r="L76" s="28"/>
      <c r="M76" s="28"/>
      <c r="N76" s="28"/>
      <c r="O76" s="28"/>
      <c r="P76" s="28"/>
    </row>
    <row r="77" spans="1:16" ht="15.6" customHeight="1">
      <c r="A77" s="149">
        <v>64</v>
      </c>
      <c r="B77" s="68">
        <v>2032303512</v>
      </c>
      <c r="C77" s="159" t="s">
        <v>185</v>
      </c>
      <c r="D77" s="182">
        <v>29</v>
      </c>
      <c r="E77"/>
      <c r="F77"/>
      <c r="G77"/>
      <c r="H77"/>
      <c r="I77"/>
      <c r="J77"/>
      <c r="K77" s="27"/>
      <c r="L77" s="28"/>
      <c r="M77" s="28"/>
      <c r="N77" s="28"/>
      <c r="O77" s="28"/>
      <c r="P77" s="28"/>
    </row>
    <row r="78" spans="1:16" ht="15.6" customHeight="1">
      <c r="A78" s="149">
        <v>65</v>
      </c>
      <c r="B78" s="68">
        <v>2032303458</v>
      </c>
      <c r="C78" s="159" t="s">
        <v>132</v>
      </c>
      <c r="D78" s="182">
        <v>35</v>
      </c>
      <c r="E78"/>
      <c r="F78"/>
      <c r="G78"/>
      <c r="H78"/>
      <c r="I78"/>
      <c r="J78"/>
      <c r="K78" s="27"/>
      <c r="L78" s="28"/>
      <c r="M78" s="28"/>
      <c r="N78" s="28"/>
      <c r="O78" s="28"/>
      <c r="P78" s="28"/>
    </row>
    <row r="79" spans="1:16" ht="15.6" customHeight="1">
      <c r="A79" s="149">
        <v>66</v>
      </c>
      <c r="B79" s="68">
        <v>2032303456</v>
      </c>
      <c r="C79" s="159" t="s">
        <v>130</v>
      </c>
      <c r="D79" s="182">
        <v>35</v>
      </c>
      <c r="E79"/>
      <c r="F79"/>
      <c r="G79"/>
      <c r="H79"/>
      <c r="I79"/>
      <c r="J79"/>
      <c r="K79" s="27"/>
      <c r="L79" s="28"/>
      <c r="M79" s="28"/>
      <c r="N79" s="28"/>
      <c r="O79" s="28"/>
      <c r="P79" s="28"/>
    </row>
    <row r="80" spans="1:16" ht="15.6" customHeight="1">
      <c r="A80" s="149">
        <v>67</v>
      </c>
      <c r="B80" s="68">
        <v>2032303451</v>
      </c>
      <c r="C80" s="159" t="s">
        <v>125</v>
      </c>
      <c r="D80" s="182">
        <v>14</v>
      </c>
      <c r="E80"/>
      <c r="F80"/>
      <c r="G80"/>
      <c r="H80"/>
      <c r="I80"/>
      <c r="J80"/>
      <c r="K80" s="27"/>
      <c r="L80" s="28"/>
      <c r="M80" s="28"/>
      <c r="N80" s="28"/>
      <c r="O80" s="28"/>
      <c r="P80" s="28"/>
    </row>
    <row r="81" spans="1:16" ht="15.6" customHeight="1">
      <c r="A81" s="149">
        <v>68</v>
      </c>
      <c r="B81" s="68">
        <v>2032303511</v>
      </c>
      <c r="C81" s="159" t="s">
        <v>184</v>
      </c>
      <c r="D81" s="182">
        <v>34</v>
      </c>
      <c r="E81"/>
      <c r="F81"/>
      <c r="G81"/>
      <c r="H81"/>
      <c r="I81"/>
      <c r="J81"/>
      <c r="K81" s="27"/>
      <c r="L81" s="28"/>
      <c r="M81" s="28"/>
      <c r="N81" s="28"/>
      <c r="O81" s="28"/>
      <c r="P81" s="28"/>
    </row>
    <row r="82" spans="1:16" ht="15.6" customHeight="1">
      <c r="A82" s="149">
        <v>69</v>
      </c>
      <c r="B82" s="68">
        <v>2032303477</v>
      </c>
      <c r="C82" s="159" t="s">
        <v>151</v>
      </c>
      <c r="D82" s="182">
        <v>22</v>
      </c>
      <c r="E82"/>
      <c r="F82"/>
      <c r="G82"/>
      <c r="H82"/>
      <c r="I82"/>
      <c r="J82"/>
      <c r="K82" s="27"/>
      <c r="L82" s="28"/>
      <c r="M82" s="28"/>
      <c r="N82" s="28"/>
      <c r="O82" s="28"/>
      <c r="P82" s="28"/>
    </row>
    <row r="83" spans="1:16" ht="15.6" customHeight="1">
      <c r="A83" s="149">
        <v>70</v>
      </c>
      <c r="B83" s="68">
        <v>2032303536</v>
      </c>
      <c r="C83" s="159" t="s">
        <v>209</v>
      </c>
      <c r="D83" s="182">
        <v>34</v>
      </c>
      <c r="E83"/>
      <c r="F83"/>
      <c r="G83"/>
      <c r="H83"/>
      <c r="I83"/>
      <c r="J83"/>
      <c r="K83" s="27"/>
      <c r="L83" s="28"/>
      <c r="M83" s="28"/>
      <c r="N83" s="28"/>
      <c r="O83" s="28"/>
      <c r="P83" s="28"/>
    </row>
    <row r="84" spans="1:16" ht="15.6" customHeight="1">
      <c r="A84" s="149">
        <v>71</v>
      </c>
      <c r="B84" s="68">
        <v>2032303527</v>
      </c>
      <c r="C84" s="159" t="s">
        <v>200</v>
      </c>
      <c r="D84" s="182">
        <v>34</v>
      </c>
      <c r="E84"/>
      <c r="F84"/>
      <c r="G84"/>
      <c r="H84"/>
      <c r="I84"/>
      <c r="J84"/>
      <c r="K84" s="27"/>
      <c r="L84" s="28"/>
      <c r="M84" s="28"/>
      <c r="N84" s="28"/>
      <c r="O84" s="28"/>
      <c r="P84" s="28"/>
    </row>
    <row r="85" spans="1:16" ht="15.6" customHeight="1">
      <c r="A85" s="149">
        <v>72</v>
      </c>
      <c r="B85" s="68">
        <v>2032303525</v>
      </c>
      <c r="C85" s="159" t="s">
        <v>198</v>
      </c>
      <c r="D85" s="182">
        <v>35</v>
      </c>
      <c r="E85"/>
      <c r="F85"/>
      <c r="G85"/>
      <c r="H85"/>
      <c r="I85"/>
      <c r="J85"/>
      <c r="K85" s="27"/>
      <c r="L85" s="28"/>
      <c r="M85" s="28"/>
      <c r="N85" s="28"/>
      <c r="O85" s="28"/>
      <c r="P85" s="28"/>
    </row>
    <row r="86" spans="1:16" ht="15.6" customHeight="1">
      <c r="A86" s="149">
        <v>73</v>
      </c>
      <c r="B86" s="68">
        <v>2032303468</v>
      </c>
      <c r="C86" s="159" t="s">
        <v>142</v>
      </c>
      <c r="D86" s="182">
        <v>34</v>
      </c>
      <c r="E86"/>
      <c r="F86"/>
      <c r="G86"/>
      <c r="H86"/>
      <c r="I86"/>
      <c r="J86"/>
      <c r="K86" s="27"/>
      <c r="L86" s="28"/>
      <c r="M86" s="28"/>
      <c r="N86" s="28"/>
      <c r="O86" s="28"/>
      <c r="P86" s="28"/>
    </row>
    <row r="87" spans="1:16" ht="15.6" customHeight="1">
      <c r="A87" s="149">
        <v>74</v>
      </c>
      <c r="B87" s="68">
        <v>2032303504</v>
      </c>
      <c r="C87" s="159" t="s">
        <v>178</v>
      </c>
      <c r="D87" s="182">
        <v>34</v>
      </c>
      <c r="E87"/>
      <c r="F87"/>
      <c r="G87"/>
      <c r="H87"/>
      <c r="I87"/>
      <c r="J87"/>
      <c r="K87" s="27"/>
      <c r="L87" s="28"/>
      <c r="M87" s="28"/>
      <c r="N87" s="28"/>
      <c r="O87" s="28"/>
      <c r="P87" s="28"/>
    </row>
    <row r="88" spans="1:16" ht="15.6" customHeight="1">
      <c r="A88" s="149">
        <v>75</v>
      </c>
      <c r="B88" s="68">
        <v>2032303475</v>
      </c>
      <c r="C88" s="159" t="s">
        <v>149</v>
      </c>
      <c r="D88" s="182">
        <v>34</v>
      </c>
      <c r="E88"/>
      <c r="F88"/>
      <c r="G88"/>
      <c r="H88"/>
      <c r="I88"/>
      <c r="J88"/>
      <c r="K88" s="27"/>
      <c r="L88" s="28"/>
      <c r="M88" s="28"/>
      <c r="N88" s="28"/>
      <c r="O88" s="28"/>
      <c r="P88" s="28"/>
    </row>
    <row r="89" spans="1:16" ht="15.6" customHeight="1">
      <c r="A89" s="149">
        <v>76</v>
      </c>
      <c r="B89" s="68">
        <v>2032303517</v>
      </c>
      <c r="C89" s="159" t="s">
        <v>190</v>
      </c>
      <c r="D89" s="182">
        <v>35</v>
      </c>
      <c r="E89"/>
      <c r="F89"/>
      <c r="G89"/>
      <c r="H89"/>
      <c r="I89"/>
      <c r="J89"/>
      <c r="K89" s="27"/>
      <c r="L89" s="28"/>
      <c r="M89" s="28"/>
      <c r="N89" s="28"/>
      <c r="O89" s="28"/>
      <c r="P89" s="28"/>
    </row>
    <row r="90" spans="1:16" ht="15.6" customHeight="1">
      <c r="A90" s="149">
        <v>77</v>
      </c>
      <c r="B90" s="68">
        <v>2032303552</v>
      </c>
      <c r="C90" s="159" t="s">
        <v>225</v>
      </c>
      <c r="D90" s="182">
        <v>22</v>
      </c>
      <c r="E90"/>
      <c r="F90"/>
      <c r="G90"/>
      <c r="H90"/>
      <c r="I90"/>
      <c r="J90"/>
      <c r="K90" s="27"/>
      <c r="L90" s="28"/>
      <c r="M90" s="28"/>
      <c r="N90" s="28"/>
      <c r="O90" s="28"/>
      <c r="P90" s="28"/>
    </row>
    <row r="91" spans="1:16" ht="15.6" customHeight="1">
      <c r="A91" s="149">
        <v>78</v>
      </c>
      <c r="B91" s="68">
        <v>2032303498</v>
      </c>
      <c r="C91" s="159" t="s">
        <v>172</v>
      </c>
      <c r="D91" s="182">
        <v>12</v>
      </c>
      <c r="E91"/>
      <c r="F91"/>
      <c r="G91"/>
      <c r="H91"/>
      <c r="I91"/>
      <c r="J91"/>
      <c r="K91" s="27"/>
      <c r="L91" s="28"/>
      <c r="M91" s="28"/>
      <c r="N91" s="28"/>
      <c r="O91" s="28"/>
      <c r="P91" s="28"/>
    </row>
    <row r="92" spans="1:16" ht="15.6" customHeight="1">
      <c r="A92" s="149">
        <v>79</v>
      </c>
      <c r="B92" s="68">
        <v>2032303510</v>
      </c>
      <c r="C92" s="159" t="s">
        <v>183</v>
      </c>
      <c r="D92" s="182">
        <v>8</v>
      </c>
      <c r="E92"/>
      <c r="F92"/>
      <c r="G92"/>
      <c r="H92"/>
      <c r="I92"/>
      <c r="J92"/>
      <c r="K92" s="27"/>
      <c r="L92" s="28"/>
      <c r="M92" s="28"/>
      <c r="N92" s="28"/>
      <c r="O92" s="28"/>
      <c r="P92" s="28"/>
    </row>
    <row r="93" spans="1:16" ht="15.6" customHeight="1">
      <c r="A93" s="149">
        <v>80</v>
      </c>
      <c r="B93" s="68">
        <v>2032303532</v>
      </c>
      <c r="C93" s="159" t="s">
        <v>205</v>
      </c>
      <c r="D93" s="182">
        <v>13</v>
      </c>
      <c r="E93"/>
      <c r="F93"/>
      <c r="G93"/>
      <c r="H93"/>
      <c r="I93"/>
      <c r="J93"/>
      <c r="K93" s="27"/>
      <c r="L93" s="28"/>
      <c r="M93" s="28"/>
      <c r="N93" s="28"/>
      <c r="O93" s="28"/>
      <c r="P93" s="28"/>
    </row>
    <row r="94" spans="1:16" ht="15.6" customHeight="1">
      <c r="A94" s="149">
        <v>81</v>
      </c>
      <c r="B94" s="68">
        <v>2032303489</v>
      </c>
      <c r="C94" s="159" t="s">
        <v>163</v>
      </c>
      <c r="D94" s="182">
        <v>12</v>
      </c>
      <c r="E94"/>
      <c r="F94"/>
      <c r="G94"/>
      <c r="H94"/>
      <c r="I94"/>
      <c r="J94"/>
      <c r="K94" s="27"/>
      <c r="L94" s="28"/>
      <c r="M94" s="28"/>
      <c r="N94" s="28"/>
      <c r="O94" s="28"/>
      <c r="P94" s="28"/>
    </row>
    <row r="95" spans="1:16" ht="15.6" customHeight="1">
      <c r="A95" s="149">
        <v>82</v>
      </c>
      <c r="B95" s="68">
        <v>2032303520</v>
      </c>
      <c r="C95" s="159" t="s">
        <v>193</v>
      </c>
      <c r="D95" s="182">
        <v>16</v>
      </c>
      <c r="E95"/>
      <c r="F95"/>
      <c r="G95"/>
      <c r="H95"/>
      <c r="I95"/>
      <c r="J95"/>
      <c r="K95" s="27"/>
      <c r="L95" s="28"/>
      <c r="M95" s="28"/>
      <c r="N95" s="28"/>
      <c r="O95" s="28"/>
      <c r="P95" s="28"/>
    </row>
    <row r="96" spans="1:16" ht="15.6" customHeight="1">
      <c r="A96" s="149">
        <v>83</v>
      </c>
      <c r="B96" s="68">
        <v>2032303452</v>
      </c>
      <c r="C96" s="159" t="s">
        <v>126</v>
      </c>
      <c r="D96" s="182">
        <v>13</v>
      </c>
      <c r="E96"/>
      <c r="F96"/>
      <c r="G96"/>
      <c r="H96"/>
      <c r="I96"/>
      <c r="J96"/>
      <c r="K96" s="27"/>
      <c r="L96" s="28"/>
      <c r="M96" s="28"/>
      <c r="N96" s="28"/>
      <c r="O96" s="28"/>
      <c r="P96" s="28"/>
    </row>
    <row r="97" spans="1:16" ht="15.6" customHeight="1">
      <c r="A97" s="149">
        <v>84</v>
      </c>
      <c r="B97" s="68">
        <v>2032303493</v>
      </c>
      <c r="C97" s="159" t="s">
        <v>167</v>
      </c>
      <c r="D97" s="182">
        <v>10</v>
      </c>
      <c r="E97"/>
      <c r="F97"/>
      <c r="G97"/>
      <c r="H97"/>
      <c r="I97"/>
      <c r="J97"/>
      <c r="K97" s="27"/>
      <c r="L97" s="28"/>
      <c r="M97" s="28"/>
      <c r="N97" s="28"/>
      <c r="O97" s="28"/>
      <c r="P97" s="28"/>
    </row>
    <row r="98" spans="1:16" ht="15.6" customHeight="1">
      <c r="A98" s="149">
        <v>85</v>
      </c>
      <c r="B98" s="68">
        <v>2032303554</v>
      </c>
      <c r="C98" s="159" t="s">
        <v>227</v>
      </c>
      <c r="D98" s="182">
        <v>15</v>
      </c>
      <c r="E98"/>
      <c r="F98"/>
      <c r="G98"/>
      <c r="H98"/>
      <c r="I98"/>
      <c r="J98"/>
      <c r="K98" s="27"/>
      <c r="L98" s="28"/>
      <c r="M98" s="28"/>
      <c r="N98" s="28"/>
      <c r="O98" s="28"/>
      <c r="P98" s="28"/>
    </row>
    <row r="99" spans="1:16" ht="15.6" customHeight="1">
      <c r="A99" s="149">
        <v>86</v>
      </c>
      <c r="B99" s="68">
        <v>2032303507</v>
      </c>
      <c r="C99" s="159" t="s">
        <v>180</v>
      </c>
      <c r="D99" s="182">
        <v>12</v>
      </c>
      <c r="E99"/>
      <c r="F99"/>
      <c r="G99"/>
      <c r="H99"/>
      <c r="I99"/>
      <c r="J99"/>
      <c r="K99" s="27"/>
      <c r="L99" s="28"/>
      <c r="M99" s="28"/>
      <c r="N99" s="28"/>
      <c r="O99" s="28"/>
      <c r="P99" s="28"/>
    </row>
    <row r="100" spans="1:16" ht="15.6" customHeight="1">
      <c r="A100" s="149">
        <v>87</v>
      </c>
      <c r="B100" s="68">
        <v>2032303467</v>
      </c>
      <c r="C100" s="159" t="s">
        <v>141</v>
      </c>
      <c r="D100" s="182">
        <v>5</v>
      </c>
      <c r="E100"/>
      <c r="F100"/>
      <c r="G100"/>
      <c r="H100"/>
      <c r="I100"/>
      <c r="J100"/>
      <c r="K100" s="27"/>
      <c r="L100" s="28"/>
      <c r="M100" s="28"/>
      <c r="N100" s="28"/>
      <c r="O100" s="28"/>
      <c r="P100" s="28"/>
    </row>
    <row r="101" spans="1:16" ht="15.6" customHeight="1">
      <c r="A101" s="149">
        <v>88</v>
      </c>
      <c r="B101" s="68">
        <v>2032303544</v>
      </c>
      <c r="C101" s="159" t="s">
        <v>217</v>
      </c>
      <c r="D101" s="182">
        <v>12</v>
      </c>
      <c r="E101"/>
      <c r="F101"/>
      <c r="G101"/>
      <c r="H101"/>
      <c r="I101"/>
      <c r="J101"/>
      <c r="K101" s="27"/>
      <c r="L101" s="28"/>
      <c r="M101" s="28"/>
      <c r="N101" s="28"/>
      <c r="O101" s="28"/>
      <c r="P101" s="28"/>
    </row>
    <row r="102" spans="1:16" ht="15.6" customHeight="1">
      <c r="A102" s="149">
        <v>89</v>
      </c>
      <c r="B102" s="68">
        <v>2032303514</v>
      </c>
      <c r="C102" s="159" t="s">
        <v>187</v>
      </c>
      <c r="D102" s="182">
        <v>8</v>
      </c>
      <c r="E102"/>
      <c r="F102"/>
      <c r="G102"/>
      <c r="H102"/>
      <c r="I102"/>
      <c r="J102"/>
      <c r="K102" s="27"/>
      <c r="L102" s="28"/>
      <c r="M102" s="28"/>
      <c r="N102" s="28"/>
      <c r="O102" s="28"/>
      <c r="P102" s="28"/>
    </row>
    <row r="103" spans="1:16" ht="15.6" customHeight="1">
      <c r="A103" s="149">
        <v>90</v>
      </c>
      <c r="B103" s="68">
        <v>2032303501</v>
      </c>
      <c r="C103" s="159" t="s">
        <v>175</v>
      </c>
      <c r="D103" s="182">
        <v>12</v>
      </c>
      <c r="E103"/>
      <c r="F103"/>
      <c r="G103"/>
      <c r="H103"/>
      <c r="I103"/>
      <c r="J103"/>
      <c r="K103" s="27"/>
      <c r="L103" s="28"/>
      <c r="M103" s="28"/>
      <c r="N103" s="28"/>
      <c r="O103" s="28"/>
      <c r="P103" s="28"/>
    </row>
    <row r="104" spans="1:16" ht="15.6" customHeight="1">
      <c r="A104" s="149">
        <v>91</v>
      </c>
      <c r="B104" s="68">
        <v>2032303461</v>
      </c>
      <c r="C104" s="159" t="s">
        <v>135</v>
      </c>
      <c r="D104" s="182">
        <v>10</v>
      </c>
      <c r="E104"/>
      <c r="F104"/>
      <c r="G104"/>
      <c r="H104"/>
      <c r="I104"/>
      <c r="J104"/>
      <c r="K104" s="27"/>
      <c r="L104" s="28"/>
      <c r="M104" s="28"/>
      <c r="N104" s="28"/>
      <c r="O104" s="28"/>
      <c r="P104" s="28"/>
    </row>
    <row r="105" spans="1:16" ht="15.6" customHeight="1">
      <c r="A105" s="149">
        <v>92</v>
      </c>
      <c r="B105" s="68">
        <v>2032303305</v>
      </c>
      <c r="C105" s="159" t="s">
        <v>124</v>
      </c>
      <c r="D105" s="182">
        <v>12</v>
      </c>
      <c r="E105"/>
      <c r="F105"/>
      <c r="G105"/>
      <c r="H105"/>
      <c r="I105"/>
      <c r="J105"/>
      <c r="K105" s="27"/>
      <c r="L105" s="28"/>
      <c r="M105" s="28"/>
      <c r="N105" s="28"/>
      <c r="O105" s="28"/>
      <c r="P105" s="28"/>
    </row>
    <row r="106" spans="1:16" ht="15.6" customHeight="1">
      <c r="A106" s="149">
        <v>93</v>
      </c>
      <c r="B106" s="68">
        <v>2032303531</v>
      </c>
      <c r="C106" s="159" t="s">
        <v>204</v>
      </c>
      <c r="D106" s="182">
        <v>14</v>
      </c>
      <c r="E106"/>
      <c r="F106"/>
      <c r="G106"/>
      <c r="H106"/>
      <c r="I106"/>
      <c r="J106"/>
      <c r="K106" s="27"/>
      <c r="L106" s="28"/>
      <c r="M106" s="28"/>
      <c r="N106" s="28"/>
      <c r="O106" s="28"/>
      <c r="P106" s="28"/>
    </row>
    <row r="107" spans="1:16" ht="15.6" customHeight="1">
      <c r="A107" s="149">
        <v>94</v>
      </c>
      <c r="B107" s="68">
        <v>2032303460</v>
      </c>
      <c r="C107" s="159" t="s">
        <v>134</v>
      </c>
      <c r="D107" s="182">
        <v>14</v>
      </c>
      <c r="E107"/>
      <c r="F107"/>
      <c r="G107"/>
      <c r="H107"/>
      <c r="I107"/>
      <c r="J107"/>
      <c r="K107" s="27"/>
      <c r="L107" s="28"/>
      <c r="M107" s="28"/>
      <c r="N107" s="28"/>
      <c r="O107" s="28"/>
      <c r="P107" s="28"/>
    </row>
    <row r="108" spans="1:16" ht="15.6" customHeight="1">
      <c r="A108" s="149">
        <v>95</v>
      </c>
      <c r="B108" s="68">
        <v>2032303533</v>
      </c>
      <c r="C108" s="159" t="s">
        <v>206</v>
      </c>
      <c r="D108" s="182">
        <v>8</v>
      </c>
      <c r="E108"/>
      <c r="F108"/>
      <c r="G108"/>
      <c r="H108"/>
      <c r="I108"/>
      <c r="J108"/>
      <c r="K108" s="27"/>
      <c r="L108" s="28"/>
      <c r="M108" s="28"/>
      <c r="N108" s="28"/>
      <c r="O108" s="28"/>
      <c r="P108" s="28"/>
    </row>
    <row r="109" spans="1:16" ht="15.6" customHeight="1">
      <c r="A109" s="149">
        <v>96</v>
      </c>
      <c r="B109" s="68">
        <v>2032303471</v>
      </c>
      <c r="C109" s="159" t="s">
        <v>145</v>
      </c>
      <c r="D109" s="182">
        <v>32</v>
      </c>
      <c r="E109"/>
      <c r="F109"/>
      <c r="G109"/>
      <c r="H109"/>
      <c r="I109"/>
      <c r="J109"/>
      <c r="K109" s="27"/>
      <c r="L109" s="28"/>
      <c r="M109" s="28"/>
      <c r="N109" s="28"/>
      <c r="O109" s="28"/>
      <c r="P109" s="28"/>
    </row>
    <row r="110" spans="1:16" ht="15.6" customHeight="1">
      <c r="A110" s="149">
        <v>97</v>
      </c>
      <c r="B110" s="68">
        <v>2032303546</v>
      </c>
      <c r="C110" s="159" t="s">
        <v>219</v>
      </c>
      <c r="D110" s="182">
        <v>22</v>
      </c>
      <c r="E110"/>
      <c r="F110"/>
      <c r="G110"/>
      <c r="H110"/>
      <c r="I110"/>
      <c r="J110"/>
      <c r="K110" s="27"/>
      <c r="L110" s="28"/>
      <c r="M110" s="28"/>
      <c r="N110" s="28"/>
      <c r="O110" s="28"/>
      <c r="P110" s="28"/>
    </row>
    <row r="111" spans="1:16" ht="15.6" customHeight="1">
      <c r="A111" s="149">
        <v>98</v>
      </c>
      <c r="B111" s="68">
        <v>2032303454</v>
      </c>
      <c r="C111" s="159" t="s">
        <v>128</v>
      </c>
      <c r="D111" s="182">
        <v>7</v>
      </c>
      <c r="E111"/>
      <c r="F111"/>
      <c r="G111"/>
      <c r="H111"/>
      <c r="I111"/>
      <c r="J111"/>
      <c r="K111" s="27"/>
      <c r="L111" s="28"/>
      <c r="M111" s="28"/>
      <c r="N111" s="28"/>
      <c r="O111" s="28"/>
      <c r="P111" s="28"/>
    </row>
    <row r="112" spans="1:16" ht="15.6" customHeight="1">
      <c r="A112" s="149">
        <v>99</v>
      </c>
      <c r="B112" s="68">
        <v>2032303521</v>
      </c>
      <c r="C112" s="159" t="s">
        <v>194</v>
      </c>
      <c r="D112" s="182">
        <v>8</v>
      </c>
      <c r="E112"/>
      <c r="F112"/>
      <c r="G112"/>
      <c r="H112"/>
      <c r="I112"/>
      <c r="J112"/>
      <c r="K112" s="27"/>
      <c r="L112" s="28"/>
      <c r="M112" s="28"/>
      <c r="N112" s="28"/>
      <c r="O112" s="28"/>
      <c r="P112" s="28"/>
    </row>
    <row r="113" spans="1:16" ht="15.6" customHeight="1">
      <c r="A113" s="149">
        <v>100</v>
      </c>
      <c r="B113" s="68">
        <v>2032303545</v>
      </c>
      <c r="C113" s="159" t="s">
        <v>218</v>
      </c>
      <c r="D113" s="182">
        <v>7</v>
      </c>
      <c r="E113"/>
      <c r="F113"/>
      <c r="G113"/>
      <c r="H113"/>
      <c r="I113"/>
      <c r="J113"/>
      <c r="K113" s="27"/>
      <c r="L113" s="28"/>
      <c r="M113" s="28"/>
      <c r="N113" s="28"/>
      <c r="O113" s="28"/>
      <c r="P113" s="28"/>
    </row>
    <row r="114" spans="1:16" ht="15.6" customHeight="1">
      <c r="A114" s="149">
        <v>101</v>
      </c>
      <c r="B114" s="68">
        <v>2032303543</v>
      </c>
      <c r="C114" s="159" t="s">
        <v>216</v>
      </c>
      <c r="D114" s="182">
        <v>35</v>
      </c>
      <c r="E114"/>
      <c r="F114"/>
      <c r="G114"/>
      <c r="H114"/>
      <c r="I114"/>
      <c r="J114"/>
      <c r="K114" s="27"/>
      <c r="L114" s="28"/>
      <c r="M114" s="28"/>
      <c r="N114" s="28"/>
      <c r="O114" s="28"/>
      <c r="P114" s="28"/>
    </row>
    <row r="115" spans="1:16" ht="15.6" customHeight="1">
      <c r="A115" s="149">
        <v>102</v>
      </c>
      <c r="B115" s="68">
        <v>2032303526</v>
      </c>
      <c r="C115" s="159" t="s">
        <v>199</v>
      </c>
      <c r="D115" s="182">
        <v>0</v>
      </c>
      <c r="E115"/>
      <c r="F115"/>
      <c r="G115"/>
      <c r="H115"/>
      <c r="I115"/>
      <c r="J115"/>
      <c r="K115" s="27"/>
      <c r="L115" s="28"/>
      <c r="M115" s="28"/>
      <c r="N115" s="28"/>
      <c r="O115" s="28"/>
      <c r="P115" s="28"/>
    </row>
    <row r="116" spans="1:16" ht="15.6" customHeight="1">
      <c r="A116" s="149">
        <v>103</v>
      </c>
      <c r="B116" s="68">
        <v>2032303557</v>
      </c>
      <c r="C116" s="159" t="s">
        <v>230</v>
      </c>
      <c r="D116" s="182">
        <v>0</v>
      </c>
      <c r="E116"/>
      <c r="F116"/>
      <c r="G116"/>
      <c r="H116"/>
      <c r="I116"/>
      <c r="J116"/>
      <c r="K116" s="27"/>
      <c r="L116" s="28"/>
      <c r="M116" s="28"/>
      <c r="N116" s="28"/>
      <c r="O116" s="28"/>
      <c r="P116" s="28"/>
    </row>
    <row r="117" spans="1:16" ht="15.6" customHeight="1">
      <c r="A117" s="149">
        <v>104</v>
      </c>
      <c r="B117" s="68">
        <v>2032303506</v>
      </c>
      <c r="C117" s="159" t="s">
        <v>179</v>
      </c>
      <c r="D117" s="182">
        <v>0</v>
      </c>
      <c r="E117"/>
      <c r="F117"/>
      <c r="G117"/>
      <c r="H117"/>
      <c r="I117"/>
      <c r="J117"/>
      <c r="K117" s="27"/>
      <c r="L117" s="28"/>
      <c r="M117" s="28"/>
      <c r="N117" s="28"/>
      <c r="O117" s="28"/>
      <c r="P117" s="28"/>
    </row>
    <row r="118" spans="1:16" ht="15.6" customHeight="1">
      <c r="A118" s="149">
        <v>105</v>
      </c>
      <c r="B118" s="68">
        <v>2032303537</v>
      </c>
      <c r="C118" s="159" t="s">
        <v>210</v>
      </c>
      <c r="D118" s="182">
        <v>2</v>
      </c>
      <c r="E118"/>
      <c r="F118"/>
      <c r="G118"/>
      <c r="H118"/>
      <c r="I118"/>
      <c r="J118"/>
      <c r="K118" s="27"/>
      <c r="L118" s="28"/>
      <c r="M118" s="28"/>
      <c r="N118" s="28"/>
      <c r="O118" s="28"/>
      <c r="P118" s="28"/>
    </row>
    <row r="119" spans="1:16" ht="15.75">
      <c r="A119" s="149">
        <v>106</v>
      </c>
      <c r="B119" s="68">
        <v>2032303558</v>
      </c>
      <c r="C119" s="159" t="s">
        <v>231</v>
      </c>
      <c r="D119" s="182">
        <v>6</v>
      </c>
      <c r="E119"/>
      <c r="F119"/>
      <c r="G119"/>
      <c r="H119"/>
      <c r="I119"/>
      <c r="J119"/>
      <c r="K119" s="27"/>
      <c r="L119" s="28"/>
      <c r="M119" s="28"/>
      <c r="N119" s="28"/>
      <c r="O119" s="28"/>
      <c r="P119" s="28"/>
    </row>
    <row r="120" spans="1:16" ht="15.75">
      <c r="A120" s="149">
        <v>107</v>
      </c>
      <c r="B120" s="68">
        <v>2032303553</v>
      </c>
      <c r="C120" s="159" t="s">
        <v>226</v>
      </c>
      <c r="D120" s="182">
        <v>9</v>
      </c>
      <c r="E120"/>
      <c r="F120"/>
      <c r="G120"/>
      <c r="H120"/>
      <c r="I120"/>
      <c r="J120"/>
      <c r="K120" s="27"/>
      <c r="L120" s="28"/>
      <c r="M120" s="28"/>
      <c r="N120" s="28"/>
      <c r="O120" s="28"/>
      <c r="P120" s="28"/>
    </row>
    <row r="121" spans="1:16" ht="15.6" customHeight="1" thickBot="1">
      <c r="A121" s="149">
        <v>108</v>
      </c>
      <c r="B121" s="68">
        <v>2032303555</v>
      </c>
      <c r="C121" s="159" t="s">
        <v>228</v>
      </c>
      <c r="D121" s="182">
        <v>7</v>
      </c>
      <c r="E121"/>
      <c r="F121"/>
      <c r="G121"/>
      <c r="H121"/>
      <c r="I121"/>
      <c r="J121"/>
      <c r="K121" s="27"/>
      <c r="L121" s="28"/>
      <c r="M121" s="28"/>
      <c r="N121" s="28"/>
      <c r="O121" s="28"/>
      <c r="P121" s="28"/>
    </row>
    <row r="122" spans="1:16" ht="15">
      <c r="A122" s="15"/>
      <c r="B122" s="16"/>
      <c r="C122" s="21" t="str">
        <f>CONCATENATE("No of students more than ", J6*100, "% = (x)")</f>
        <v>No of students more than 60% = (x)</v>
      </c>
      <c r="D122" s="312">
        <f>COUNTIF(D14:D121,CONCATENATE("&gt;=",D$13*$J$6))</f>
        <v>61</v>
      </c>
      <c r="E122" s="313"/>
      <c r="F122" s="313"/>
      <c r="G122" s="313"/>
      <c r="H122" s="313"/>
      <c r="I122" s="313"/>
      <c r="J122" s="314"/>
      <c r="K122" s="28"/>
      <c r="L122" s="28"/>
      <c r="M122" s="28"/>
      <c r="N122" s="28"/>
      <c r="O122" s="28"/>
      <c r="P122" s="28"/>
    </row>
    <row r="123" spans="1:16">
      <c r="A123" s="17"/>
      <c r="B123" s="14"/>
      <c r="C123" s="20" t="s">
        <v>25</v>
      </c>
      <c r="D123" s="315">
        <v>108</v>
      </c>
      <c r="E123" s="316"/>
      <c r="F123" s="316"/>
      <c r="G123" s="316"/>
      <c r="H123" s="316"/>
      <c r="I123" s="316"/>
      <c r="J123" s="317"/>
      <c r="K123" s="28"/>
      <c r="L123" s="28"/>
      <c r="M123" s="28"/>
      <c r="N123" s="28"/>
      <c r="O123" s="28"/>
      <c r="P123" s="28"/>
    </row>
    <row r="124" spans="1:16">
      <c r="A124" s="17"/>
      <c r="B124" s="14"/>
      <c r="C124" s="20" t="s">
        <v>28</v>
      </c>
      <c r="D124" s="318">
        <f>IFERROR(D122/D123,0)</f>
        <v>0.56481481481481477</v>
      </c>
      <c r="E124" s="319"/>
      <c r="F124" s="319"/>
      <c r="G124" s="319"/>
      <c r="H124" s="319"/>
      <c r="I124" s="319"/>
      <c r="J124" s="320"/>
      <c r="K124" s="29"/>
      <c r="L124" s="29"/>
      <c r="M124" s="29"/>
      <c r="N124" s="29"/>
      <c r="O124" s="29"/>
      <c r="P124" s="29"/>
    </row>
    <row r="125" spans="1:16" ht="16.5" thickBot="1">
      <c r="A125" s="18"/>
      <c r="B125" s="19"/>
      <c r="C125" s="22" t="s">
        <v>26</v>
      </c>
      <c r="D125" s="309">
        <f>IF(D124&gt;=$G6,$F6,IF(D124&gt;=$G7,$F7,IF(D124&gt;=$G8,$F8,"0")))</f>
        <v>1</v>
      </c>
      <c r="E125" s="310"/>
      <c r="F125" s="310"/>
      <c r="G125" s="310"/>
      <c r="H125" s="310"/>
      <c r="I125" s="310"/>
      <c r="J125" s="311"/>
      <c r="K125" s="28"/>
      <c r="L125" s="28"/>
      <c r="M125" s="28"/>
      <c r="N125" s="28"/>
      <c r="O125" s="28"/>
      <c r="P125" s="28"/>
    </row>
    <row r="127" spans="1:16" ht="25.5">
      <c r="C127" s="71" t="s">
        <v>53</v>
      </c>
      <c r="D127" s="72">
        <f>IFERROR(AVERAGE(D121:I125),0)</f>
        <v>35.512962962962959</v>
      </c>
    </row>
    <row r="129" spans="1:24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24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24" ht="18.7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 s="80"/>
    </row>
    <row r="132" spans="1:24" ht="18.75">
      <c r="A132"/>
      <c r="B132" s="7" t="str">
        <f>Faculty</f>
        <v xml:space="preserve">Dr. Ashwini Chavan, </v>
      </c>
      <c r="C132"/>
      <c r="D132"/>
      <c r="E132"/>
      <c r="F132"/>
      <c r="G132"/>
      <c r="H132"/>
      <c r="I132"/>
      <c r="J132"/>
      <c r="K132"/>
      <c r="L132"/>
      <c r="M132"/>
      <c r="N132"/>
      <c r="O132" s="80"/>
    </row>
    <row r="133" spans="1:24" s="36" customFormat="1" ht="15.75">
      <c r="A133"/>
      <c r="B133"/>
      <c r="C133"/>
      <c r="D133"/>
      <c r="E133" s="202"/>
      <c r="F133" s="202"/>
      <c r="G133"/>
      <c r="H133"/>
      <c r="I133" s="48"/>
      <c r="J133"/>
      <c r="K133"/>
      <c r="L133"/>
      <c r="M133"/>
      <c r="N133"/>
      <c r="O133"/>
      <c r="P133" s="7"/>
      <c r="Q133" s="7"/>
      <c r="R133" s="7"/>
      <c r="S133" s="7"/>
      <c r="T133" s="7"/>
      <c r="U133" s="7"/>
      <c r="V133" s="7"/>
      <c r="W133" s="7"/>
      <c r="X133" s="7"/>
    </row>
    <row r="134" spans="1:24" s="36" customFormat="1" ht="15.75">
      <c r="A134" s="82"/>
      <c r="B134" s="82"/>
      <c r="C134" s="83"/>
      <c r="D134" s="83"/>
      <c r="E134" s="202"/>
      <c r="F134" s="202"/>
      <c r="G134" s="7"/>
      <c r="H134" s="2"/>
      <c r="I134" s="48"/>
      <c r="J134" s="7"/>
      <c r="K134" s="82"/>
      <c r="L134"/>
      <c r="M134" s="82"/>
      <c r="N134" s="7"/>
      <c r="O134"/>
      <c r="P134" s="7"/>
      <c r="Q134" s="7"/>
      <c r="R134" s="7"/>
      <c r="S134" s="7"/>
      <c r="T134" s="7"/>
      <c r="U134" s="7"/>
      <c r="V134" s="7"/>
      <c r="W134" s="7"/>
      <c r="X134" s="7"/>
    </row>
    <row r="135" spans="1:24" ht="15.75">
      <c r="A135" s="82"/>
      <c r="B135" s="82"/>
      <c r="C135" s="83"/>
      <c r="D135" s="83"/>
      <c r="E135" s="83"/>
      <c r="F135" s="83"/>
      <c r="H135" s="2"/>
      <c r="K135" s="82"/>
      <c r="L135"/>
      <c r="M135" s="82"/>
    </row>
    <row r="136" spans="1:24" ht="15.75">
      <c r="A136"/>
      <c r="B136"/>
      <c r="C136"/>
      <c r="D136"/>
      <c r="E136"/>
      <c r="F136"/>
      <c r="G136"/>
      <c r="H136"/>
      <c r="I136" s="2"/>
      <c r="J136" s="2"/>
      <c r="K136"/>
      <c r="L136"/>
      <c r="M136"/>
      <c r="N136" s="3"/>
    </row>
    <row r="137" spans="1:24" ht="15.75">
      <c r="A137" s="199" t="str">
        <f>SubjectDetails!A24</f>
        <v>Dr. Ravi Chourasiya</v>
      </c>
      <c r="B137" s="199"/>
      <c r="C137" s="199"/>
      <c r="D137" s="202" t="str">
        <f>SubjectDetails!E24</f>
        <v>Dr. Ashwini Chavan</v>
      </c>
      <c r="E137" s="202"/>
      <c r="F137" s="202"/>
      <c r="G137" s="202"/>
      <c r="H137"/>
      <c r="I137" s="200" t="str">
        <f>SubjectDetails!H24</f>
        <v>Dr. Priyanka Singh</v>
      </c>
      <c r="J137" s="200"/>
      <c r="K137" s="82"/>
      <c r="L137"/>
      <c r="M137" s="82"/>
      <c r="N137" s="48"/>
      <c r="O137"/>
      <c r="P137" s="36"/>
      <c r="Q137" s="36"/>
      <c r="R137" s="36"/>
      <c r="S137" s="36"/>
      <c r="T137" s="36"/>
      <c r="U137" s="36"/>
      <c r="V137" s="36"/>
      <c r="W137" s="36"/>
      <c r="X137" s="36"/>
    </row>
    <row r="138" spans="1:24" ht="15.75">
      <c r="A138" s="199" t="str">
        <f>SubjectDetails!A25</f>
        <v>(College Examination Officer)</v>
      </c>
      <c r="B138" s="199"/>
      <c r="C138" s="199"/>
      <c r="D138" s="202" t="str">
        <f>SubjectDetails!E25</f>
        <v>HOD (MCA)</v>
      </c>
      <c r="E138" s="202"/>
      <c r="F138" s="202"/>
      <c r="G138" s="202"/>
      <c r="H138"/>
      <c r="I138" s="200" t="str">
        <f>SubjectDetails!H25</f>
        <v>Director</v>
      </c>
      <c r="J138" s="200"/>
      <c r="K138" s="82"/>
      <c r="L138"/>
      <c r="M138" s="82"/>
      <c r="N138" s="48"/>
      <c r="P138" s="36"/>
      <c r="Q138" s="36"/>
      <c r="R138" s="36"/>
      <c r="S138" s="36"/>
      <c r="T138" s="36"/>
      <c r="U138" s="36"/>
      <c r="V138" s="36"/>
      <c r="W138" s="36"/>
      <c r="X138" s="36"/>
    </row>
  </sheetData>
  <sortState ref="A15:C214">
    <sortCondition ref="B15:B214"/>
  </sortState>
  <mergeCells count="29">
    <mergeCell ref="P11:P12"/>
    <mergeCell ref="A1:J1"/>
    <mergeCell ref="A2:J2"/>
    <mergeCell ref="A3:J3"/>
    <mergeCell ref="A4:J4"/>
    <mergeCell ref="A10:J10"/>
    <mergeCell ref="A7:C7"/>
    <mergeCell ref="A8:C8"/>
    <mergeCell ref="D6:E8"/>
    <mergeCell ref="A11:A13"/>
    <mergeCell ref="B11:B13"/>
    <mergeCell ref="C11:C13"/>
    <mergeCell ref="H6:I8"/>
    <mergeCell ref="J6:J8"/>
    <mergeCell ref="A6:C6"/>
    <mergeCell ref="D11:J12"/>
    <mergeCell ref="D13:J13"/>
    <mergeCell ref="A137:C137"/>
    <mergeCell ref="I137:J137"/>
    <mergeCell ref="A138:C138"/>
    <mergeCell ref="I138:J138"/>
    <mergeCell ref="D137:G137"/>
    <mergeCell ref="D138:G138"/>
    <mergeCell ref="D125:J125"/>
    <mergeCell ref="D122:J122"/>
    <mergeCell ref="D123:J123"/>
    <mergeCell ref="D124:J124"/>
    <mergeCell ref="E133:F133"/>
    <mergeCell ref="E134:F134"/>
  </mergeCells>
  <pageMargins left="0.7" right="0.7" top="0.75" bottom="0.75" header="0.3" footer="0.3"/>
  <pageSetup scale="75" fitToWidth="0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opLeftCell="A7" zoomScaleNormal="100" workbookViewId="0">
      <selection activeCell="D11" sqref="D11"/>
    </sheetView>
  </sheetViews>
  <sheetFormatPr defaultColWidth="8.85546875" defaultRowHeight="15"/>
  <cols>
    <col min="1" max="1" width="8.85546875" style="31"/>
    <col min="2" max="2" width="57.7109375" style="31" customWidth="1"/>
    <col min="3" max="7" width="7.7109375" style="31" customWidth="1"/>
    <col min="8" max="9" width="8.85546875" style="31"/>
    <col min="10" max="10" width="10.7109375" style="31" customWidth="1"/>
    <col min="11" max="11" width="13.5703125" style="31" customWidth="1"/>
    <col min="12" max="16384" width="8.85546875" style="31"/>
  </cols>
  <sheetData>
    <row r="1" spans="1:13" s="7" customFormat="1" ht="18.75">
      <c r="A1" s="192" t="s">
        <v>73</v>
      </c>
      <c r="B1" s="192"/>
      <c r="C1" s="192"/>
      <c r="D1" s="192"/>
      <c r="E1" s="192"/>
      <c r="F1" s="192"/>
      <c r="G1" s="192"/>
      <c r="H1" s="95"/>
      <c r="I1" s="95"/>
      <c r="J1" s="95"/>
      <c r="K1" s="95"/>
      <c r="L1" s="95"/>
      <c r="M1" s="95"/>
    </row>
    <row r="2" spans="1:13" s="7" customFormat="1" ht="23.45" customHeight="1">
      <c r="A2" s="193" t="s">
        <v>74</v>
      </c>
      <c r="B2" s="193"/>
      <c r="C2" s="193"/>
      <c r="D2" s="193"/>
      <c r="E2" s="193"/>
      <c r="F2" s="193"/>
      <c r="G2" s="193"/>
      <c r="H2" s="96"/>
      <c r="I2" s="96"/>
      <c r="J2" s="96"/>
      <c r="K2" s="96"/>
      <c r="L2" s="96"/>
      <c r="M2" s="96"/>
    </row>
    <row r="3" spans="1:13" s="7" customFormat="1" ht="13.9" customHeight="1">
      <c r="A3" s="194" t="s">
        <v>75</v>
      </c>
      <c r="B3" s="194"/>
      <c r="C3" s="194"/>
      <c r="D3" s="194"/>
      <c r="E3" s="194"/>
      <c r="F3" s="194"/>
      <c r="G3" s="194"/>
      <c r="H3" s="97"/>
      <c r="I3" s="97"/>
      <c r="J3" s="97"/>
      <c r="K3" s="97"/>
      <c r="L3" s="97"/>
      <c r="M3" s="97"/>
    </row>
    <row r="4" spans="1:13" s="7" customFormat="1" ht="13.9" customHeight="1">
      <c r="A4" s="194" t="s">
        <v>9</v>
      </c>
      <c r="B4" s="194"/>
      <c r="C4" s="194"/>
      <c r="D4" s="194"/>
      <c r="E4" s="194"/>
      <c r="F4" s="194"/>
      <c r="G4" s="194"/>
      <c r="H4" s="97"/>
      <c r="I4" s="97"/>
      <c r="J4" s="97"/>
      <c r="K4" s="97"/>
      <c r="L4" s="97"/>
      <c r="M4" s="97"/>
    </row>
    <row r="5" spans="1:13">
      <c r="A5" s="7"/>
      <c r="B5" s="353" t="str">
        <f>CONCATENATE("Faculty Name: ", Faculty)</f>
        <v xml:space="preserve">Faculty Name: Dr. Ashwini Chavan, </v>
      </c>
      <c r="C5" s="353"/>
      <c r="D5" s="353"/>
      <c r="E5" s="353"/>
      <c r="F5" s="353"/>
      <c r="G5" s="6"/>
      <c r="H5" s="6"/>
      <c r="I5" s="6"/>
      <c r="J5" s="6"/>
      <c r="K5" s="6"/>
      <c r="L5" s="7"/>
      <c r="M5" s="7"/>
    </row>
    <row r="6" spans="1:13">
      <c r="A6" s="7"/>
      <c r="B6" s="354" t="str">
        <f>CONCATENATE("Subject Name &amp; Code: ", Sub_Code)</f>
        <v>Subject Name &amp; Code: Network Technologies</v>
      </c>
      <c r="C6" s="354"/>
      <c r="D6" s="354"/>
      <c r="E6" s="354"/>
      <c r="F6" s="354"/>
      <c r="G6" s="6"/>
      <c r="H6" s="6"/>
      <c r="I6" s="6"/>
      <c r="J6" s="6"/>
      <c r="K6" s="6"/>
      <c r="L6" s="7"/>
      <c r="M6" s="7"/>
    </row>
    <row r="7" spans="1:13">
      <c r="A7" s="7"/>
      <c r="B7" s="355" t="str">
        <f>CONCATENATE("Class: ",Class_AY)</f>
        <v>Class: MCA I SEM I AY 2023-24</v>
      </c>
      <c r="C7" s="355"/>
      <c r="D7" s="355"/>
      <c r="E7" s="355"/>
      <c r="F7" s="355"/>
      <c r="G7" s="6"/>
      <c r="H7" s="6"/>
      <c r="I7" s="6"/>
      <c r="J7" s="6"/>
      <c r="K7" s="6"/>
      <c r="L7" s="7"/>
      <c r="M7" s="7"/>
    </row>
    <row r="9" spans="1:13" ht="34.9" customHeight="1">
      <c r="B9" s="356" t="s">
        <v>33</v>
      </c>
      <c r="C9" s="356"/>
      <c r="D9" s="356"/>
      <c r="E9" s="356"/>
      <c r="F9" s="356"/>
      <c r="G9" s="356"/>
    </row>
    <row r="10" spans="1:13" ht="34.9" customHeight="1">
      <c r="B10" s="137" t="s">
        <v>32</v>
      </c>
      <c r="C10" s="101" t="s">
        <v>2</v>
      </c>
      <c r="D10" s="101" t="s">
        <v>3</v>
      </c>
      <c r="E10" s="101" t="s">
        <v>4</v>
      </c>
      <c r="F10" s="101" t="s">
        <v>10</v>
      </c>
      <c r="G10" s="101" t="s">
        <v>12</v>
      </c>
    </row>
    <row r="11" spans="1:13" ht="34.9" customHeight="1">
      <c r="B11" s="138" t="s">
        <v>46</v>
      </c>
      <c r="C11" s="136">
        <f>'CO Int. Attn'!H128</f>
        <v>97.222222222222229</v>
      </c>
      <c r="D11" s="136">
        <f>'CO Int. Attn'!H129</f>
        <v>96.913580246913583</v>
      </c>
      <c r="E11" s="136">
        <f>'CO Int. Attn'!H130</f>
        <v>98.611111111111114</v>
      </c>
      <c r="F11" s="136">
        <f>'CO Int. Attn'!H131</f>
        <v>92.592592592592595</v>
      </c>
      <c r="G11" s="136">
        <f>'CO Int. Attn'!H132</f>
        <v>89.81481481481481</v>
      </c>
    </row>
    <row r="12" spans="1:13" ht="34.9" customHeight="1">
      <c r="B12" s="138" t="s">
        <v>47</v>
      </c>
      <c r="C12" s="136">
        <f>'CO Ext. Attn'!$D124*100</f>
        <v>56.481481481481474</v>
      </c>
      <c r="D12" s="136">
        <f>'CO Ext. Attn'!$D124*100</f>
        <v>56.481481481481474</v>
      </c>
      <c r="E12" s="136">
        <f>'CO Ext. Attn'!$D124*100</f>
        <v>56.481481481481474</v>
      </c>
      <c r="F12" s="136">
        <f>'CO Ext. Attn'!$D124*100</f>
        <v>56.481481481481474</v>
      </c>
      <c r="G12" s="136">
        <f>'CO Ext. Attn'!$D124*100</f>
        <v>56.481481481481474</v>
      </c>
    </row>
    <row r="13" spans="1:13" ht="55.5" customHeight="1">
      <c r="B13" s="139" t="s">
        <v>44</v>
      </c>
      <c r="C13" s="136">
        <f t="shared" ref="C13:G13" si="0">(int_wt*C11)+(ext_wt*C12)</f>
        <v>69.925925925925924</v>
      </c>
      <c r="D13" s="136">
        <f t="shared" si="0"/>
        <v>69.824074074074076</v>
      </c>
      <c r="E13" s="136">
        <f t="shared" si="0"/>
        <v>70.384259259259267</v>
      </c>
      <c r="F13" s="136">
        <f t="shared" si="0"/>
        <v>68.398148148148152</v>
      </c>
      <c r="G13" s="136">
        <f t="shared" si="0"/>
        <v>67.481481481481481</v>
      </c>
    </row>
    <row r="14" spans="1:13" ht="34.9" customHeight="1">
      <c r="B14" s="139" t="s">
        <v>45</v>
      </c>
      <c r="C14" s="184">
        <f>Sheet1!D119</f>
        <v>84.259259259259252</v>
      </c>
      <c r="D14" s="184">
        <f>Sheet1!E119</f>
        <v>82.407407407407405</v>
      </c>
      <c r="E14" s="184">
        <f>Sheet1!F119</f>
        <v>84.81481481481481</v>
      </c>
      <c r="F14" s="184">
        <f>Sheet1!G119</f>
        <v>85.925925925925938</v>
      </c>
      <c r="G14" s="184">
        <f>Sheet1!H119</f>
        <v>84.629629629629633</v>
      </c>
    </row>
    <row r="15" spans="1:13" ht="34.9" customHeight="1">
      <c r="B15" s="139" t="s">
        <v>33</v>
      </c>
      <c r="C15" s="136">
        <f>(0.8*C13)+(0.2*C14)</f>
        <v>72.792592592592598</v>
      </c>
      <c r="D15" s="136">
        <f t="shared" ref="D15:G15" si="1">(0.8*D13)+(0.2*D14)</f>
        <v>72.340740740740742</v>
      </c>
      <c r="E15" s="136">
        <f t="shared" si="1"/>
        <v>73.270370370370387</v>
      </c>
      <c r="F15" s="136">
        <f t="shared" si="1"/>
        <v>71.903703703703712</v>
      </c>
      <c r="G15" s="136">
        <f t="shared" si="1"/>
        <v>70.911111111111111</v>
      </c>
    </row>
    <row r="16" spans="1:13" ht="34.9" customHeight="1">
      <c r="B16" s="140" t="s">
        <v>52</v>
      </c>
      <c r="C16" s="185">
        <f>IF(C15&gt;=$E20,3,IF(C15&gt;=$E21,2,IF(C15&gt;=$E22,1,0)))</f>
        <v>3</v>
      </c>
      <c r="D16" s="185">
        <f>IF(D15&gt;=$E20,3,IF(D15&gt;=$E21,2,IF(D15&gt;=$E22,1,0)))</f>
        <v>3</v>
      </c>
      <c r="E16" s="185">
        <f>IF(E15&gt;=$E20,3,IF(E15&gt;=$E21,2,IF(E15&gt;=$E22,1,0)))</f>
        <v>3</v>
      </c>
      <c r="F16" s="185">
        <f>IF(F15&gt;=$E20,3,IF(F15&gt;=$E21,2,IF(F15&gt;=$E22,1,0)))</f>
        <v>3</v>
      </c>
      <c r="G16" s="185">
        <f>IF(G15&gt;=$E20,3,IF(G15&gt;=$E21,2,IF(G15&gt;=$E22,1,0)))</f>
        <v>3</v>
      </c>
    </row>
    <row r="18" spans="1:15" ht="15.75">
      <c r="B18" s="57" t="s">
        <v>55</v>
      </c>
    </row>
    <row r="19" spans="1:15" ht="16.5" thickBot="1">
      <c r="B19" s="57"/>
    </row>
    <row r="20" spans="1:15" ht="15.75" thickBot="1">
      <c r="B20" s="330" t="s">
        <v>117</v>
      </c>
      <c r="C20" s="331"/>
      <c r="D20" s="61">
        <v>3</v>
      </c>
      <c r="E20" s="61">
        <v>70</v>
      </c>
      <c r="N20" s="36"/>
      <c r="O20" s="36"/>
    </row>
    <row r="21" spans="1:15" ht="15.75" thickBot="1">
      <c r="B21" s="332"/>
      <c r="C21" s="333"/>
      <c r="D21" s="63">
        <v>2</v>
      </c>
      <c r="E21" s="61">
        <v>60</v>
      </c>
      <c r="N21" s="36"/>
      <c r="O21" s="36"/>
    </row>
    <row r="22" spans="1:15" ht="15.75" thickBot="1">
      <c r="B22" s="334"/>
      <c r="C22" s="335"/>
      <c r="D22" s="65">
        <v>1</v>
      </c>
      <c r="E22" s="61">
        <v>50</v>
      </c>
      <c r="N22"/>
      <c r="O22"/>
    </row>
    <row r="23" spans="1:15">
      <c r="E23" s="136"/>
      <c r="N23"/>
      <c r="O23"/>
    </row>
    <row r="24" spans="1:15"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/>
      <c r="O24"/>
    </row>
    <row r="25" spans="1:15" ht="18.75">
      <c r="B25" s="37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/>
      <c r="O25" s="80"/>
    </row>
    <row r="26" spans="1:15" ht="18.75">
      <c r="B26"/>
      <c r="C26"/>
      <c r="D26"/>
      <c r="E26"/>
      <c r="F26"/>
      <c r="G26"/>
      <c r="H26"/>
      <c r="I26"/>
      <c r="J26"/>
      <c r="K26"/>
      <c r="L26"/>
      <c r="M26"/>
      <c r="N26"/>
      <c r="O26" s="80"/>
    </row>
    <row r="27" spans="1:15">
      <c r="B27" s="37" t="str">
        <f>Faculty</f>
        <v xml:space="preserve">Dr. Ashwini Chavan, </v>
      </c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B28" s="107" t="str">
        <f>SubjectDetails!$E$17</f>
        <v>Subject Faculty</v>
      </c>
      <c r="C28"/>
      <c r="D28"/>
      <c r="E28"/>
      <c r="F28"/>
      <c r="G28"/>
      <c r="H28"/>
      <c r="I28"/>
      <c r="J28"/>
      <c r="K28"/>
      <c r="L28"/>
      <c r="M28"/>
      <c r="O28"/>
    </row>
    <row r="29" spans="1:15" s="36" customFormat="1">
      <c r="A29" s="31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5" s="36" customFormat="1" ht="15.75">
      <c r="A30" s="31"/>
      <c r="B30" s="83"/>
      <c r="C30" s="202"/>
      <c r="D30" s="202"/>
      <c r="E30"/>
      <c r="F30" s="31"/>
      <c r="G30" s="48"/>
      <c r="H30"/>
      <c r="I30"/>
      <c r="J30"/>
      <c r="K30"/>
      <c r="L30"/>
      <c r="M30"/>
      <c r="N30" s="7"/>
    </row>
    <row r="31" spans="1:15" ht="15.75">
      <c r="B31" s="83"/>
      <c r="C31" s="202"/>
      <c r="D31" s="202"/>
      <c r="E31" s="83"/>
      <c r="G31" s="48"/>
      <c r="H31"/>
      <c r="K31"/>
      <c r="M31"/>
      <c r="N31" s="3"/>
      <c r="O31" s="7"/>
    </row>
    <row r="32" spans="1:15" ht="15.75">
      <c r="B32" s="82"/>
      <c r="C32" s="82"/>
      <c r="D32"/>
      <c r="H32" s="2"/>
      <c r="K32" s="82"/>
      <c r="M32" s="82"/>
      <c r="N32" s="36"/>
      <c r="O32" s="36"/>
    </row>
    <row r="33" spans="1:13" ht="15.75">
      <c r="A33" s="199" t="str">
        <f>SubjectDetails!$A$24</f>
        <v>Dr. Ravi Chourasiya</v>
      </c>
      <c r="B33" s="199"/>
      <c r="C33" s="199"/>
      <c r="D33" s="202" t="str">
        <f>SubjectDetails!$E$24</f>
        <v>Dr. Ashwini Chavan</v>
      </c>
      <c r="E33" s="202"/>
      <c r="F33" s="202"/>
      <c r="G33" s="202"/>
      <c r="H33" s="200" t="str">
        <f>SubjectDetails!$H$24</f>
        <v>Dr. Priyanka Singh</v>
      </c>
      <c r="I33" s="200"/>
      <c r="J33" s="82"/>
      <c r="K33"/>
      <c r="L33" s="82"/>
      <c r="M33" s="48"/>
    </row>
    <row r="34" spans="1:13" ht="15.75">
      <c r="A34" s="199" t="str">
        <f>SubjectDetails!$A$25</f>
        <v>(College Examination Officer)</v>
      </c>
      <c r="B34" s="199"/>
      <c r="C34" s="199"/>
      <c r="D34" s="202" t="str">
        <f>SubjectDetails!$E$25</f>
        <v>HOD (MCA)</v>
      </c>
      <c r="E34" s="202"/>
      <c r="F34" s="202"/>
      <c r="G34" s="202"/>
      <c r="H34" s="200" t="str">
        <f>SubjectDetails!$H$25</f>
        <v>Director</v>
      </c>
      <c r="I34" s="200"/>
      <c r="J34" s="82"/>
      <c r="K34"/>
      <c r="L34" s="82"/>
      <c r="M34" s="48"/>
    </row>
    <row r="35" spans="1:13" ht="15.75">
      <c r="B35" s="1"/>
      <c r="C35" s="1"/>
      <c r="D35" s="1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B36" s="37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</row>
  </sheetData>
  <mergeCells count="17">
    <mergeCell ref="A1:G1"/>
    <mergeCell ref="A2:G2"/>
    <mergeCell ref="A3:G3"/>
    <mergeCell ref="A4:G4"/>
    <mergeCell ref="A33:C33"/>
    <mergeCell ref="C31:D31"/>
    <mergeCell ref="C30:D30"/>
    <mergeCell ref="B20:C22"/>
    <mergeCell ref="B5:F5"/>
    <mergeCell ref="B6:F6"/>
    <mergeCell ref="B7:F7"/>
    <mergeCell ref="B9:G9"/>
    <mergeCell ref="H33:I33"/>
    <mergeCell ref="A34:C34"/>
    <mergeCell ref="H34:I34"/>
    <mergeCell ref="D33:G33"/>
    <mergeCell ref="D34:G34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5"/>
  <sheetViews>
    <sheetView topLeftCell="A10" zoomScale="85" zoomScaleNormal="85" workbookViewId="0">
      <selection activeCell="D17" sqref="D17:K17"/>
    </sheetView>
  </sheetViews>
  <sheetFormatPr defaultColWidth="8.85546875" defaultRowHeight="15"/>
  <cols>
    <col min="1" max="1" width="8.85546875" style="36"/>
    <col min="2" max="2" width="21.7109375" style="36" customWidth="1"/>
    <col min="3" max="3" width="12.7109375" style="36" customWidth="1"/>
    <col min="4" max="16384" width="8.85546875" style="36"/>
  </cols>
  <sheetData>
    <row r="1" spans="2:15" s="7" customFormat="1" ht="30" customHeight="1">
      <c r="B1" s="210" t="s">
        <v>73</v>
      </c>
      <c r="C1" s="211"/>
      <c r="D1" s="211"/>
      <c r="E1" s="211"/>
      <c r="F1" s="211"/>
      <c r="G1" s="211"/>
      <c r="H1" s="211"/>
      <c r="I1" s="211"/>
      <c r="J1" s="211"/>
      <c r="K1" s="211"/>
      <c r="L1" s="105"/>
      <c r="M1" s="105"/>
      <c r="N1" s="105"/>
      <c r="O1" s="105"/>
    </row>
    <row r="2" spans="2:15" s="7" customFormat="1" ht="20.45" customHeight="1">
      <c r="B2" s="212" t="s">
        <v>74</v>
      </c>
      <c r="C2" s="213"/>
      <c r="D2" s="213"/>
      <c r="E2" s="213"/>
      <c r="F2" s="213"/>
      <c r="G2" s="213"/>
      <c r="H2" s="213"/>
      <c r="I2" s="213"/>
      <c r="J2" s="213"/>
      <c r="K2" s="213"/>
      <c r="L2" s="106"/>
      <c r="M2" s="106"/>
      <c r="N2" s="106"/>
      <c r="O2" s="106"/>
    </row>
    <row r="3" spans="2:15" s="7" customFormat="1" ht="18" customHeight="1">
      <c r="B3" s="214" t="s">
        <v>75</v>
      </c>
      <c r="C3" s="215"/>
      <c r="D3" s="215"/>
      <c r="E3" s="215"/>
      <c r="F3" s="215"/>
      <c r="G3" s="215"/>
      <c r="H3" s="215"/>
      <c r="I3" s="215"/>
      <c r="J3" s="215"/>
      <c r="K3" s="215"/>
      <c r="L3" s="103"/>
      <c r="M3" s="103"/>
      <c r="N3" s="103"/>
      <c r="O3" s="103"/>
    </row>
    <row r="4" spans="2:15" s="7" customFormat="1" ht="18" customHeight="1">
      <c r="B4" s="214" t="s">
        <v>9</v>
      </c>
      <c r="C4" s="215"/>
      <c r="D4" s="215"/>
      <c r="E4" s="215"/>
      <c r="F4" s="215"/>
      <c r="G4" s="215"/>
      <c r="H4" s="215"/>
      <c r="I4" s="215"/>
      <c r="J4" s="215"/>
      <c r="K4" s="215"/>
      <c r="L4" s="103"/>
      <c r="M4" s="103"/>
      <c r="N4" s="103"/>
      <c r="O4" s="103"/>
    </row>
    <row r="5" spans="2:15">
      <c r="B5" s="6"/>
      <c r="C5" s="6"/>
      <c r="D5" s="6"/>
      <c r="E5" s="6"/>
      <c r="F5" s="6"/>
      <c r="G5" s="6"/>
      <c r="H5" s="6"/>
    </row>
    <row r="6" spans="2:15" ht="20.25">
      <c r="B6" s="362" t="str">
        <f>CONCATENATE("Faculty Name: ", Faculty)</f>
        <v xml:space="preserve">Faculty Name: Dr. Ashwini Chavan, </v>
      </c>
      <c r="C6" s="362"/>
      <c r="D6" s="362"/>
      <c r="E6" s="362"/>
      <c r="F6" s="362"/>
      <c r="G6" s="362"/>
      <c r="H6" s="6"/>
      <c r="I6" s="104"/>
      <c r="J6" s="104"/>
      <c r="K6" s="104"/>
      <c r="L6" s="104"/>
      <c r="M6" s="104"/>
      <c r="N6" s="104"/>
      <c r="O6" s="104"/>
    </row>
    <row r="7" spans="2:15" s="45" customFormat="1" ht="15.75">
      <c r="B7" s="360" t="str">
        <f>CONCATENATE("Subject Name &amp; Code: ", Sub_Code)</f>
        <v>Subject Name &amp; Code: Network Technologies</v>
      </c>
      <c r="C7" s="360"/>
      <c r="D7" s="360"/>
      <c r="E7" s="360"/>
      <c r="F7" s="360"/>
      <c r="G7" s="360"/>
      <c r="H7" s="6"/>
      <c r="L7" s="58"/>
      <c r="M7" s="58"/>
      <c r="N7" s="58"/>
      <c r="O7" s="58"/>
    </row>
    <row r="8" spans="2:15" s="47" customFormat="1" ht="15.75">
      <c r="B8" s="361" t="str">
        <f>CONCATENATE("Class: ",Class_AY)</f>
        <v>Class: MCA I SEM I AY 2023-24</v>
      </c>
      <c r="C8" s="361"/>
      <c r="D8" s="361"/>
      <c r="E8" s="361"/>
      <c r="F8" s="361"/>
      <c r="G8" s="361"/>
      <c r="H8" s="6"/>
      <c r="L8" s="58"/>
      <c r="M8" s="58"/>
      <c r="N8" s="58"/>
      <c r="O8" s="58"/>
    </row>
    <row r="9" spans="2:15" s="44" customFormat="1" ht="34.9" customHeight="1">
      <c r="B9" s="359" t="s">
        <v>51</v>
      </c>
      <c r="C9" s="359"/>
      <c r="D9" s="359"/>
      <c r="E9" s="359"/>
      <c r="F9" s="359"/>
      <c r="G9" s="359"/>
      <c r="H9" s="359"/>
      <c r="I9" s="359"/>
      <c r="J9" s="359"/>
      <c r="K9" s="359"/>
      <c r="L9" s="58"/>
      <c r="M9" s="58"/>
      <c r="N9" s="58"/>
      <c r="O9" s="58"/>
    </row>
    <row r="10" spans="2:15" s="44" customFormat="1" ht="34.9" customHeight="1">
      <c r="B10" s="357" t="s">
        <v>50</v>
      </c>
      <c r="C10" s="358"/>
      <c r="D10" s="141" t="s">
        <v>14</v>
      </c>
      <c r="E10" s="141" t="s">
        <v>15</v>
      </c>
      <c r="F10" s="141" t="s">
        <v>16</v>
      </c>
      <c r="G10" s="141" t="s">
        <v>17</v>
      </c>
      <c r="H10" s="141" t="s">
        <v>18</v>
      </c>
      <c r="I10" s="141" t="s">
        <v>19</v>
      </c>
      <c r="J10" s="141" t="s">
        <v>20</v>
      </c>
      <c r="K10" s="141" t="s">
        <v>21</v>
      </c>
      <c r="L10" s="58"/>
      <c r="M10" s="58"/>
      <c r="N10" s="58"/>
      <c r="O10" s="58"/>
    </row>
    <row r="11" spans="2:15" s="44" customFormat="1" ht="34.9" customHeight="1">
      <c r="B11" s="143" t="s">
        <v>24</v>
      </c>
      <c r="C11" s="142"/>
      <c r="D11" s="46">
        <f>'CO Mapping PO '!B18</f>
        <v>2.4</v>
      </c>
      <c r="E11" s="46">
        <f>'CO Mapping PO '!C18</f>
        <v>1</v>
      </c>
      <c r="F11" s="46">
        <f>'CO Mapping PO '!D18</f>
        <v>1.6666666666666667</v>
      </c>
      <c r="G11" s="46">
        <f>'CO Mapping PO '!E18</f>
        <v>2</v>
      </c>
      <c r="H11" s="46" t="e">
        <f>'CO Mapping PO '!F18</f>
        <v>#DIV/0!</v>
      </c>
      <c r="I11" s="46" t="e">
        <f>'CO Mapping PO '!G18</f>
        <v>#DIV/0!</v>
      </c>
      <c r="J11" s="46">
        <f>'CO Mapping PO '!H18</f>
        <v>2</v>
      </c>
      <c r="K11" s="46">
        <f>'CO Mapping PO '!I18</f>
        <v>1.2</v>
      </c>
      <c r="L11" s="58"/>
      <c r="M11" s="58"/>
      <c r="N11" s="58"/>
      <c r="O11" s="58"/>
    </row>
    <row r="12" spans="2:15" s="44" customFormat="1" ht="34.9" customHeight="1">
      <c r="B12" s="144" t="s">
        <v>2</v>
      </c>
      <c r="C12" s="145">
        <f>'OverallCO Attainment'!C15</f>
        <v>72.792592592592598</v>
      </c>
      <c r="D12" s="183">
        <v>2</v>
      </c>
      <c r="E12" s="183">
        <v>1</v>
      </c>
      <c r="F12" s="183">
        <v>0</v>
      </c>
      <c r="G12" s="183">
        <v>0</v>
      </c>
      <c r="H12" s="183">
        <v>0</v>
      </c>
      <c r="I12" s="183">
        <v>0</v>
      </c>
      <c r="J12" s="183">
        <v>0</v>
      </c>
      <c r="K12" s="183">
        <v>1</v>
      </c>
      <c r="L12" s="58"/>
      <c r="M12" s="58"/>
      <c r="N12" s="58"/>
      <c r="O12" s="58"/>
    </row>
    <row r="13" spans="2:15" s="44" customFormat="1" ht="34.9" customHeight="1">
      <c r="B13" s="144" t="s">
        <v>3</v>
      </c>
      <c r="C13" s="145">
        <f>'OverallCO Attainment'!D15</f>
        <v>72.340740740740742</v>
      </c>
      <c r="D13" s="183">
        <v>3</v>
      </c>
      <c r="E13" s="183">
        <v>1</v>
      </c>
      <c r="F13" s="183">
        <v>1</v>
      </c>
      <c r="G13" s="183">
        <v>0</v>
      </c>
      <c r="H13" s="183">
        <v>0</v>
      </c>
      <c r="I13" s="183">
        <v>0</v>
      </c>
      <c r="J13" s="183">
        <v>0</v>
      </c>
      <c r="K13" s="183">
        <v>1</v>
      </c>
      <c r="L13" s="58"/>
      <c r="M13" s="58"/>
      <c r="N13" s="58"/>
      <c r="O13" s="58"/>
    </row>
    <row r="14" spans="2:15" ht="34.9" customHeight="1">
      <c r="B14" s="144" t="s">
        <v>4</v>
      </c>
      <c r="C14" s="145">
        <f>'OverallCO Attainment'!E15</f>
        <v>73.270370370370387</v>
      </c>
      <c r="D14" s="183">
        <v>3</v>
      </c>
      <c r="E14" s="183">
        <v>0</v>
      </c>
      <c r="F14" s="183">
        <v>0</v>
      </c>
      <c r="G14" s="183">
        <v>0</v>
      </c>
      <c r="H14" s="183">
        <v>0</v>
      </c>
      <c r="I14" s="183">
        <v>0</v>
      </c>
      <c r="J14" s="183">
        <v>0</v>
      </c>
      <c r="K14" s="183">
        <v>1</v>
      </c>
      <c r="L14" s="58"/>
      <c r="M14" s="58"/>
      <c r="N14" s="58"/>
      <c r="O14" s="58"/>
    </row>
    <row r="15" spans="2:15" ht="34.9" customHeight="1">
      <c r="B15" s="144" t="s">
        <v>10</v>
      </c>
      <c r="C15" s="145">
        <f>'OverallCO Attainment'!F15</f>
        <v>71.903703703703712</v>
      </c>
      <c r="D15" s="183">
        <v>2</v>
      </c>
      <c r="E15" s="183">
        <v>0</v>
      </c>
      <c r="F15" s="183">
        <v>1</v>
      </c>
      <c r="G15" s="183">
        <v>0</v>
      </c>
      <c r="H15" s="183">
        <v>0</v>
      </c>
      <c r="I15" s="183">
        <v>0</v>
      </c>
      <c r="J15" s="183">
        <v>2</v>
      </c>
      <c r="K15" s="183">
        <v>1</v>
      </c>
    </row>
    <row r="16" spans="2:15" ht="34.9" customHeight="1">
      <c r="B16" s="144" t="s">
        <v>12</v>
      </c>
      <c r="C16" s="145">
        <f>'OverallCO Attainment'!G15</f>
        <v>70.911111111111111</v>
      </c>
      <c r="D16" s="183">
        <v>2</v>
      </c>
      <c r="E16" s="183">
        <v>0</v>
      </c>
      <c r="F16" s="183">
        <v>3</v>
      </c>
      <c r="G16" s="183">
        <v>2</v>
      </c>
      <c r="H16" s="183">
        <v>0</v>
      </c>
      <c r="I16" s="183">
        <v>0</v>
      </c>
      <c r="J16" s="183">
        <v>0</v>
      </c>
      <c r="K16" s="183">
        <v>2</v>
      </c>
    </row>
    <row r="17" spans="2:14" ht="34.9" customHeight="1">
      <c r="C17" s="147" t="s">
        <v>58</v>
      </c>
      <c r="D17" s="186">
        <f>(C12*D12+C13*D13+C14*D14+C15*D15+C16*D16)/(D12+D13+D14+D15+D16)</f>
        <v>72.337345679012358</v>
      </c>
      <c r="E17" s="186">
        <f>(C12*E12+C13*E13+C14*E14+C15*E15+C16*E16)/(E12+E13+E14+E15+E16)</f>
        <v>72.566666666666663</v>
      </c>
      <c r="F17" s="186">
        <f>(C12*F12+C13*F13+C14*F14+C15*F15+C16*F16)/(F12+F13+F14+F15+F16)</f>
        <v>71.395555555555561</v>
      </c>
      <c r="G17" s="186">
        <f>(C12*G12+C13*G13+C14*G14+C15*G15+C16*G16)/(G12+G13+G14+G15+G16)</f>
        <v>70.911111111111111</v>
      </c>
      <c r="H17" s="186" t="e">
        <f>(C12*H12+C13*H13+C14*H14+C15*H15+C16*H16)/(H12+H13+H14+H15+H16)</f>
        <v>#DIV/0!</v>
      </c>
      <c r="I17" s="186" t="e">
        <f>(C12*I12+C13*I13+C14*I14+C15*I15+C16*I16)/(I12+I13+I14+I15+I16)</f>
        <v>#DIV/0!</v>
      </c>
      <c r="J17" s="186">
        <f>(C12*J12+C13*J13+C14*J14+C15*J15+C16*J16)/(J12+J13+J14+J15+J16)</f>
        <v>71.903703703703712</v>
      </c>
      <c r="K17" s="186">
        <f>(C12*K12+C13*K13+C14*K14+C15*K15+C16*K16)/(K12+K13+K14+K15+K16)</f>
        <v>72.021604938271608</v>
      </c>
      <c r="L17" s="48"/>
      <c r="M17" s="33"/>
      <c r="N17" s="48"/>
    </row>
    <row r="18" spans="2:14" ht="34.9" customHeight="1">
      <c r="C18" s="147" t="s">
        <v>241</v>
      </c>
      <c r="D18" s="187">
        <f>D17/100*3</f>
        <v>2.1701203703703706</v>
      </c>
      <c r="E18" s="187">
        <f t="shared" ref="E18:K18" si="0">E17/100*3</f>
        <v>2.177</v>
      </c>
      <c r="F18" s="187">
        <f t="shared" si="0"/>
        <v>2.1418666666666666</v>
      </c>
      <c r="G18" s="187">
        <f t="shared" si="0"/>
        <v>2.1273333333333335</v>
      </c>
      <c r="H18" s="187" t="e">
        <f t="shared" si="0"/>
        <v>#DIV/0!</v>
      </c>
      <c r="I18" s="187" t="e">
        <f t="shared" si="0"/>
        <v>#DIV/0!</v>
      </c>
      <c r="J18" s="187">
        <f t="shared" si="0"/>
        <v>2.1571111111111114</v>
      </c>
      <c r="K18" s="187">
        <f t="shared" si="0"/>
        <v>2.1606481481481481</v>
      </c>
      <c r="L18" s="48"/>
      <c r="M18" s="33"/>
      <c r="N18" s="48"/>
    </row>
    <row r="21" spans="2:14" ht="15.75">
      <c r="C21" s="48"/>
      <c r="D21" s="48"/>
      <c r="E21" s="48"/>
      <c r="F21" s="48"/>
      <c r="G21" s="48"/>
      <c r="H21" s="49"/>
      <c r="I21"/>
      <c r="J21"/>
      <c r="K21"/>
      <c r="L21"/>
      <c r="M21"/>
      <c r="N21"/>
    </row>
    <row r="22" spans="2:14" ht="15.75">
      <c r="C22" s="48"/>
      <c r="D22" s="48"/>
      <c r="E22" s="48"/>
      <c r="F22" s="48"/>
      <c r="G22" s="48"/>
      <c r="H22" s="49"/>
      <c r="I22"/>
      <c r="J22"/>
      <c r="K22"/>
      <c r="L22"/>
      <c r="M22"/>
      <c r="N22"/>
    </row>
    <row r="23" spans="2:14" ht="18.75">
      <c r="I23"/>
      <c r="J23"/>
      <c r="K23"/>
      <c r="L23"/>
      <c r="M23"/>
      <c r="N23" s="80"/>
    </row>
    <row r="24" spans="2:14" ht="18.75">
      <c r="B24" s="50" t="str">
        <f>Faculty</f>
        <v xml:space="preserve">Dr. Ashwini Chavan, </v>
      </c>
      <c r="I24"/>
      <c r="J24"/>
      <c r="K24"/>
      <c r="L24"/>
      <c r="M24"/>
      <c r="N24" s="80"/>
    </row>
    <row r="25" spans="2:14" ht="15.75">
      <c r="B25" s="50" t="str">
        <f>Designation</f>
        <v>Assistant Professor</v>
      </c>
      <c r="C25"/>
      <c r="D25"/>
      <c r="E25"/>
      <c r="F25"/>
      <c r="G25"/>
      <c r="H25"/>
      <c r="I25"/>
      <c r="J25"/>
      <c r="K25"/>
      <c r="L25"/>
      <c r="M25"/>
      <c r="N25"/>
    </row>
    <row r="26" spans="2:14" ht="15.75">
      <c r="B26"/>
      <c r="C26"/>
      <c r="D26"/>
      <c r="E26"/>
      <c r="F26"/>
      <c r="G26"/>
      <c r="H26"/>
      <c r="I26" s="2"/>
      <c r="J26" s="202"/>
      <c r="K26" s="202"/>
      <c r="L26" s="48"/>
      <c r="N26"/>
    </row>
    <row r="27" spans="2:14" ht="15.75">
      <c r="B27"/>
      <c r="C27"/>
      <c r="D27"/>
      <c r="E27"/>
      <c r="F27"/>
      <c r="G27"/>
      <c r="H27"/>
      <c r="I27" s="2"/>
      <c r="J27" s="202"/>
      <c r="K27" s="202"/>
      <c r="L27" s="48"/>
      <c r="N27" s="7"/>
    </row>
    <row r="28" spans="2:14" ht="15.75">
      <c r="B28"/>
      <c r="C28"/>
      <c r="D28"/>
      <c r="E28"/>
      <c r="F28"/>
      <c r="G28"/>
      <c r="H28"/>
      <c r="I28"/>
      <c r="J28" s="2"/>
      <c r="K28" s="2"/>
      <c r="L28"/>
      <c r="M28" s="3"/>
      <c r="N28" s="7"/>
    </row>
    <row r="29" spans="2:14">
      <c r="B29"/>
      <c r="C29"/>
      <c r="D29"/>
      <c r="E29"/>
      <c r="F29"/>
      <c r="G29"/>
      <c r="H29"/>
    </row>
    <row r="30" spans="2:14" ht="15.75">
      <c r="B30" s="82"/>
      <c r="C30" s="82"/>
      <c r="D30"/>
      <c r="E30" s="199"/>
      <c r="F30" s="199"/>
      <c r="G30" s="199"/>
      <c r="H30" s="2"/>
      <c r="I30"/>
      <c r="J30" s="200"/>
      <c r="K30" s="200"/>
      <c r="L30" s="82"/>
      <c r="M30" s="48"/>
      <c r="N30"/>
    </row>
    <row r="31" spans="2:14" ht="18.75">
      <c r="B31" s="364" t="str">
        <f>SubjectDetails!$A$24</f>
        <v>Dr. Ravi Chourasiya</v>
      </c>
      <c r="C31" s="364"/>
      <c r="D31" s="146"/>
      <c r="E31" s="363" t="str">
        <f>SubjectDetails!$E$24</f>
        <v>Dr. Ashwini Chavan</v>
      </c>
      <c r="F31" s="363"/>
      <c r="G31" s="363"/>
      <c r="H31" s="91"/>
      <c r="I31" s="365" t="str">
        <f>SubjectDetails!$H$24</f>
        <v>Dr. Priyanka Singh</v>
      </c>
      <c r="J31" s="365"/>
      <c r="K31" s="365"/>
      <c r="L31" s="82"/>
      <c r="M31" s="48"/>
      <c r="N31" s="7"/>
    </row>
    <row r="32" spans="2:14" ht="18.75">
      <c r="B32" s="365" t="str">
        <f>SubjectDetails!$A$25</f>
        <v>(College Examination Officer)</v>
      </c>
      <c r="C32" s="365"/>
      <c r="D32" s="146"/>
      <c r="E32" s="365" t="str">
        <f>SubjectDetails!$E$25</f>
        <v>HOD (MCA)</v>
      </c>
      <c r="F32" s="365"/>
      <c r="G32" s="365"/>
      <c r="H32" s="146"/>
      <c r="I32" s="366" t="str">
        <f>SubjectDetails!$H$25</f>
        <v>Director</v>
      </c>
      <c r="J32" s="366"/>
      <c r="K32" s="366"/>
    </row>
    <row r="34" spans="2:8" ht="15.75">
      <c r="B34" s="199"/>
      <c r="C34" s="199"/>
      <c r="D34" s="199"/>
      <c r="E34"/>
      <c r="F34" s="202"/>
      <c r="G34" s="202"/>
      <c r="H34"/>
    </row>
    <row r="35" spans="2:8" ht="15.75">
      <c r="B35" s="199"/>
      <c r="C35" s="199"/>
      <c r="D35" s="199"/>
      <c r="E35"/>
      <c r="F35" s="202"/>
      <c r="G35" s="202"/>
      <c r="H35"/>
    </row>
  </sheetData>
  <mergeCells count="23">
    <mergeCell ref="B34:D34"/>
    <mergeCell ref="F34:G34"/>
    <mergeCell ref="J30:K30"/>
    <mergeCell ref="B35:D35"/>
    <mergeCell ref="F35:G35"/>
    <mergeCell ref="E31:G31"/>
    <mergeCell ref="B31:C31"/>
    <mergeCell ref="B32:C32"/>
    <mergeCell ref="E32:G32"/>
    <mergeCell ref="I31:K31"/>
    <mergeCell ref="I32:K32"/>
    <mergeCell ref="B1:K1"/>
    <mergeCell ref="B2:K2"/>
    <mergeCell ref="B3:K3"/>
    <mergeCell ref="E30:G30"/>
    <mergeCell ref="J26:K26"/>
    <mergeCell ref="J27:K27"/>
    <mergeCell ref="B10:C10"/>
    <mergeCell ref="B4:K4"/>
    <mergeCell ref="B9:K9"/>
    <mergeCell ref="B7:G7"/>
    <mergeCell ref="B8:G8"/>
    <mergeCell ref="B6:G6"/>
  </mergeCells>
  <pageMargins left="0.7" right="0.7" top="0.75" bottom="0.75" header="0.3" footer="0.3"/>
  <pageSetup scale="80" orientation="landscape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3"/>
  <sheetViews>
    <sheetView topLeftCell="A112" workbookViewId="0">
      <selection activeCell="E116" sqref="E116"/>
    </sheetView>
  </sheetViews>
  <sheetFormatPr defaultColWidth="12.7109375" defaultRowHeight="15.75"/>
  <cols>
    <col min="1" max="1" width="9.7109375" style="1" customWidth="1"/>
    <col min="2" max="2" width="12.7109375" style="1" customWidth="1"/>
    <col min="3" max="3" width="44.28515625" style="1" bestFit="1" customWidth="1"/>
    <col min="4" max="7" width="7.28515625" style="181" customWidth="1"/>
    <col min="8" max="11" width="8.28515625" style="181" customWidth="1"/>
    <col min="12" max="12" width="14.5703125" style="3" customWidth="1"/>
    <col min="13" max="16384" width="12.7109375" style="7"/>
  </cols>
  <sheetData>
    <row r="1" spans="1:16" ht="15.75" customHeight="1">
      <c r="A1" s="192" t="s">
        <v>73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</row>
    <row r="2" spans="1:16" ht="15.75" customHeight="1">
      <c r="A2" s="368" t="s">
        <v>74</v>
      </c>
      <c r="B2" s="368"/>
      <c r="C2" s="368"/>
      <c r="D2" s="368"/>
      <c r="E2" s="368"/>
      <c r="F2" s="368"/>
      <c r="G2" s="368"/>
      <c r="H2" s="368"/>
      <c r="I2" s="368"/>
      <c r="J2" s="368"/>
      <c r="K2" s="368"/>
      <c r="L2" s="368"/>
    </row>
    <row r="3" spans="1:16" ht="15.75" customHeight="1">
      <c r="A3" s="194" t="s">
        <v>75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</row>
    <row r="4" spans="1:16" ht="15.75" customHeight="1" thickBot="1">
      <c r="A4" s="194" t="s">
        <v>9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</row>
    <row r="5" spans="1:16" s="38" customFormat="1" ht="25.5">
      <c r="A5" s="369" t="s">
        <v>119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1"/>
    </row>
    <row r="6" spans="1:16" s="38" customFormat="1" ht="18" customHeight="1">
      <c r="A6" s="372" t="str">
        <f>CONCATENATE(Class," ", spl)</f>
        <v xml:space="preserve">MCA I SEM I AY 2023-24 </v>
      </c>
      <c r="B6" s="373"/>
      <c r="C6" s="374"/>
      <c r="D6" s="372" t="s">
        <v>234</v>
      </c>
      <c r="E6" s="373"/>
      <c r="F6" s="373"/>
      <c r="G6" s="373"/>
      <c r="H6" s="373"/>
      <c r="I6" s="373"/>
      <c r="J6" s="373"/>
      <c r="K6" s="373"/>
      <c r="L6" s="374"/>
      <c r="P6" s="67"/>
    </row>
    <row r="7" spans="1:16" ht="18" customHeight="1">
      <c r="A7" s="251" t="s">
        <v>0</v>
      </c>
      <c r="B7" s="251" t="s">
        <v>6</v>
      </c>
      <c r="C7" s="251" t="s">
        <v>1</v>
      </c>
      <c r="D7" s="251"/>
      <c r="E7" s="251"/>
      <c r="F7" s="251"/>
      <c r="G7" s="251"/>
      <c r="H7" s="251"/>
      <c r="I7" s="251"/>
      <c r="J7" s="251"/>
      <c r="K7" s="251"/>
      <c r="L7" s="250" t="s">
        <v>49</v>
      </c>
      <c r="M7" s="38"/>
      <c r="N7" s="38"/>
      <c r="P7" s="67"/>
    </row>
    <row r="8" spans="1:16" ht="18" customHeight="1">
      <c r="A8" s="251"/>
      <c r="B8" s="251"/>
      <c r="C8" s="251"/>
      <c r="D8" s="180" t="s">
        <v>2</v>
      </c>
      <c r="E8" s="180" t="s">
        <v>3</v>
      </c>
      <c r="F8" s="180" t="s">
        <v>4</v>
      </c>
      <c r="G8" s="180" t="s">
        <v>10</v>
      </c>
      <c r="H8" s="180" t="s">
        <v>12</v>
      </c>
      <c r="I8" s="180"/>
      <c r="J8" s="180"/>
      <c r="K8" s="180"/>
      <c r="L8" s="250"/>
      <c r="M8" s="38"/>
      <c r="N8" s="38"/>
      <c r="P8" s="67"/>
    </row>
    <row r="9" spans="1:16" ht="18" customHeight="1">
      <c r="A9" s="251"/>
      <c r="B9" s="251"/>
      <c r="C9" s="251"/>
      <c r="D9" s="180">
        <v>5</v>
      </c>
      <c r="E9" s="180">
        <v>5</v>
      </c>
      <c r="F9" s="180">
        <v>5</v>
      </c>
      <c r="G9" s="180">
        <v>5</v>
      </c>
      <c r="H9" s="180">
        <v>5</v>
      </c>
      <c r="I9" s="180"/>
      <c r="J9" s="180"/>
      <c r="K9" s="180"/>
      <c r="L9" s="180">
        <f>SUM(D9:K9)</f>
        <v>25</v>
      </c>
      <c r="M9" s="38"/>
      <c r="N9" s="38"/>
      <c r="P9" s="67"/>
    </row>
    <row r="10" spans="1:16" ht="18" customHeight="1">
      <c r="A10" s="179">
        <v>1</v>
      </c>
      <c r="B10" s="158" t="s">
        <v>235</v>
      </c>
      <c r="C10" s="159" t="s">
        <v>124</v>
      </c>
      <c r="D10" s="54">
        <v>4</v>
      </c>
      <c r="E10" s="54">
        <v>4</v>
      </c>
      <c r="F10" s="73">
        <v>2</v>
      </c>
      <c r="G10" s="73">
        <v>5</v>
      </c>
      <c r="H10" s="54">
        <v>5</v>
      </c>
      <c r="I10" s="54"/>
      <c r="J10" s="54"/>
      <c r="K10" s="54"/>
      <c r="L10" s="55">
        <f>IF(F10&lt;&gt;"AB",SUM(D10:K10),"AB")</f>
        <v>20</v>
      </c>
      <c r="M10" s="38"/>
      <c r="N10" s="38"/>
      <c r="P10" s="67"/>
    </row>
    <row r="11" spans="1:16" ht="18" customHeight="1">
      <c r="A11" s="179">
        <v>2</v>
      </c>
      <c r="B11" s="158">
        <v>22102</v>
      </c>
      <c r="C11" s="159" t="s">
        <v>125</v>
      </c>
      <c r="D11" s="54">
        <v>4</v>
      </c>
      <c r="E11" s="54">
        <v>4</v>
      </c>
      <c r="F11" s="73">
        <v>4</v>
      </c>
      <c r="G11" s="73">
        <v>4</v>
      </c>
      <c r="H11" s="54">
        <v>4</v>
      </c>
      <c r="I11" s="54"/>
      <c r="J11" s="54"/>
      <c r="K11" s="54"/>
      <c r="L11" s="55">
        <f t="shared" ref="L11:L74" si="0">IF(F11&lt;&gt;"AB",SUM(D11:K11),"AB")</f>
        <v>20</v>
      </c>
      <c r="M11" s="38"/>
      <c r="N11" s="38"/>
      <c r="P11" s="67"/>
    </row>
    <row r="12" spans="1:16" ht="18" customHeight="1">
      <c r="A12" s="179">
        <v>3</v>
      </c>
      <c r="B12" s="158">
        <v>22103</v>
      </c>
      <c r="C12" s="159" t="s">
        <v>126</v>
      </c>
      <c r="D12" s="54">
        <v>4</v>
      </c>
      <c r="E12" s="54">
        <v>5</v>
      </c>
      <c r="F12" s="73">
        <v>4</v>
      </c>
      <c r="G12" s="73">
        <v>5</v>
      </c>
      <c r="H12" s="54">
        <v>5</v>
      </c>
      <c r="I12" s="54"/>
      <c r="J12" s="54"/>
      <c r="K12" s="54"/>
      <c r="L12" s="55">
        <f t="shared" si="0"/>
        <v>23</v>
      </c>
      <c r="M12" s="38"/>
      <c r="N12" s="38"/>
      <c r="P12" s="67"/>
    </row>
    <row r="13" spans="1:16" ht="18" customHeight="1">
      <c r="A13" s="179">
        <v>4</v>
      </c>
      <c r="B13" s="158">
        <v>22104</v>
      </c>
      <c r="C13" s="159" t="s">
        <v>127</v>
      </c>
      <c r="D13" s="54">
        <v>5</v>
      </c>
      <c r="E13" s="54">
        <v>5</v>
      </c>
      <c r="F13" s="73">
        <v>4</v>
      </c>
      <c r="G13" s="73">
        <v>5</v>
      </c>
      <c r="H13" s="54">
        <v>4</v>
      </c>
      <c r="I13" s="54"/>
      <c r="J13" s="54"/>
      <c r="K13" s="54"/>
      <c r="L13" s="55">
        <f t="shared" si="0"/>
        <v>23</v>
      </c>
      <c r="M13" s="38"/>
      <c r="N13" s="38"/>
      <c r="P13" s="67"/>
    </row>
    <row r="14" spans="1:16" ht="18" customHeight="1">
      <c r="A14" s="179">
        <v>5</v>
      </c>
      <c r="B14" s="158">
        <v>22105</v>
      </c>
      <c r="C14" s="159" t="s">
        <v>128</v>
      </c>
      <c r="D14" s="54">
        <v>4</v>
      </c>
      <c r="E14" s="54">
        <v>4</v>
      </c>
      <c r="F14" s="73">
        <v>5</v>
      </c>
      <c r="G14" s="73">
        <v>5</v>
      </c>
      <c r="H14" s="54">
        <v>4</v>
      </c>
      <c r="I14" s="54"/>
      <c r="J14" s="54"/>
      <c r="K14" s="54"/>
      <c r="L14" s="55">
        <f t="shared" si="0"/>
        <v>22</v>
      </c>
      <c r="M14" s="38"/>
      <c r="N14" s="38"/>
      <c r="P14" s="67"/>
    </row>
    <row r="15" spans="1:16" ht="18" customHeight="1">
      <c r="A15" s="179">
        <v>6</v>
      </c>
      <c r="B15" s="158">
        <v>22106</v>
      </c>
      <c r="C15" s="159" t="s">
        <v>129</v>
      </c>
      <c r="D15" s="54">
        <v>5</v>
      </c>
      <c r="E15" s="54">
        <v>4</v>
      </c>
      <c r="F15" s="73">
        <v>5</v>
      </c>
      <c r="G15" s="73">
        <v>4</v>
      </c>
      <c r="H15" s="54">
        <v>5</v>
      </c>
      <c r="I15" s="54"/>
      <c r="J15" s="54"/>
      <c r="K15" s="54"/>
      <c r="L15" s="55">
        <f t="shared" si="0"/>
        <v>23</v>
      </c>
      <c r="M15" s="38"/>
      <c r="N15" s="38"/>
      <c r="P15" s="67"/>
    </row>
    <row r="16" spans="1:16" ht="18" customHeight="1">
      <c r="A16" s="179">
        <v>7</v>
      </c>
      <c r="B16" s="158">
        <v>22107</v>
      </c>
      <c r="C16" s="159" t="s">
        <v>130</v>
      </c>
      <c r="D16" s="54">
        <v>5</v>
      </c>
      <c r="E16" s="54">
        <v>5</v>
      </c>
      <c r="F16" s="73">
        <v>5</v>
      </c>
      <c r="G16" s="73">
        <v>5</v>
      </c>
      <c r="H16" s="54">
        <v>5</v>
      </c>
      <c r="I16" s="54"/>
      <c r="J16" s="54"/>
      <c r="K16" s="54"/>
      <c r="L16" s="55">
        <f t="shared" si="0"/>
        <v>25</v>
      </c>
      <c r="M16" s="38"/>
      <c r="N16" s="38"/>
      <c r="P16" s="67"/>
    </row>
    <row r="17" spans="1:16" ht="18" customHeight="1">
      <c r="A17" s="179">
        <v>8</v>
      </c>
      <c r="B17" s="158">
        <v>22108</v>
      </c>
      <c r="C17" s="159" t="s">
        <v>131</v>
      </c>
      <c r="D17" s="54">
        <v>5</v>
      </c>
      <c r="E17" s="54">
        <v>4</v>
      </c>
      <c r="F17" s="73">
        <v>5</v>
      </c>
      <c r="G17" s="73">
        <v>5</v>
      </c>
      <c r="H17" s="54">
        <v>4</v>
      </c>
      <c r="I17" s="54"/>
      <c r="J17" s="54"/>
      <c r="K17" s="54"/>
      <c r="L17" s="55">
        <f t="shared" si="0"/>
        <v>23</v>
      </c>
      <c r="M17" s="38"/>
      <c r="N17" s="38"/>
      <c r="P17" s="67"/>
    </row>
    <row r="18" spans="1:16" ht="18" customHeight="1">
      <c r="A18" s="179">
        <v>9</v>
      </c>
      <c r="B18" s="158">
        <v>22109</v>
      </c>
      <c r="C18" s="159" t="s">
        <v>132</v>
      </c>
      <c r="D18" s="54">
        <v>4</v>
      </c>
      <c r="E18" s="54">
        <v>4</v>
      </c>
      <c r="F18" s="73">
        <v>4</v>
      </c>
      <c r="G18" s="73">
        <v>5</v>
      </c>
      <c r="H18" s="54">
        <v>5</v>
      </c>
      <c r="I18" s="54"/>
      <c r="J18" s="54"/>
      <c r="K18" s="54"/>
      <c r="L18" s="55">
        <f t="shared" si="0"/>
        <v>22</v>
      </c>
      <c r="M18" s="38"/>
      <c r="N18" s="38"/>
      <c r="P18" s="67"/>
    </row>
    <row r="19" spans="1:16" ht="18" customHeight="1">
      <c r="A19" s="179">
        <v>10</v>
      </c>
      <c r="B19" s="158">
        <v>22110</v>
      </c>
      <c r="C19" s="159" t="s">
        <v>133</v>
      </c>
      <c r="D19" s="54">
        <v>5</v>
      </c>
      <c r="E19" s="54">
        <v>4</v>
      </c>
      <c r="F19" s="73">
        <v>4</v>
      </c>
      <c r="G19" s="73">
        <v>4</v>
      </c>
      <c r="H19" s="54">
        <v>5</v>
      </c>
      <c r="I19" s="54"/>
      <c r="J19" s="54"/>
      <c r="K19" s="54"/>
      <c r="L19" s="55">
        <f t="shared" si="0"/>
        <v>22</v>
      </c>
      <c r="M19" s="38"/>
      <c r="N19" s="38"/>
      <c r="P19" s="67"/>
    </row>
    <row r="20" spans="1:16" ht="18" customHeight="1">
      <c r="A20" s="179">
        <v>11</v>
      </c>
      <c r="B20" s="158">
        <v>22111</v>
      </c>
      <c r="C20" s="159" t="s">
        <v>134</v>
      </c>
      <c r="D20" s="54">
        <v>4</v>
      </c>
      <c r="E20" s="54">
        <v>4</v>
      </c>
      <c r="F20" s="73">
        <v>5</v>
      </c>
      <c r="G20" s="73">
        <v>4</v>
      </c>
      <c r="H20" s="54">
        <v>4</v>
      </c>
      <c r="I20" s="54"/>
      <c r="J20" s="54"/>
      <c r="K20" s="54"/>
      <c r="L20" s="55">
        <f t="shared" si="0"/>
        <v>21</v>
      </c>
      <c r="M20" s="38"/>
      <c r="N20" s="38"/>
      <c r="P20" s="67"/>
    </row>
    <row r="21" spans="1:16" ht="18" customHeight="1">
      <c r="A21" s="179">
        <v>12</v>
      </c>
      <c r="B21" s="158">
        <v>22112</v>
      </c>
      <c r="C21" s="159" t="s">
        <v>135</v>
      </c>
      <c r="D21" s="54">
        <v>2</v>
      </c>
      <c r="E21" s="54">
        <v>4</v>
      </c>
      <c r="F21" s="73">
        <v>4</v>
      </c>
      <c r="G21" s="73">
        <v>4</v>
      </c>
      <c r="H21" s="54">
        <v>5</v>
      </c>
      <c r="I21" s="54"/>
      <c r="J21" s="54"/>
      <c r="K21" s="54"/>
      <c r="L21" s="55">
        <f t="shared" si="0"/>
        <v>19</v>
      </c>
      <c r="M21" s="38"/>
      <c r="N21" s="38"/>
      <c r="P21" s="67"/>
    </row>
    <row r="22" spans="1:16" ht="18" customHeight="1">
      <c r="A22" s="179">
        <v>13</v>
      </c>
      <c r="B22" s="158">
        <v>22113</v>
      </c>
      <c r="C22" s="159" t="s">
        <v>136</v>
      </c>
      <c r="D22" s="54">
        <v>4</v>
      </c>
      <c r="E22" s="54">
        <v>5</v>
      </c>
      <c r="F22" s="73">
        <v>4</v>
      </c>
      <c r="G22" s="73">
        <v>5</v>
      </c>
      <c r="H22" s="54">
        <v>5</v>
      </c>
      <c r="I22" s="54"/>
      <c r="J22" s="54"/>
      <c r="K22" s="54"/>
      <c r="L22" s="55">
        <f t="shared" si="0"/>
        <v>23</v>
      </c>
      <c r="M22" s="38"/>
      <c r="N22" s="38"/>
      <c r="P22" s="67"/>
    </row>
    <row r="23" spans="1:16" ht="18" customHeight="1">
      <c r="A23" s="179">
        <v>14</v>
      </c>
      <c r="B23" s="158">
        <v>22114</v>
      </c>
      <c r="C23" s="159" t="s">
        <v>137</v>
      </c>
      <c r="D23" s="54">
        <v>4</v>
      </c>
      <c r="E23" s="54">
        <v>4</v>
      </c>
      <c r="F23" s="73">
        <v>5</v>
      </c>
      <c r="G23" s="73">
        <v>2</v>
      </c>
      <c r="H23" s="54">
        <v>2</v>
      </c>
      <c r="I23" s="54"/>
      <c r="J23" s="54"/>
      <c r="K23" s="54"/>
      <c r="L23" s="55">
        <f t="shared" si="0"/>
        <v>17</v>
      </c>
      <c r="M23" s="38"/>
      <c r="N23" s="38"/>
      <c r="P23" s="67"/>
    </row>
    <row r="24" spans="1:16" ht="18" customHeight="1">
      <c r="A24" s="179">
        <v>15</v>
      </c>
      <c r="B24" s="158">
        <v>22115</v>
      </c>
      <c r="C24" s="159" t="s">
        <v>138</v>
      </c>
      <c r="D24" s="54">
        <v>4</v>
      </c>
      <c r="E24" s="54">
        <v>4</v>
      </c>
      <c r="F24" s="73">
        <v>4</v>
      </c>
      <c r="G24" s="73">
        <v>1</v>
      </c>
      <c r="H24" s="54">
        <v>4</v>
      </c>
      <c r="I24" s="54"/>
      <c r="J24" s="54"/>
      <c r="K24" s="54"/>
      <c r="L24" s="55">
        <f t="shared" si="0"/>
        <v>17</v>
      </c>
      <c r="M24" s="38"/>
      <c r="N24" s="38"/>
      <c r="P24" s="67"/>
    </row>
    <row r="25" spans="1:16" ht="18" customHeight="1">
      <c r="A25" s="179">
        <v>16</v>
      </c>
      <c r="B25" s="158">
        <v>22116</v>
      </c>
      <c r="C25" s="159" t="s">
        <v>139</v>
      </c>
      <c r="D25" s="54">
        <v>5</v>
      </c>
      <c r="E25" s="54">
        <v>4</v>
      </c>
      <c r="F25" s="73">
        <v>5</v>
      </c>
      <c r="G25" s="73">
        <v>5</v>
      </c>
      <c r="H25" s="54">
        <v>5</v>
      </c>
      <c r="I25" s="54"/>
      <c r="J25" s="54"/>
      <c r="K25" s="54"/>
      <c r="L25" s="55">
        <f t="shared" si="0"/>
        <v>24</v>
      </c>
      <c r="M25" s="38"/>
      <c r="N25" s="38"/>
      <c r="P25" s="67"/>
    </row>
    <row r="26" spans="1:16" ht="18" customHeight="1">
      <c r="A26" s="179">
        <v>17</v>
      </c>
      <c r="B26" s="158">
        <v>22117</v>
      </c>
      <c r="C26" s="159" t="s">
        <v>140</v>
      </c>
      <c r="D26" s="54">
        <v>4</v>
      </c>
      <c r="E26" s="54">
        <v>4</v>
      </c>
      <c r="F26" s="73">
        <v>4</v>
      </c>
      <c r="G26" s="73">
        <v>4</v>
      </c>
      <c r="H26" s="54">
        <v>4</v>
      </c>
      <c r="I26" s="54"/>
      <c r="J26" s="54"/>
      <c r="K26" s="54"/>
      <c r="L26" s="55">
        <f t="shared" si="0"/>
        <v>20</v>
      </c>
      <c r="M26" s="38"/>
      <c r="N26" s="38"/>
      <c r="P26" s="67"/>
    </row>
    <row r="27" spans="1:16" ht="18" customHeight="1">
      <c r="A27" s="179">
        <v>18</v>
      </c>
      <c r="B27" s="158">
        <v>22118</v>
      </c>
      <c r="C27" s="159" t="s">
        <v>141</v>
      </c>
      <c r="D27" s="54">
        <v>4</v>
      </c>
      <c r="E27" s="54">
        <v>4</v>
      </c>
      <c r="F27" s="73">
        <v>2</v>
      </c>
      <c r="G27" s="73">
        <v>5</v>
      </c>
      <c r="H27" s="54">
        <v>5</v>
      </c>
      <c r="I27" s="54"/>
      <c r="J27" s="54"/>
      <c r="K27" s="54"/>
      <c r="L27" s="55">
        <f t="shared" si="0"/>
        <v>20</v>
      </c>
      <c r="M27" s="38"/>
      <c r="N27" s="38"/>
      <c r="P27" s="67"/>
    </row>
    <row r="28" spans="1:16" ht="18" customHeight="1">
      <c r="A28" s="179">
        <v>19</v>
      </c>
      <c r="B28" s="158">
        <v>22119</v>
      </c>
      <c r="C28" s="159" t="s">
        <v>142</v>
      </c>
      <c r="D28" s="54">
        <v>4</v>
      </c>
      <c r="E28" s="54">
        <v>4</v>
      </c>
      <c r="F28" s="73">
        <v>4</v>
      </c>
      <c r="G28" s="73">
        <v>4</v>
      </c>
      <c r="H28" s="54">
        <v>4</v>
      </c>
      <c r="I28" s="54"/>
      <c r="J28" s="54"/>
      <c r="K28" s="54"/>
      <c r="L28" s="55">
        <f t="shared" si="0"/>
        <v>20</v>
      </c>
      <c r="M28" s="38"/>
      <c r="N28" s="38"/>
      <c r="P28" s="67"/>
    </row>
    <row r="29" spans="1:16" ht="18" customHeight="1">
      <c r="A29" s="179">
        <v>20</v>
      </c>
      <c r="B29" s="158">
        <v>22120</v>
      </c>
      <c r="C29" s="159" t="s">
        <v>143</v>
      </c>
      <c r="D29" s="54">
        <v>4</v>
      </c>
      <c r="E29" s="54">
        <v>5</v>
      </c>
      <c r="F29" s="73">
        <v>4</v>
      </c>
      <c r="G29" s="73">
        <v>5</v>
      </c>
      <c r="H29" s="54">
        <v>5</v>
      </c>
      <c r="I29" s="54"/>
      <c r="J29" s="54"/>
      <c r="K29" s="54"/>
      <c r="L29" s="55">
        <f t="shared" si="0"/>
        <v>23</v>
      </c>
      <c r="M29" s="38"/>
      <c r="N29" s="38"/>
      <c r="P29" s="67"/>
    </row>
    <row r="30" spans="1:16" ht="18" customHeight="1">
      <c r="A30" s="179">
        <v>21</v>
      </c>
      <c r="B30" s="158">
        <v>22121</v>
      </c>
      <c r="C30" s="159" t="s">
        <v>144</v>
      </c>
      <c r="D30" s="54">
        <v>5</v>
      </c>
      <c r="E30" s="54">
        <v>5</v>
      </c>
      <c r="F30" s="73">
        <v>4</v>
      </c>
      <c r="G30" s="73">
        <v>5</v>
      </c>
      <c r="H30" s="54">
        <v>4</v>
      </c>
      <c r="I30" s="54"/>
      <c r="J30" s="54"/>
      <c r="K30" s="54"/>
      <c r="L30" s="55">
        <f t="shared" si="0"/>
        <v>23</v>
      </c>
      <c r="M30" s="38"/>
      <c r="N30" s="38"/>
      <c r="P30" s="67"/>
    </row>
    <row r="31" spans="1:16" ht="18" customHeight="1">
      <c r="A31" s="179">
        <v>22</v>
      </c>
      <c r="B31" s="158">
        <v>22122</v>
      </c>
      <c r="C31" s="159" t="s">
        <v>145</v>
      </c>
      <c r="D31" s="54">
        <v>4</v>
      </c>
      <c r="E31" s="54">
        <v>4</v>
      </c>
      <c r="F31" s="73">
        <v>5</v>
      </c>
      <c r="G31" s="73">
        <v>5</v>
      </c>
      <c r="H31" s="54">
        <v>4</v>
      </c>
      <c r="I31" s="54"/>
      <c r="J31" s="54"/>
      <c r="K31" s="54"/>
      <c r="L31" s="55">
        <f t="shared" si="0"/>
        <v>22</v>
      </c>
      <c r="M31" s="38"/>
      <c r="N31" s="38"/>
      <c r="P31" s="67"/>
    </row>
    <row r="32" spans="1:16" ht="18" customHeight="1">
      <c r="A32" s="179">
        <v>23</v>
      </c>
      <c r="B32" s="158">
        <v>22123</v>
      </c>
      <c r="C32" s="159" t="s">
        <v>146</v>
      </c>
      <c r="D32" s="54">
        <v>5</v>
      </c>
      <c r="E32" s="54">
        <v>4</v>
      </c>
      <c r="F32" s="73">
        <v>5</v>
      </c>
      <c r="G32" s="73">
        <v>4</v>
      </c>
      <c r="H32" s="54">
        <v>5</v>
      </c>
      <c r="I32" s="54"/>
      <c r="J32" s="54"/>
      <c r="K32" s="54"/>
      <c r="L32" s="55">
        <f t="shared" si="0"/>
        <v>23</v>
      </c>
      <c r="M32" s="38"/>
      <c r="N32" s="38"/>
      <c r="P32" s="67"/>
    </row>
    <row r="33" spans="1:16" ht="18" customHeight="1">
      <c r="A33" s="179">
        <v>24</v>
      </c>
      <c r="B33" s="158">
        <v>22124</v>
      </c>
      <c r="C33" s="159" t="s">
        <v>147</v>
      </c>
      <c r="D33" s="54">
        <v>5</v>
      </c>
      <c r="E33" s="54">
        <v>5</v>
      </c>
      <c r="F33" s="73">
        <v>5</v>
      </c>
      <c r="G33" s="73">
        <v>5</v>
      </c>
      <c r="H33" s="54">
        <v>5</v>
      </c>
      <c r="I33" s="54"/>
      <c r="J33" s="54"/>
      <c r="K33" s="54"/>
      <c r="L33" s="55">
        <f t="shared" si="0"/>
        <v>25</v>
      </c>
      <c r="M33" s="38"/>
      <c r="N33" s="38"/>
      <c r="P33" s="67"/>
    </row>
    <row r="34" spans="1:16" ht="18" customHeight="1">
      <c r="A34" s="179">
        <v>25</v>
      </c>
      <c r="B34" s="158">
        <v>22125</v>
      </c>
      <c r="C34" s="159" t="s">
        <v>148</v>
      </c>
      <c r="D34" s="54">
        <v>5</v>
      </c>
      <c r="E34" s="54">
        <v>4</v>
      </c>
      <c r="F34" s="73">
        <v>5</v>
      </c>
      <c r="G34" s="73">
        <v>5</v>
      </c>
      <c r="H34" s="54">
        <v>4</v>
      </c>
      <c r="I34" s="54"/>
      <c r="J34" s="54"/>
      <c r="K34" s="54"/>
      <c r="L34" s="55">
        <f t="shared" si="0"/>
        <v>23</v>
      </c>
      <c r="M34" s="38"/>
      <c r="N34" s="38"/>
      <c r="P34" s="67"/>
    </row>
    <row r="35" spans="1:16" ht="18" customHeight="1">
      <c r="A35" s="179">
        <v>26</v>
      </c>
      <c r="B35" s="158">
        <v>22126</v>
      </c>
      <c r="C35" s="159" t="s">
        <v>149</v>
      </c>
      <c r="D35" s="54">
        <v>4</v>
      </c>
      <c r="E35" s="54">
        <v>5</v>
      </c>
      <c r="F35" s="73">
        <v>4</v>
      </c>
      <c r="G35" s="73">
        <v>5</v>
      </c>
      <c r="H35" s="54">
        <v>5</v>
      </c>
      <c r="I35" s="54"/>
      <c r="J35" s="54"/>
      <c r="K35" s="54"/>
      <c r="L35" s="55">
        <f t="shared" si="0"/>
        <v>23</v>
      </c>
      <c r="M35" s="38"/>
      <c r="N35" s="38"/>
      <c r="P35" s="67"/>
    </row>
    <row r="36" spans="1:16" ht="18" customHeight="1">
      <c r="A36" s="179">
        <v>27</v>
      </c>
      <c r="B36" s="158">
        <v>22127</v>
      </c>
      <c r="C36" s="159" t="s">
        <v>150</v>
      </c>
      <c r="D36" s="54">
        <v>4</v>
      </c>
      <c r="E36" s="54">
        <v>5</v>
      </c>
      <c r="F36" s="73">
        <v>4</v>
      </c>
      <c r="G36" s="73">
        <v>4</v>
      </c>
      <c r="H36" s="54">
        <v>5</v>
      </c>
      <c r="I36" s="54"/>
      <c r="J36" s="54"/>
      <c r="K36" s="54"/>
      <c r="L36" s="55">
        <f t="shared" si="0"/>
        <v>22</v>
      </c>
      <c r="M36" s="38"/>
      <c r="N36" s="38"/>
      <c r="P36" s="67"/>
    </row>
    <row r="37" spans="1:16" ht="18" customHeight="1">
      <c r="A37" s="179">
        <v>28</v>
      </c>
      <c r="B37" s="158">
        <v>22128</v>
      </c>
      <c r="C37" s="159" t="s">
        <v>151</v>
      </c>
      <c r="D37" s="54">
        <v>4</v>
      </c>
      <c r="E37" s="54">
        <v>4</v>
      </c>
      <c r="F37" s="73">
        <v>2</v>
      </c>
      <c r="G37" s="73">
        <v>5</v>
      </c>
      <c r="H37" s="54">
        <v>5</v>
      </c>
      <c r="I37" s="54"/>
      <c r="J37" s="54"/>
      <c r="K37" s="54"/>
      <c r="L37" s="55">
        <f t="shared" si="0"/>
        <v>20</v>
      </c>
      <c r="M37" s="38"/>
      <c r="N37" s="38"/>
      <c r="P37" s="67"/>
    </row>
    <row r="38" spans="1:16" ht="18" customHeight="1">
      <c r="A38" s="179">
        <v>29</v>
      </c>
      <c r="B38" s="158">
        <v>22129</v>
      </c>
      <c r="C38" s="159" t="s">
        <v>152</v>
      </c>
      <c r="D38" s="54">
        <v>4</v>
      </c>
      <c r="E38" s="54">
        <v>4</v>
      </c>
      <c r="F38" s="73">
        <v>4</v>
      </c>
      <c r="G38" s="73">
        <v>4</v>
      </c>
      <c r="H38" s="54">
        <v>4</v>
      </c>
      <c r="I38" s="54"/>
      <c r="J38" s="54"/>
      <c r="K38" s="54"/>
      <c r="L38" s="55">
        <f t="shared" si="0"/>
        <v>20</v>
      </c>
      <c r="M38" s="38"/>
      <c r="N38" s="38"/>
      <c r="P38" s="67"/>
    </row>
    <row r="39" spans="1:16" ht="18" customHeight="1">
      <c r="A39" s="179">
        <v>30</v>
      </c>
      <c r="B39" s="158">
        <v>22130</v>
      </c>
      <c r="C39" s="159" t="s">
        <v>153</v>
      </c>
      <c r="D39" s="54">
        <v>4</v>
      </c>
      <c r="E39" s="54">
        <v>5</v>
      </c>
      <c r="F39" s="73">
        <v>4</v>
      </c>
      <c r="G39" s="73">
        <v>5</v>
      </c>
      <c r="H39" s="54">
        <v>5</v>
      </c>
      <c r="I39" s="54"/>
      <c r="J39" s="54"/>
      <c r="K39" s="54"/>
      <c r="L39" s="55">
        <f t="shared" si="0"/>
        <v>23</v>
      </c>
      <c r="M39" s="38"/>
      <c r="N39" s="38"/>
      <c r="P39" s="67"/>
    </row>
    <row r="40" spans="1:16" ht="18" customHeight="1">
      <c r="A40" s="179">
        <v>31</v>
      </c>
      <c r="B40" s="158">
        <v>22131</v>
      </c>
      <c r="C40" s="159" t="s">
        <v>154</v>
      </c>
      <c r="D40" s="54">
        <v>5</v>
      </c>
      <c r="E40" s="54">
        <v>5</v>
      </c>
      <c r="F40" s="73">
        <v>4</v>
      </c>
      <c r="G40" s="73">
        <v>5</v>
      </c>
      <c r="H40" s="54">
        <v>4</v>
      </c>
      <c r="I40" s="54"/>
      <c r="J40" s="54"/>
      <c r="K40" s="54"/>
      <c r="L40" s="55">
        <f t="shared" si="0"/>
        <v>23</v>
      </c>
      <c r="M40" s="38"/>
      <c r="N40" s="38"/>
      <c r="P40" s="67"/>
    </row>
    <row r="41" spans="1:16" ht="18" customHeight="1">
      <c r="A41" s="179">
        <v>32</v>
      </c>
      <c r="B41" s="158">
        <v>22132</v>
      </c>
      <c r="C41" s="159" t="s">
        <v>155</v>
      </c>
      <c r="D41" s="54">
        <v>4</v>
      </c>
      <c r="E41" s="54">
        <v>4</v>
      </c>
      <c r="F41" s="73">
        <v>5</v>
      </c>
      <c r="G41" s="73">
        <v>5</v>
      </c>
      <c r="H41" s="54">
        <v>4</v>
      </c>
      <c r="I41" s="54"/>
      <c r="J41" s="54"/>
      <c r="K41" s="54"/>
      <c r="L41" s="55">
        <f t="shared" si="0"/>
        <v>22</v>
      </c>
      <c r="M41" s="38"/>
      <c r="N41" s="38"/>
      <c r="P41" s="67"/>
    </row>
    <row r="42" spans="1:16" ht="18" customHeight="1">
      <c r="A42" s="179">
        <v>33</v>
      </c>
      <c r="B42" s="158">
        <v>22133</v>
      </c>
      <c r="C42" s="159" t="s">
        <v>156</v>
      </c>
      <c r="D42" s="54">
        <v>5</v>
      </c>
      <c r="E42" s="54">
        <v>4</v>
      </c>
      <c r="F42" s="73">
        <v>5</v>
      </c>
      <c r="G42" s="73">
        <v>4</v>
      </c>
      <c r="H42" s="54">
        <v>5</v>
      </c>
      <c r="I42" s="54"/>
      <c r="J42" s="54"/>
      <c r="K42" s="54"/>
      <c r="L42" s="55">
        <f t="shared" si="0"/>
        <v>23</v>
      </c>
      <c r="M42" s="38"/>
      <c r="N42" s="38"/>
      <c r="P42" s="67"/>
    </row>
    <row r="43" spans="1:16" ht="18" customHeight="1">
      <c r="A43" s="179">
        <v>34</v>
      </c>
      <c r="B43" s="158">
        <v>22134</v>
      </c>
      <c r="C43" s="159" t="s">
        <v>157</v>
      </c>
      <c r="D43" s="54">
        <v>5</v>
      </c>
      <c r="E43" s="54">
        <v>5</v>
      </c>
      <c r="F43" s="73">
        <v>5</v>
      </c>
      <c r="G43" s="73">
        <v>5</v>
      </c>
      <c r="H43" s="54">
        <v>5</v>
      </c>
      <c r="I43" s="54"/>
      <c r="J43" s="54"/>
      <c r="K43" s="54"/>
      <c r="L43" s="55">
        <f t="shared" si="0"/>
        <v>25</v>
      </c>
      <c r="M43" s="38"/>
      <c r="N43" s="38"/>
      <c r="P43" s="67"/>
    </row>
    <row r="44" spans="1:16" ht="18" customHeight="1">
      <c r="A44" s="179">
        <v>35</v>
      </c>
      <c r="B44" s="158">
        <v>22135</v>
      </c>
      <c r="C44" s="159" t="s">
        <v>158</v>
      </c>
      <c r="D44" s="54">
        <v>5</v>
      </c>
      <c r="E44" s="54">
        <v>4</v>
      </c>
      <c r="F44" s="73">
        <v>5</v>
      </c>
      <c r="G44" s="73">
        <v>5</v>
      </c>
      <c r="H44" s="54">
        <v>4</v>
      </c>
      <c r="I44" s="54"/>
      <c r="J44" s="54"/>
      <c r="K44" s="54"/>
      <c r="L44" s="55">
        <f t="shared" si="0"/>
        <v>23</v>
      </c>
      <c r="M44" s="38"/>
      <c r="N44" s="38"/>
      <c r="P44" s="67"/>
    </row>
    <row r="45" spans="1:16" ht="18" customHeight="1">
      <c r="A45" s="179">
        <v>36</v>
      </c>
      <c r="B45" s="158">
        <v>22136</v>
      </c>
      <c r="C45" s="159" t="s">
        <v>159</v>
      </c>
      <c r="D45" s="54">
        <v>4</v>
      </c>
      <c r="E45" s="54">
        <v>4</v>
      </c>
      <c r="F45" s="73">
        <v>4</v>
      </c>
      <c r="G45" s="73">
        <v>4</v>
      </c>
      <c r="H45" s="54">
        <v>4</v>
      </c>
      <c r="I45" s="54"/>
      <c r="J45" s="54"/>
      <c r="K45" s="54"/>
      <c r="L45" s="55">
        <f t="shared" si="0"/>
        <v>20</v>
      </c>
      <c r="M45" s="38"/>
      <c r="N45" s="38"/>
      <c r="P45" s="67"/>
    </row>
    <row r="46" spans="1:16" ht="18" customHeight="1">
      <c r="A46" s="179">
        <v>37</v>
      </c>
      <c r="B46" s="158">
        <v>22137</v>
      </c>
      <c r="C46" s="159" t="s">
        <v>160</v>
      </c>
      <c r="D46" s="54">
        <v>2</v>
      </c>
      <c r="E46" s="54">
        <v>4</v>
      </c>
      <c r="F46" s="73">
        <v>2</v>
      </c>
      <c r="G46" s="73">
        <v>4</v>
      </c>
      <c r="H46" s="54">
        <v>2</v>
      </c>
      <c r="I46" s="54"/>
      <c r="J46" s="54"/>
      <c r="K46" s="54"/>
      <c r="L46" s="55">
        <f t="shared" si="0"/>
        <v>14</v>
      </c>
      <c r="M46" s="38"/>
      <c r="N46" s="38"/>
      <c r="P46" s="67"/>
    </row>
    <row r="47" spans="1:16" ht="18" customHeight="1">
      <c r="A47" s="179">
        <v>38</v>
      </c>
      <c r="B47" s="158">
        <v>22138</v>
      </c>
      <c r="C47" s="159" t="s">
        <v>161</v>
      </c>
      <c r="D47" s="54">
        <v>4</v>
      </c>
      <c r="E47" s="54">
        <v>2</v>
      </c>
      <c r="F47" s="73">
        <v>5</v>
      </c>
      <c r="G47" s="73">
        <v>4</v>
      </c>
      <c r="H47" s="54">
        <v>2</v>
      </c>
      <c r="I47" s="54"/>
      <c r="J47" s="54"/>
      <c r="K47" s="54"/>
      <c r="L47" s="55">
        <f t="shared" si="0"/>
        <v>17</v>
      </c>
      <c r="M47" s="38"/>
      <c r="N47" s="38"/>
      <c r="P47" s="67"/>
    </row>
    <row r="48" spans="1:16" ht="18" customHeight="1">
      <c r="A48" s="179">
        <v>39</v>
      </c>
      <c r="B48" s="158">
        <v>22139</v>
      </c>
      <c r="C48" s="159" t="s">
        <v>162</v>
      </c>
      <c r="D48" s="54">
        <v>5</v>
      </c>
      <c r="E48" s="54">
        <v>2</v>
      </c>
      <c r="F48" s="73">
        <v>4</v>
      </c>
      <c r="G48" s="73">
        <v>4</v>
      </c>
      <c r="H48" s="54">
        <v>2</v>
      </c>
      <c r="I48" s="54"/>
      <c r="J48" s="54"/>
      <c r="K48" s="54"/>
      <c r="L48" s="55">
        <f t="shared" si="0"/>
        <v>17</v>
      </c>
      <c r="M48" s="38"/>
      <c r="N48" s="38"/>
      <c r="P48" s="67"/>
    </row>
    <row r="49" spans="1:16" ht="18" customHeight="1">
      <c r="A49" s="179">
        <v>40</v>
      </c>
      <c r="B49" s="158">
        <v>22140</v>
      </c>
      <c r="C49" s="159" t="s">
        <v>163</v>
      </c>
      <c r="D49" s="54">
        <v>5</v>
      </c>
      <c r="E49" s="54">
        <v>5</v>
      </c>
      <c r="F49" s="73">
        <v>5</v>
      </c>
      <c r="G49" s="73">
        <v>4</v>
      </c>
      <c r="H49" s="54">
        <v>5</v>
      </c>
      <c r="I49" s="54"/>
      <c r="J49" s="54"/>
      <c r="K49" s="54"/>
      <c r="L49" s="55">
        <f t="shared" si="0"/>
        <v>24</v>
      </c>
      <c r="M49" s="38"/>
      <c r="N49" s="38"/>
      <c r="P49" s="67"/>
    </row>
    <row r="50" spans="1:16" ht="18" customHeight="1">
      <c r="A50" s="179">
        <v>41</v>
      </c>
      <c r="B50" s="158">
        <v>22141</v>
      </c>
      <c r="C50" s="159" t="s">
        <v>164</v>
      </c>
      <c r="D50" s="54">
        <v>5</v>
      </c>
      <c r="E50" s="54">
        <v>2</v>
      </c>
      <c r="F50" s="73">
        <v>4</v>
      </c>
      <c r="G50" s="73">
        <v>4</v>
      </c>
      <c r="H50" s="54">
        <v>4</v>
      </c>
      <c r="I50" s="54"/>
      <c r="J50" s="54"/>
      <c r="K50" s="54"/>
      <c r="L50" s="55">
        <f t="shared" si="0"/>
        <v>19</v>
      </c>
      <c r="M50" s="38"/>
      <c r="N50" s="38"/>
      <c r="P50" s="67"/>
    </row>
    <row r="51" spans="1:16" ht="18" customHeight="1">
      <c r="A51" s="179">
        <v>42</v>
      </c>
      <c r="B51" s="158">
        <v>22142</v>
      </c>
      <c r="C51" s="159" t="s">
        <v>165</v>
      </c>
      <c r="D51" s="54">
        <v>2</v>
      </c>
      <c r="E51" s="54">
        <v>4</v>
      </c>
      <c r="F51" s="73">
        <v>4</v>
      </c>
      <c r="G51" s="73">
        <v>4</v>
      </c>
      <c r="H51" s="54">
        <v>5</v>
      </c>
      <c r="I51" s="54"/>
      <c r="J51" s="54"/>
      <c r="K51" s="54"/>
      <c r="L51" s="55">
        <f t="shared" si="0"/>
        <v>19</v>
      </c>
      <c r="M51" s="38"/>
      <c r="N51" s="38"/>
      <c r="P51" s="67"/>
    </row>
    <row r="52" spans="1:16" ht="18" customHeight="1">
      <c r="A52" s="179">
        <v>43</v>
      </c>
      <c r="B52" s="158">
        <v>22143</v>
      </c>
      <c r="C52" s="159" t="s">
        <v>166</v>
      </c>
      <c r="D52" s="54">
        <v>4</v>
      </c>
      <c r="E52" s="54">
        <v>4</v>
      </c>
      <c r="F52" s="73">
        <v>4</v>
      </c>
      <c r="G52" s="73">
        <v>4</v>
      </c>
      <c r="H52" s="54">
        <v>4</v>
      </c>
      <c r="I52" s="54"/>
      <c r="J52" s="54"/>
      <c r="K52" s="54"/>
      <c r="L52" s="55">
        <f t="shared" si="0"/>
        <v>20</v>
      </c>
      <c r="M52" s="38"/>
      <c r="N52" s="38"/>
      <c r="P52" s="67"/>
    </row>
    <row r="53" spans="1:16" ht="18" customHeight="1">
      <c r="A53" s="179">
        <v>44</v>
      </c>
      <c r="B53" s="158">
        <v>22144</v>
      </c>
      <c r="C53" s="159" t="s">
        <v>167</v>
      </c>
      <c r="D53" s="54">
        <v>5</v>
      </c>
      <c r="E53" s="54">
        <v>4</v>
      </c>
      <c r="F53" s="73">
        <v>4</v>
      </c>
      <c r="G53" s="73">
        <v>4</v>
      </c>
      <c r="H53" s="54">
        <v>4</v>
      </c>
      <c r="I53" s="54"/>
      <c r="J53" s="54"/>
      <c r="K53" s="54"/>
      <c r="L53" s="55">
        <f t="shared" si="0"/>
        <v>21</v>
      </c>
      <c r="M53" s="38"/>
      <c r="N53" s="38"/>
      <c r="P53" s="67"/>
    </row>
    <row r="54" spans="1:16" ht="18" customHeight="1">
      <c r="A54" s="179">
        <v>45</v>
      </c>
      <c r="B54" s="158">
        <v>22145</v>
      </c>
      <c r="C54" s="159" t="s">
        <v>168</v>
      </c>
      <c r="D54" s="54">
        <v>5</v>
      </c>
      <c r="E54" s="54">
        <v>4</v>
      </c>
      <c r="F54" s="73">
        <v>4</v>
      </c>
      <c r="G54" s="73">
        <v>5</v>
      </c>
      <c r="H54" s="54">
        <v>4</v>
      </c>
      <c r="I54" s="54"/>
      <c r="J54" s="54"/>
      <c r="K54" s="54"/>
      <c r="L54" s="55">
        <f t="shared" si="0"/>
        <v>22</v>
      </c>
      <c r="M54" s="38"/>
      <c r="N54" s="38"/>
      <c r="P54" s="67"/>
    </row>
    <row r="55" spans="1:16" ht="18" customHeight="1">
      <c r="A55" s="179">
        <v>46</v>
      </c>
      <c r="B55" s="158">
        <v>22146</v>
      </c>
      <c r="C55" s="159" t="s">
        <v>169</v>
      </c>
      <c r="D55" s="54">
        <v>4</v>
      </c>
      <c r="E55" s="54">
        <v>4</v>
      </c>
      <c r="F55" s="73">
        <v>4</v>
      </c>
      <c r="G55" s="73">
        <v>5</v>
      </c>
      <c r="H55" s="54">
        <v>5</v>
      </c>
      <c r="I55" s="54"/>
      <c r="J55" s="54"/>
      <c r="K55" s="54"/>
      <c r="L55" s="55">
        <f t="shared" si="0"/>
        <v>22</v>
      </c>
      <c r="M55" s="38"/>
      <c r="N55" s="38"/>
      <c r="P55" s="67"/>
    </row>
    <row r="56" spans="1:16" ht="18" customHeight="1">
      <c r="A56" s="179">
        <v>47</v>
      </c>
      <c r="B56" s="158">
        <v>22147</v>
      </c>
      <c r="C56" s="159" t="s">
        <v>170</v>
      </c>
      <c r="D56" s="54">
        <v>4</v>
      </c>
      <c r="E56" s="54">
        <v>4</v>
      </c>
      <c r="F56" s="73">
        <v>5</v>
      </c>
      <c r="G56" s="73">
        <v>4</v>
      </c>
      <c r="H56" s="54">
        <v>4</v>
      </c>
      <c r="I56" s="54"/>
      <c r="J56" s="54"/>
      <c r="K56" s="54"/>
      <c r="L56" s="55">
        <f t="shared" si="0"/>
        <v>21</v>
      </c>
      <c r="M56" s="38"/>
      <c r="N56" s="38"/>
      <c r="P56" s="67"/>
    </row>
    <row r="57" spans="1:16" ht="18" customHeight="1">
      <c r="A57" s="179">
        <v>48</v>
      </c>
      <c r="B57" s="158">
        <v>22148</v>
      </c>
      <c r="C57" s="159" t="s">
        <v>171</v>
      </c>
      <c r="D57" s="54">
        <v>5</v>
      </c>
      <c r="E57" s="54">
        <v>4</v>
      </c>
      <c r="F57" s="73">
        <v>4</v>
      </c>
      <c r="G57" s="73">
        <v>5</v>
      </c>
      <c r="H57" s="54">
        <v>4</v>
      </c>
      <c r="I57" s="54"/>
      <c r="J57" s="54"/>
      <c r="K57" s="54"/>
      <c r="L57" s="55">
        <f t="shared" si="0"/>
        <v>22</v>
      </c>
      <c r="M57" s="38"/>
      <c r="N57" s="38"/>
      <c r="P57" s="67"/>
    </row>
    <row r="58" spans="1:16" ht="18" customHeight="1">
      <c r="A58" s="179">
        <v>49</v>
      </c>
      <c r="B58" s="158">
        <v>22149</v>
      </c>
      <c r="C58" s="159" t="s">
        <v>172</v>
      </c>
      <c r="D58" s="54">
        <v>4</v>
      </c>
      <c r="E58" s="54">
        <v>5</v>
      </c>
      <c r="F58" s="73">
        <v>5</v>
      </c>
      <c r="G58" s="73">
        <v>5</v>
      </c>
      <c r="H58" s="54">
        <v>5</v>
      </c>
      <c r="I58" s="54"/>
      <c r="J58" s="54"/>
      <c r="K58" s="54"/>
      <c r="L58" s="55">
        <f t="shared" si="0"/>
        <v>24</v>
      </c>
      <c r="M58" s="38"/>
      <c r="N58" s="38"/>
      <c r="P58" s="67"/>
    </row>
    <row r="59" spans="1:16" ht="18" customHeight="1">
      <c r="A59" s="179">
        <v>50</v>
      </c>
      <c r="B59" s="158">
        <v>22150</v>
      </c>
      <c r="C59" s="159" t="s">
        <v>173</v>
      </c>
      <c r="D59" s="54">
        <v>5</v>
      </c>
      <c r="E59" s="54">
        <v>4</v>
      </c>
      <c r="F59" s="73">
        <v>4</v>
      </c>
      <c r="G59" s="73">
        <v>5</v>
      </c>
      <c r="H59" s="54">
        <v>5</v>
      </c>
      <c r="I59" s="54"/>
      <c r="J59" s="54"/>
      <c r="K59" s="54"/>
      <c r="L59" s="55">
        <f t="shared" si="0"/>
        <v>23</v>
      </c>
      <c r="M59" s="38"/>
      <c r="N59" s="38"/>
      <c r="P59" s="67"/>
    </row>
    <row r="60" spans="1:16" ht="18" customHeight="1">
      <c r="A60" s="179">
        <v>51</v>
      </c>
      <c r="B60" s="158">
        <v>22151</v>
      </c>
      <c r="C60" s="159" t="s">
        <v>174</v>
      </c>
      <c r="D60" s="54">
        <v>4</v>
      </c>
      <c r="E60" s="54">
        <v>4</v>
      </c>
      <c r="F60" s="73">
        <v>4</v>
      </c>
      <c r="G60" s="73">
        <v>4</v>
      </c>
      <c r="H60" s="54">
        <v>4</v>
      </c>
      <c r="I60" s="54"/>
      <c r="J60" s="54"/>
      <c r="K60" s="54"/>
      <c r="L60" s="55">
        <f t="shared" si="0"/>
        <v>20</v>
      </c>
      <c r="M60" s="38"/>
      <c r="N60" s="38"/>
      <c r="P60" s="67"/>
    </row>
    <row r="61" spans="1:16" ht="18" customHeight="1">
      <c r="A61" s="179">
        <v>52</v>
      </c>
      <c r="B61" s="158">
        <v>22152</v>
      </c>
      <c r="C61" s="159" t="s">
        <v>175</v>
      </c>
      <c r="D61" s="54">
        <v>4</v>
      </c>
      <c r="E61" s="54">
        <v>4</v>
      </c>
      <c r="F61" s="73">
        <v>4</v>
      </c>
      <c r="G61" s="73">
        <v>4</v>
      </c>
      <c r="H61" s="54">
        <v>4</v>
      </c>
      <c r="I61" s="54"/>
      <c r="J61" s="54"/>
      <c r="K61" s="54"/>
      <c r="L61" s="55">
        <f t="shared" si="0"/>
        <v>20</v>
      </c>
      <c r="M61" s="38"/>
      <c r="N61" s="38"/>
      <c r="P61" s="67"/>
    </row>
    <row r="62" spans="1:16" ht="18" customHeight="1">
      <c r="A62" s="179">
        <v>53</v>
      </c>
      <c r="B62" s="158">
        <v>22153</v>
      </c>
      <c r="C62" s="159" t="s">
        <v>176</v>
      </c>
      <c r="D62" s="54">
        <v>4</v>
      </c>
      <c r="E62" s="54">
        <v>4</v>
      </c>
      <c r="F62" s="73">
        <v>4</v>
      </c>
      <c r="G62" s="73">
        <v>5</v>
      </c>
      <c r="H62" s="54">
        <v>5</v>
      </c>
      <c r="I62" s="54"/>
      <c r="J62" s="54"/>
      <c r="K62" s="54"/>
      <c r="L62" s="55">
        <f t="shared" si="0"/>
        <v>22</v>
      </c>
      <c r="M62" s="38"/>
      <c r="N62" s="38"/>
      <c r="P62" s="67"/>
    </row>
    <row r="63" spans="1:16" ht="18" customHeight="1">
      <c r="A63" s="179">
        <v>54</v>
      </c>
      <c r="B63" s="158">
        <v>22154</v>
      </c>
      <c r="C63" s="159" t="s">
        <v>177</v>
      </c>
      <c r="D63" s="54">
        <v>4</v>
      </c>
      <c r="E63" s="54">
        <v>5</v>
      </c>
      <c r="F63" s="73">
        <v>4</v>
      </c>
      <c r="G63" s="73">
        <v>5</v>
      </c>
      <c r="H63" s="54">
        <v>4</v>
      </c>
      <c r="I63" s="54"/>
      <c r="J63" s="54"/>
      <c r="K63" s="54"/>
      <c r="L63" s="55">
        <f t="shared" si="0"/>
        <v>22</v>
      </c>
      <c r="M63" s="38"/>
      <c r="N63" s="38"/>
      <c r="P63" s="67"/>
    </row>
    <row r="64" spans="1:16" ht="18" customHeight="1">
      <c r="A64" s="179">
        <v>55</v>
      </c>
      <c r="B64" s="158">
        <v>22155</v>
      </c>
      <c r="C64" s="159" t="s">
        <v>178</v>
      </c>
      <c r="D64" s="54">
        <v>4</v>
      </c>
      <c r="E64" s="54">
        <v>5</v>
      </c>
      <c r="F64" s="73">
        <v>4</v>
      </c>
      <c r="G64" s="73">
        <v>4</v>
      </c>
      <c r="H64" s="54">
        <v>4</v>
      </c>
      <c r="I64" s="54"/>
      <c r="J64" s="54"/>
      <c r="K64" s="54"/>
      <c r="L64" s="55">
        <f t="shared" si="0"/>
        <v>21</v>
      </c>
      <c r="M64" s="38"/>
      <c r="N64" s="38"/>
      <c r="P64" s="67"/>
    </row>
    <row r="65" spans="1:16" ht="18" customHeight="1">
      <c r="A65" s="179">
        <v>56</v>
      </c>
      <c r="B65" s="158">
        <v>22156</v>
      </c>
      <c r="C65" s="159" t="s">
        <v>179</v>
      </c>
      <c r="D65" s="54">
        <v>5</v>
      </c>
      <c r="E65" s="54">
        <v>4</v>
      </c>
      <c r="F65" s="73">
        <v>4</v>
      </c>
      <c r="G65" s="73">
        <v>5</v>
      </c>
      <c r="H65" s="54">
        <v>5</v>
      </c>
      <c r="I65" s="54"/>
      <c r="J65" s="54"/>
      <c r="K65" s="54"/>
      <c r="L65" s="55">
        <f t="shared" si="0"/>
        <v>23</v>
      </c>
      <c r="M65" s="38"/>
      <c r="N65" s="38"/>
      <c r="P65" s="67"/>
    </row>
    <row r="66" spans="1:16" ht="18" customHeight="1">
      <c r="A66" s="179">
        <v>57</v>
      </c>
      <c r="B66" s="158">
        <v>22157</v>
      </c>
      <c r="C66" s="159" t="s">
        <v>180</v>
      </c>
      <c r="D66" s="54">
        <v>4</v>
      </c>
      <c r="E66" s="54">
        <v>4</v>
      </c>
      <c r="F66" s="73">
        <v>4</v>
      </c>
      <c r="G66" s="73">
        <v>5</v>
      </c>
      <c r="H66" s="54">
        <v>4</v>
      </c>
      <c r="I66" s="54"/>
      <c r="J66" s="54"/>
      <c r="K66" s="54"/>
      <c r="L66" s="55">
        <f t="shared" si="0"/>
        <v>21</v>
      </c>
      <c r="M66" s="38"/>
      <c r="N66" s="38"/>
      <c r="P66" s="67"/>
    </row>
    <row r="67" spans="1:16" ht="15.75" customHeight="1">
      <c r="A67" s="179">
        <v>58</v>
      </c>
      <c r="B67" s="158">
        <v>22158</v>
      </c>
      <c r="C67" s="159" t="s">
        <v>181</v>
      </c>
      <c r="D67" s="54">
        <v>5</v>
      </c>
      <c r="E67" s="54">
        <v>4</v>
      </c>
      <c r="F67" s="73">
        <v>4</v>
      </c>
      <c r="G67" s="73">
        <v>4</v>
      </c>
      <c r="H67" s="54">
        <v>4</v>
      </c>
      <c r="I67" s="54"/>
      <c r="J67" s="54"/>
      <c r="K67" s="54"/>
      <c r="L67" s="55">
        <f t="shared" si="0"/>
        <v>21</v>
      </c>
    </row>
    <row r="68" spans="1:16" ht="15.75" customHeight="1">
      <c r="A68" s="179">
        <v>59</v>
      </c>
      <c r="B68" s="158">
        <v>22159</v>
      </c>
      <c r="C68" s="159" t="s">
        <v>182</v>
      </c>
      <c r="D68" s="54">
        <v>4</v>
      </c>
      <c r="E68" s="54">
        <v>4</v>
      </c>
      <c r="F68" s="73">
        <v>4</v>
      </c>
      <c r="G68" s="73">
        <v>4</v>
      </c>
      <c r="H68" s="54">
        <v>4</v>
      </c>
      <c r="I68" s="54"/>
      <c r="J68" s="54"/>
      <c r="K68" s="54"/>
      <c r="L68" s="55">
        <f t="shared" si="0"/>
        <v>20</v>
      </c>
    </row>
    <row r="69" spans="1:16" ht="15.75" customHeight="1">
      <c r="A69" s="179">
        <v>60</v>
      </c>
      <c r="B69" s="158">
        <v>22160</v>
      </c>
      <c r="C69" s="159" t="s">
        <v>183</v>
      </c>
      <c r="D69" s="54">
        <v>4</v>
      </c>
      <c r="E69" s="54">
        <v>5</v>
      </c>
      <c r="F69" s="73">
        <v>5</v>
      </c>
      <c r="G69" s="73">
        <v>4</v>
      </c>
      <c r="H69" s="54">
        <v>4</v>
      </c>
      <c r="I69" s="54"/>
      <c r="J69" s="54"/>
      <c r="K69" s="54"/>
      <c r="L69" s="55">
        <f t="shared" si="0"/>
        <v>22</v>
      </c>
    </row>
    <row r="70" spans="1:16" ht="15.75" customHeight="1">
      <c r="A70" s="179">
        <v>61</v>
      </c>
      <c r="B70" s="158">
        <v>22161</v>
      </c>
      <c r="C70" s="159" t="s">
        <v>184</v>
      </c>
      <c r="D70" s="73">
        <v>4</v>
      </c>
      <c r="E70" s="54">
        <v>4</v>
      </c>
      <c r="F70" s="73">
        <v>5</v>
      </c>
      <c r="G70" s="73">
        <v>4</v>
      </c>
      <c r="H70" s="54">
        <v>4</v>
      </c>
      <c r="I70" s="54"/>
      <c r="J70" s="54"/>
      <c r="K70" s="54"/>
      <c r="L70" s="55">
        <f t="shared" si="0"/>
        <v>21</v>
      </c>
    </row>
    <row r="71" spans="1:16" ht="15.75" customHeight="1">
      <c r="A71" s="179">
        <v>62</v>
      </c>
      <c r="B71" s="158">
        <v>22162</v>
      </c>
      <c r="C71" s="159" t="s">
        <v>185</v>
      </c>
      <c r="D71" s="73">
        <v>5</v>
      </c>
      <c r="E71" s="54">
        <v>4</v>
      </c>
      <c r="F71" s="54">
        <v>4</v>
      </c>
      <c r="G71" s="54">
        <v>5</v>
      </c>
      <c r="H71" s="54">
        <v>5</v>
      </c>
      <c r="I71" s="54"/>
      <c r="J71" s="54"/>
      <c r="K71" s="54"/>
      <c r="L71" s="55">
        <f t="shared" si="0"/>
        <v>23</v>
      </c>
    </row>
    <row r="72" spans="1:16" ht="15.75" customHeight="1">
      <c r="A72" s="179">
        <v>63</v>
      </c>
      <c r="B72" s="158">
        <v>22163</v>
      </c>
      <c r="C72" s="159" t="s">
        <v>186</v>
      </c>
      <c r="D72" s="73">
        <v>4</v>
      </c>
      <c r="E72" s="54">
        <v>4</v>
      </c>
      <c r="F72" s="54">
        <v>5</v>
      </c>
      <c r="G72" s="54">
        <v>5</v>
      </c>
      <c r="H72" s="54">
        <v>4</v>
      </c>
      <c r="I72" s="54"/>
      <c r="J72" s="54"/>
      <c r="K72" s="54"/>
      <c r="L72" s="55">
        <f t="shared" si="0"/>
        <v>22</v>
      </c>
    </row>
    <row r="73" spans="1:16" ht="15.75" customHeight="1">
      <c r="A73" s="179">
        <v>64</v>
      </c>
      <c r="B73" s="158">
        <v>22164</v>
      </c>
      <c r="C73" s="159" t="s">
        <v>187</v>
      </c>
      <c r="D73" s="54">
        <v>4</v>
      </c>
      <c r="E73" s="54">
        <v>5</v>
      </c>
      <c r="F73" s="73">
        <v>5</v>
      </c>
      <c r="G73" s="73">
        <v>4</v>
      </c>
      <c r="H73" s="54">
        <v>4</v>
      </c>
      <c r="I73" s="54"/>
      <c r="J73" s="54"/>
      <c r="K73" s="54"/>
      <c r="L73" s="55">
        <f t="shared" si="0"/>
        <v>22</v>
      </c>
    </row>
    <row r="74" spans="1:16" ht="15.75" customHeight="1">
      <c r="A74" s="179">
        <v>65</v>
      </c>
      <c r="B74" s="158">
        <v>22165</v>
      </c>
      <c r="C74" s="159" t="s">
        <v>188</v>
      </c>
      <c r="D74" s="54">
        <v>4</v>
      </c>
      <c r="E74" s="54">
        <v>4</v>
      </c>
      <c r="F74" s="73">
        <v>2</v>
      </c>
      <c r="G74" s="73">
        <v>5</v>
      </c>
      <c r="H74" s="54">
        <v>5</v>
      </c>
      <c r="I74" s="73"/>
      <c r="J74" s="73"/>
      <c r="K74" s="73"/>
      <c r="L74" s="55">
        <f t="shared" si="0"/>
        <v>20</v>
      </c>
    </row>
    <row r="75" spans="1:16" ht="15.75" customHeight="1">
      <c r="A75" s="179">
        <v>66</v>
      </c>
      <c r="B75" s="158">
        <v>22166</v>
      </c>
      <c r="C75" s="159" t="s">
        <v>189</v>
      </c>
      <c r="D75" s="54">
        <v>4</v>
      </c>
      <c r="E75" s="54">
        <v>4</v>
      </c>
      <c r="F75" s="73">
        <v>4</v>
      </c>
      <c r="G75" s="73">
        <v>4</v>
      </c>
      <c r="H75" s="54">
        <v>4</v>
      </c>
      <c r="I75" s="54"/>
      <c r="J75" s="54"/>
      <c r="K75" s="54"/>
      <c r="L75" s="55">
        <f t="shared" ref="L75:L117" si="1">IF(F75&lt;&gt;"AB",SUM(D75:K75),"AB")</f>
        <v>20</v>
      </c>
    </row>
    <row r="76" spans="1:16" ht="15.75" customHeight="1">
      <c r="A76" s="179">
        <v>67</v>
      </c>
      <c r="B76" s="158">
        <v>22167</v>
      </c>
      <c r="C76" s="159" t="s">
        <v>190</v>
      </c>
      <c r="D76" s="54">
        <v>4</v>
      </c>
      <c r="E76" s="54">
        <v>5</v>
      </c>
      <c r="F76" s="73">
        <v>4</v>
      </c>
      <c r="G76" s="73">
        <v>5</v>
      </c>
      <c r="H76" s="54">
        <v>5</v>
      </c>
      <c r="I76" s="54"/>
      <c r="J76" s="54"/>
      <c r="K76" s="54"/>
      <c r="L76" s="55">
        <f t="shared" si="1"/>
        <v>23</v>
      </c>
    </row>
    <row r="77" spans="1:16" ht="15.75" customHeight="1">
      <c r="A77" s="179">
        <v>68</v>
      </c>
      <c r="B77" s="158">
        <v>22168</v>
      </c>
      <c r="C77" s="159" t="s">
        <v>191</v>
      </c>
      <c r="D77" s="54">
        <v>5</v>
      </c>
      <c r="E77" s="54">
        <v>5</v>
      </c>
      <c r="F77" s="73">
        <v>4</v>
      </c>
      <c r="G77" s="73">
        <v>5</v>
      </c>
      <c r="H77" s="54">
        <v>4</v>
      </c>
      <c r="I77" s="54"/>
      <c r="J77" s="54"/>
      <c r="K77" s="54"/>
      <c r="L77" s="55">
        <f t="shared" si="1"/>
        <v>23</v>
      </c>
    </row>
    <row r="78" spans="1:16" ht="15.75" customHeight="1">
      <c r="A78" s="179">
        <v>69</v>
      </c>
      <c r="B78" s="158">
        <v>22201</v>
      </c>
      <c r="C78" s="159" t="s">
        <v>192</v>
      </c>
      <c r="D78" s="54">
        <v>4</v>
      </c>
      <c r="E78" s="54">
        <v>4</v>
      </c>
      <c r="F78" s="73">
        <v>5</v>
      </c>
      <c r="G78" s="73">
        <v>5</v>
      </c>
      <c r="H78" s="54">
        <v>4</v>
      </c>
      <c r="I78" s="54"/>
      <c r="J78" s="54"/>
      <c r="K78" s="54"/>
      <c r="L78" s="55">
        <f t="shared" si="1"/>
        <v>22</v>
      </c>
    </row>
    <row r="79" spans="1:16" ht="15.75" customHeight="1">
      <c r="A79" s="179">
        <v>70</v>
      </c>
      <c r="B79" s="158">
        <v>22202</v>
      </c>
      <c r="C79" s="159" t="s">
        <v>193</v>
      </c>
      <c r="D79" s="54">
        <v>5</v>
      </c>
      <c r="E79" s="54">
        <v>4</v>
      </c>
      <c r="F79" s="73">
        <v>5</v>
      </c>
      <c r="G79" s="73">
        <v>4</v>
      </c>
      <c r="H79" s="54">
        <v>5</v>
      </c>
      <c r="I79" s="54"/>
      <c r="J79" s="54"/>
      <c r="K79" s="54"/>
      <c r="L79" s="55">
        <f t="shared" si="1"/>
        <v>23</v>
      </c>
    </row>
    <row r="80" spans="1:16" ht="15.75" customHeight="1">
      <c r="A80" s="179">
        <v>71</v>
      </c>
      <c r="B80" s="158">
        <v>22203</v>
      </c>
      <c r="C80" s="159" t="s">
        <v>194</v>
      </c>
      <c r="D80" s="54">
        <v>5</v>
      </c>
      <c r="E80" s="54">
        <v>5</v>
      </c>
      <c r="F80" s="73">
        <v>5</v>
      </c>
      <c r="G80" s="73">
        <v>5</v>
      </c>
      <c r="H80" s="54">
        <v>5</v>
      </c>
      <c r="I80" s="54"/>
      <c r="J80" s="54"/>
      <c r="K80" s="54"/>
      <c r="L80" s="55">
        <f t="shared" si="1"/>
        <v>25</v>
      </c>
    </row>
    <row r="81" spans="1:12" ht="15.75" customHeight="1">
      <c r="A81" s="179">
        <v>72</v>
      </c>
      <c r="B81" s="158">
        <v>22204</v>
      </c>
      <c r="C81" s="159" t="s">
        <v>195</v>
      </c>
      <c r="D81" s="54">
        <v>5</v>
      </c>
      <c r="E81" s="54">
        <v>4</v>
      </c>
      <c r="F81" s="73">
        <v>5</v>
      </c>
      <c r="G81" s="73">
        <v>5</v>
      </c>
      <c r="H81" s="54">
        <v>4</v>
      </c>
      <c r="I81" s="54"/>
      <c r="J81" s="54"/>
      <c r="K81" s="54"/>
      <c r="L81" s="55">
        <f t="shared" si="1"/>
        <v>23</v>
      </c>
    </row>
    <row r="82" spans="1:12" ht="15.75" customHeight="1">
      <c r="A82" s="179">
        <v>73</v>
      </c>
      <c r="B82" s="158">
        <v>22205</v>
      </c>
      <c r="C82" s="159" t="s">
        <v>196</v>
      </c>
      <c r="D82" s="73">
        <v>4</v>
      </c>
      <c r="E82" s="54">
        <v>5</v>
      </c>
      <c r="F82" s="54">
        <v>5</v>
      </c>
      <c r="G82" s="54">
        <v>5</v>
      </c>
      <c r="H82" s="54">
        <v>4</v>
      </c>
      <c r="I82" s="54"/>
      <c r="J82" s="54"/>
      <c r="K82" s="54"/>
      <c r="L82" s="55">
        <f t="shared" si="1"/>
        <v>23</v>
      </c>
    </row>
    <row r="83" spans="1:12" ht="15.75" customHeight="1">
      <c r="A83" s="179">
        <v>74</v>
      </c>
      <c r="B83" s="158">
        <v>22206</v>
      </c>
      <c r="C83" s="159" t="s">
        <v>197</v>
      </c>
      <c r="D83" s="73">
        <v>4</v>
      </c>
      <c r="E83" s="54">
        <v>5</v>
      </c>
      <c r="F83" s="54">
        <v>5</v>
      </c>
      <c r="G83" s="54">
        <v>5</v>
      </c>
      <c r="H83" s="54">
        <v>5</v>
      </c>
      <c r="I83" s="54"/>
      <c r="J83" s="54"/>
      <c r="K83" s="54"/>
      <c r="L83" s="55">
        <f t="shared" si="1"/>
        <v>24</v>
      </c>
    </row>
    <row r="84" spans="1:12" ht="15.75" customHeight="1">
      <c r="A84" s="179">
        <v>75</v>
      </c>
      <c r="B84" s="158">
        <v>22207</v>
      </c>
      <c r="C84" s="159" t="s">
        <v>198</v>
      </c>
      <c r="D84" s="73">
        <v>5</v>
      </c>
      <c r="E84" s="54">
        <v>5</v>
      </c>
      <c r="F84" s="54">
        <v>4</v>
      </c>
      <c r="G84" s="54">
        <v>5</v>
      </c>
      <c r="H84" s="54">
        <v>5</v>
      </c>
      <c r="I84" s="54"/>
      <c r="J84" s="54"/>
      <c r="K84" s="54"/>
      <c r="L84" s="55">
        <f t="shared" si="1"/>
        <v>24</v>
      </c>
    </row>
    <row r="85" spans="1:12" ht="15.75" customHeight="1">
      <c r="A85" s="179">
        <v>76</v>
      </c>
      <c r="B85" s="158">
        <v>22208</v>
      </c>
      <c r="C85" s="159" t="s">
        <v>199</v>
      </c>
      <c r="D85" s="73">
        <v>5</v>
      </c>
      <c r="E85" s="54">
        <v>5</v>
      </c>
      <c r="F85" s="54">
        <v>5</v>
      </c>
      <c r="G85" s="54">
        <v>5</v>
      </c>
      <c r="H85" s="54">
        <v>5</v>
      </c>
      <c r="I85" s="54"/>
      <c r="J85" s="54"/>
      <c r="K85" s="54"/>
      <c r="L85" s="55">
        <f t="shared" si="1"/>
        <v>25</v>
      </c>
    </row>
    <row r="86" spans="1:12" ht="15.75" customHeight="1">
      <c r="A86" s="179">
        <v>77</v>
      </c>
      <c r="B86" s="158">
        <v>22209</v>
      </c>
      <c r="C86" s="159" t="s">
        <v>200</v>
      </c>
      <c r="D86" s="73">
        <v>5</v>
      </c>
      <c r="E86" s="54">
        <v>4</v>
      </c>
      <c r="F86" s="54">
        <v>5</v>
      </c>
      <c r="G86" s="54">
        <v>4</v>
      </c>
      <c r="H86" s="54">
        <v>4</v>
      </c>
      <c r="I86" s="54"/>
      <c r="J86" s="54"/>
      <c r="K86" s="54"/>
      <c r="L86" s="55">
        <f t="shared" si="1"/>
        <v>22</v>
      </c>
    </row>
    <row r="87" spans="1:12" ht="15.75" customHeight="1">
      <c r="A87" s="179">
        <v>78</v>
      </c>
      <c r="B87" s="158">
        <v>22210</v>
      </c>
      <c r="C87" s="159" t="s">
        <v>201</v>
      </c>
      <c r="D87" s="73">
        <v>5</v>
      </c>
      <c r="E87" s="73">
        <v>5</v>
      </c>
      <c r="F87" s="73">
        <v>4</v>
      </c>
      <c r="G87" s="73">
        <v>5</v>
      </c>
      <c r="H87" s="73">
        <v>4</v>
      </c>
      <c r="I87" s="73"/>
      <c r="J87" s="73"/>
      <c r="K87" s="73"/>
      <c r="L87" s="55">
        <f t="shared" si="1"/>
        <v>23</v>
      </c>
    </row>
    <row r="88" spans="1:12" ht="15.75" customHeight="1">
      <c r="A88" s="179">
        <v>79</v>
      </c>
      <c r="B88" s="158">
        <v>22211</v>
      </c>
      <c r="C88" s="159" t="s">
        <v>202</v>
      </c>
      <c r="D88" s="73">
        <v>1</v>
      </c>
      <c r="E88" s="54">
        <v>2</v>
      </c>
      <c r="F88" s="54">
        <v>3</v>
      </c>
      <c r="G88" s="54">
        <v>2</v>
      </c>
      <c r="H88" s="54">
        <v>4</v>
      </c>
      <c r="I88" s="54"/>
      <c r="J88" s="54"/>
      <c r="K88" s="54"/>
      <c r="L88" s="55">
        <f t="shared" si="1"/>
        <v>12</v>
      </c>
    </row>
    <row r="89" spans="1:12" ht="15.75" customHeight="1">
      <c r="A89" s="179">
        <v>80</v>
      </c>
      <c r="B89" s="158">
        <v>22212</v>
      </c>
      <c r="C89" s="159" t="s">
        <v>203</v>
      </c>
      <c r="D89" s="73">
        <v>5</v>
      </c>
      <c r="E89" s="54">
        <v>5</v>
      </c>
      <c r="F89" s="54">
        <v>5</v>
      </c>
      <c r="G89" s="54">
        <v>5</v>
      </c>
      <c r="H89" s="54">
        <v>5</v>
      </c>
      <c r="I89" s="54"/>
      <c r="J89" s="54"/>
      <c r="K89" s="54"/>
      <c r="L89" s="55">
        <f t="shared" si="1"/>
        <v>25</v>
      </c>
    </row>
    <row r="90" spans="1:12" ht="15.75" customHeight="1">
      <c r="A90" s="179">
        <v>81</v>
      </c>
      <c r="B90" s="158">
        <v>22213</v>
      </c>
      <c r="C90" s="159" t="s">
        <v>204</v>
      </c>
      <c r="D90" s="73">
        <v>5</v>
      </c>
      <c r="E90" s="54">
        <v>5</v>
      </c>
      <c r="F90" s="54">
        <v>5</v>
      </c>
      <c r="G90" s="54">
        <v>5</v>
      </c>
      <c r="H90" s="54">
        <v>5</v>
      </c>
      <c r="I90" s="54"/>
      <c r="J90" s="54"/>
      <c r="K90" s="54"/>
      <c r="L90" s="55">
        <f t="shared" si="1"/>
        <v>25</v>
      </c>
    </row>
    <row r="91" spans="1:12" ht="15.75" customHeight="1">
      <c r="A91" s="179">
        <v>82</v>
      </c>
      <c r="B91" s="158">
        <v>22214</v>
      </c>
      <c r="C91" s="159" t="s">
        <v>205</v>
      </c>
      <c r="D91" s="73">
        <v>5</v>
      </c>
      <c r="E91" s="73">
        <v>5</v>
      </c>
      <c r="F91" s="73">
        <v>5</v>
      </c>
      <c r="G91" s="73">
        <v>5</v>
      </c>
      <c r="H91" s="73">
        <v>5</v>
      </c>
      <c r="I91" s="73"/>
      <c r="J91" s="73"/>
      <c r="K91" s="73"/>
      <c r="L91" s="55">
        <f t="shared" si="1"/>
        <v>25</v>
      </c>
    </row>
    <row r="92" spans="1:12" ht="15.75" customHeight="1">
      <c r="A92" s="179">
        <v>83</v>
      </c>
      <c r="B92" s="158">
        <v>22215</v>
      </c>
      <c r="C92" s="159" t="s">
        <v>206</v>
      </c>
      <c r="D92" s="73">
        <v>4</v>
      </c>
      <c r="E92" s="54">
        <v>3</v>
      </c>
      <c r="F92" s="54">
        <v>4</v>
      </c>
      <c r="G92" s="54">
        <v>3</v>
      </c>
      <c r="H92" s="54">
        <v>4</v>
      </c>
      <c r="I92" s="54"/>
      <c r="J92" s="54"/>
      <c r="K92" s="54"/>
      <c r="L92" s="55">
        <f t="shared" si="1"/>
        <v>18</v>
      </c>
    </row>
    <row r="93" spans="1:12" ht="15.75" customHeight="1">
      <c r="A93" s="179">
        <v>84</v>
      </c>
      <c r="B93" s="158">
        <v>22216</v>
      </c>
      <c r="C93" s="159" t="s">
        <v>207</v>
      </c>
      <c r="D93" s="73">
        <v>5</v>
      </c>
      <c r="E93" s="54">
        <v>3</v>
      </c>
      <c r="F93" s="54">
        <v>4</v>
      </c>
      <c r="G93" s="54">
        <v>3</v>
      </c>
      <c r="H93" s="54">
        <v>3</v>
      </c>
      <c r="I93" s="54"/>
      <c r="J93" s="54"/>
      <c r="K93" s="54"/>
      <c r="L93" s="55">
        <f t="shared" si="1"/>
        <v>18</v>
      </c>
    </row>
    <row r="94" spans="1:12" ht="15.75" customHeight="1">
      <c r="A94" s="179">
        <v>85</v>
      </c>
      <c r="B94" s="158">
        <v>22217</v>
      </c>
      <c r="C94" s="159" t="s">
        <v>208</v>
      </c>
      <c r="D94" s="73">
        <v>4</v>
      </c>
      <c r="E94" s="54">
        <v>3</v>
      </c>
      <c r="F94" s="54">
        <v>5</v>
      </c>
      <c r="G94" s="54">
        <v>4</v>
      </c>
      <c r="H94" s="54">
        <v>5</v>
      </c>
      <c r="I94" s="54"/>
      <c r="J94" s="54"/>
      <c r="K94" s="54"/>
      <c r="L94" s="55">
        <f t="shared" si="1"/>
        <v>21</v>
      </c>
    </row>
    <row r="95" spans="1:12" ht="15.75" customHeight="1">
      <c r="A95" s="179">
        <v>86</v>
      </c>
      <c r="B95" s="158">
        <v>22218</v>
      </c>
      <c r="C95" s="159" t="s">
        <v>209</v>
      </c>
      <c r="D95" s="73">
        <v>4</v>
      </c>
      <c r="E95" s="54">
        <v>3</v>
      </c>
      <c r="F95" s="54">
        <v>4</v>
      </c>
      <c r="G95" s="54">
        <v>3</v>
      </c>
      <c r="H95" s="54">
        <v>4</v>
      </c>
      <c r="I95" s="54"/>
      <c r="J95" s="54"/>
      <c r="K95" s="54"/>
      <c r="L95" s="55">
        <f t="shared" si="1"/>
        <v>18</v>
      </c>
    </row>
    <row r="96" spans="1:12" ht="15.75" customHeight="1">
      <c r="A96" s="179">
        <v>87</v>
      </c>
      <c r="B96" s="158">
        <v>22219</v>
      </c>
      <c r="C96" s="159" t="s">
        <v>210</v>
      </c>
      <c r="D96" s="73">
        <v>3</v>
      </c>
      <c r="E96" s="54">
        <v>3</v>
      </c>
      <c r="F96" s="54">
        <v>3</v>
      </c>
      <c r="G96" s="54">
        <v>4</v>
      </c>
      <c r="H96" s="54">
        <v>3</v>
      </c>
      <c r="I96" s="54"/>
      <c r="J96" s="54"/>
      <c r="K96" s="54"/>
      <c r="L96" s="55">
        <f t="shared" si="1"/>
        <v>16</v>
      </c>
    </row>
    <row r="97" spans="1:12" ht="15.75" customHeight="1">
      <c r="A97" s="179">
        <v>88</v>
      </c>
      <c r="B97" s="158">
        <v>22220</v>
      </c>
      <c r="C97" s="159" t="s">
        <v>211</v>
      </c>
      <c r="D97" s="73">
        <v>4</v>
      </c>
      <c r="E97" s="54">
        <v>4</v>
      </c>
      <c r="F97" s="54">
        <v>5</v>
      </c>
      <c r="G97" s="54">
        <v>4</v>
      </c>
      <c r="H97" s="54">
        <v>4</v>
      </c>
      <c r="I97" s="54"/>
      <c r="J97" s="54"/>
      <c r="K97" s="54"/>
      <c r="L97" s="55">
        <f t="shared" si="1"/>
        <v>21</v>
      </c>
    </row>
    <row r="98" spans="1:12" ht="15.75" customHeight="1">
      <c r="A98" s="179">
        <v>89</v>
      </c>
      <c r="B98" s="158">
        <v>22221</v>
      </c>
      <c r="C98" s="159" t="s">
        <v>212</v>
      </c>
      <c r="D98" s="73">
        <v>4</v>
      </c>
      <c r="E98" s="54">
        <v>4</v>
      </c>
      <c r="F98" s="54">
        <v>5</v>
      </c>
      <c r="G98" s="54">
        <v>3</v>
      </c>
      <c r="H98" s="54">
        <v>3</v>
      </c>
      <c r="I98" s="54"/>
      <c r="J98" s="54"/>
      <c r="K98" s="54"/>
      <c r="L98" s="55">
        <f t="shared" si="1"/>
        <v>19</v>
      </c>
    </row>
    <row r="99" spans="1:12" ht="15.75" customHeight="1">
      <c r="A99" s="179">
        <v>90</v>
      </c>
      <c r="B99" s="158">
        <v>22222</v>
      </c>
      <c r="C99" s="159" t="s">
        <v>213</v>
      </c>
      <c r="D99" s="73">
        <v>3</v>
      </c>
      <c r="E99" s="54">
        <v>4</v>
      </c>
      <c r="F99" s="54">
        <v>3</v>
      </c>
      <c r="G99" s="54">
        <v>5</v>
      </c>
      <c r="H99" s="54">
        <v>5</v>
      </c>
      <c r="I99" s="54"/>
      <c r="J99" s="54"/>
      <c r="K99" s="54"/>
      <c r="L99" s="55">
        <f t="shared" si="1"/>
        <v>20</v>
      </c>
    </row>
    <row r="100" spans="1:12" ht="15.75" customHeight="1">
      <c r="A100" s="179">
        <v>91</v>
      </c>
      <c r="B100" s="158">
        <v>22223</v>
      </c>
      <c r="C100" s="159" t="s">
        <v>214</v>
      </c>
      <c r="D100" s="73">
        <v>4</v>
      </c>
      <c r="E100" s="54">
        <v>5</v>
      </c>
      <c r="F100" s="54">
        <v>4</v>
      </c>
      <c r="G100" s="54">
        <v>4</v>
      </c>
      <c r="H100" s="54">
        <v>4</v>
      </c>
      <c r="I100" s="54"/>
      <c r="J100" s="54"/>
      <c r="K100" s="54"/>
      <c r="L100" s="55">
        <f t="shared" si="1"/>
        <v>21</v>
      </c>
    </row>
    <row r="101" spans="1:12" ht="15.75" customHeight="1">
      <c r="A101" s="179">
        <v>92</v>
      </c>
      <c r="B101" s="158">
        <v>22224</v>
      </c>
      <c r="C101" s="159" t="s">
        <v>215</v>
      </c>
      <c r="D101" s="73">
        <v>2</v>
      </c>
      <c r="E101" s="54">
        <v>2</v>
      </c>
      <c r="F101" s="54">
        <v>4</v>
      </c>
      <c r="G101" s="54">
        <v>3</v>
      </c>
      <c r="H101" s="54">
        <v>2</v>
      </c>
      <c r="I101" s="54"/>
      <c r="J101" s="54"/>
      <c r="K101" s="54"/>
      <c r="L101" s="55">
        <f t="shared" si="1"/>
        <v>13</v>
      </c>
    </row>
    <row r="102" spans="1:12" ht="15.75" customHeight="1">
      <c r="A102" s="179">
        <v>93</v>
      </c>
      <c r="B102" s="158">
        <v>22225</v>
      </c>
      <c r="C102" s="159" t="s">
        <v>216</v>
      </c>
      <c r="D102" s="73">
        <v>4</v>
      </c>
      <c r="E102" s="54">
        <v>5</v>
      </c>
      <c r="F102" s="54">
        <v>4</v>
      </c>
      <c r="G102" s="54">
        <v>5</v>
      </c>
      <c r="H102" s="54">
        <v>4</v>
      </c>
      <c r="I102" s="54"/>
      <c r="J102" s="54"/>
      <c r="K102" s="54"/>
      <c r="L102" s="55">
        <f t="shared" si="1"/>
        <v>22</v>
      </c>
    </row>
    <row r="103" spans="1:12" ht="15.75" customHeight="1">
      <c r="A103" s="179">
        <v>94</v>
      </c>
      <c r="B103" s="158">
        <v>22226</v>
      </c>
      <c r="C103" s="159" t="s">
        <v>217</v>
      </c>
      <c r="D103" s="73">
        <v>4</v>
      </c>
      <c r="E103" s="54">
        <v>4</v>
      </c>
      <c r="F103" s="54">
        <v>4</v>
      </c>
      <c r="G103" s="54">
        <v>5</v>
      </c>
      <c r="H103" s="54">
        <v>4</v>
      </c>
      <c r="I103" s="54"/>
      <c r="J103" s="54"/>
      <c r="K103" s="54"/>
      <c r="L103" s="55">
        <f t="shared" si="1"/>
        <v>21</v>
      </c>
    </row>
    <row r="104" spans="1:12" ht="15.75" customHeight="1">
      <c r="A104" s="179">
        <v>95</v>
      </c>
      <c r="B104" s="158">
        <v>22227</v>
      </c>
      <c r="C104" s="159" t="s">
        <v>218</v>
      </c>
      <c r="D104" s="73">
        <v>4</v>
      </c>
      <c r="E104" s="54">
        <v>4</v>
      </c>
      <c r="F104" s="54">
        <v>5</v>
      </c>
      <c r="G104" s="54">
        <v>4</v>
      </c>
      <c r="H104" s="54">
        <v>4</v>
      </c>
      <c r="I104" s="54"/>
      <c r="J104" s="54"/>
      <c r="K104" s="54"/>
      <c r="L104" s="55">
        <f t="shared" si="1"/>
        <v>21</v>
      </c>
    </row>
    <row r="105" spans="1:12" ht="15.75" customHeight="1">
      <c r="A105" s="179">
        <v>96</v>
      </c>
      <c r="B105" s="158">
        <v>22228</v>
      </c>
      <c r="C105" s="159" t="s">
        <v>219</v>
      </c>
      <c r="D105" s="73">
        <v>4</v>
      </c>
      <c r="E105" s="73">
        <v>4</v>
      </c>
      <c r="F105" s="73">
        <v>4</v>
      </c>
      <c r="G105" s="73">
        <v>4</v>
      </c>
      <c r="H105" s="73">
        <v>4</v>
      </c>
      <c r="I105" s="73"/>
      <c r="J105" s="73"/>
      <c r="K105" s="73"/>
      <c r="L105" s="55">
        <f t="shared" si="1"/>
        <v>20</v>
      </c>
    </row>
    <row r="106" spans="1:12" ht="15.75" customHeight="1">
      <c r="A106" s="179">
        <v>97</v>
      </c>
      <c r="B106" s="158">
        <v>22229</v>
      </c>
      <c r="C106" s="159" t="s">
        <v>220</v>
      </c>
      <c r="D106" s="73">
        <v>4</v>
      </c>
      <c r="E106" s="54">
        <v>4</v>
      </c>
      <c r="F106" s="54">
        <v>5</v>
      </c>
      <c r="G106" s="54">
        <v>4</v>
      </c>
      <c r="H106" s="54">
        <v>4</v>
      </c>
      <c r="I106" s="54"/>
      <c r="J106" s="54"/>
      <c r="K106" s="54"/>
      <c r="L106" s="55">
        <f t="shared" si="1"/>
        <v>21</v>
      </c>
    </row>
    <row r="107" spans="1:12" ht="15.75" customHeight="1">
      <c r="A107" s="179">
        <v>98</v>
      </c>
      <c r="B107" s="158">
        <v>22230</v>
      </c>
      <c r="C107" s="159" t="s">
        <v>221</v>
      </c>
      <c r="D107" s="54">
        <v>2</v>
      </c>
      <c r="E107" s="54">
        <v>2</v>
      </c>
      <c r="F107" s="54">
        <v>2</v>
      </c>
      <c r="G107" s="54">
        <v>2</v>
      </c>
      <c r="H107" s="54">
        <v>2</v>
      </c>
      <c r="I107" s="54"/>
      <c r="J107" s="54"/>
      <c r="K107" s="54"/>
      <c r="L107" s="55">
        <f t="shared" si="1"/>
        <v>10</v>
      </c>
    </row>
    <row r="108" spans="1:12" ht="15.75" customHeight="1">
      <c r="A108" s="179">
        <v>99</v>
      </c>
      <c r="B108" s="158">
        <v>22231</v>
      </c>
      <c r="C108" s="159" t="s">
        <v>222</v>
      </c>
      <c r="D108" s="54">
        <v>4</v>
      </c>
      <c r="E108" s="54">
        <v>4</v>
      </c>
      <c r="F108" s="54">
        <v>4</v>
      </c>
      <c r="G108" s="54">
        <v>5</v>
      </c>
      <c r="H108" s="54">
        <v>5</v>
      </c>
      <c r="I108" s="54"/>
      <c r="J108" s="54"/>
      <c r="K108" s="54"/>
      <c r="L108" s="55">
        <f t="shared" si="1"/>
        <v>22</v>
      </c>
    </row>
    <row r="109" spans="1:12" ht="15.75" customHeight="1">
      <c r="A109" s="179">
        <v>100</v>
      </c>
      <c r="B109" s="158">
        <v>22232</v>
      </c>
      <c r="C109" s="159" t="s">
        <v>223</v>
      </c>
      <c r="D109" s="54">
        <v>5</v>
      </c>
      <c r="E109" s="54">
        <v>4</v>
      </c>
      <c r="F109" s="54">
        <v>4</v>
      </c>
      <c r="G109" s="54">
        <v>4</v>
      </c>
      <c r="H109" s="54">
        <v>5</v>
      </c>
      <c r="I109" s="54"/>
      <c r="J109" s="54"/>
      <c r="K109" s="54"/>
      <c r="L109" s="55">
        <f t="shared" si="1"/>
        <v>22</v>
      </c>
    </row>
    <row r="110" spans="1:12" ht="15.75" customHeight="1">
      <c r="A110" s="179">
        <v>101</v>
      </c>
      <c r="B110" s="158">
        <v>22233</v>
      </c>
      <c r="C110" s="159" t="s">
        <v>224</v>
      </c>
      <c r="D110" s="54">
        <v>4</v>
      </c>
      <c r="E110" s="54">
        <v>4</v>
      </c>
      <c r="F110" s="54">
        <v>5</v>
      </c>
      <c r="G110" s="54">
        <v>4</v>
      </c>
      <c r="H110" s="54">
        <v>4</v>
      </c>
      <c r="I110" s="54"/>
      <c r="J110" s="54"/>
      <c r="K110" s="54"/>
      <c r="L110" s="55">
        <f t="shared" si="1"/>
        <v>21</v>
      </c>
    </row>
    <row r="111" spans="1:12" ht="15.75" customHeight="1">
      <c r="A111" s="179">
        <v>102</v>
      </c>
      <c r="B111" s="158">
        <v>22234</v>
      </c>
      <c r="C111" s="159" t="s">
        <v>225</v>
      </c>
      <c r="D111" s="54">
        <v>2</v>
      </c>
      <c r="E111" s="54">
        <v>4</v>
      </c>
      <c r="F111" s="54">
        <v>4</v>
      </c>
      <c r="G111" s="54">
        <v>4</v>
      </c>
      <c r="H111" s="54">
        <v>5</v>
      </c>
      <c r="I111" s="54"/>
      <c r="J111" s="54"/>
      <c r="K111" s="54"/>
      <c r="L111" s="55">
        <f t="shared" si="1"/>
        <v>19</v>
      </c>
    </row>
    <row r="112" spans="1:12" ht="15.75" customHeight="1">
      <c r="A112" s="179">
        <v>103</v>
      </c>
      <c r="B112" s="158">
        <v>22235</v>
      </c>
      <c r="C112" s="159" t="s">
        <v>226</v>
      </c>
      <c r="D112" s="54">
        <v>4</v>
      </c>
      <c r="E112" s="54">
        <v>5</v>
      </c>
      <c r="F112" s="54">
        <v>4</v>
      </c>
      <c r="G112" s="54">
        <v>5</v>
      </c>
      <c r="H112" s="54">
        <v>5</v>
      </c>
      <c r="I112" s="54"/>
      <c r="J112" s="54"/>
      <c r="K112" s="54"/>
      <c r="L112" s="55">
        <f t="shared" si="1"/>
        <v>23</v>
      </c>
    </row>
    <row r="113" spans="1:22" ht="15.75" customHeight="1">
      <c r="A113" s="179">
        <v>104</v>
      </c>
      <c r="B113" s="158">
        <v>22236</v>
      </c>
      <c r="C113" s="159" t="s">
        <v>227</v>
      </c>
      <c r="D113" s="54">
        <v>4</v>
      </c>
      <c r="E113" s="54">
        <v>4</v>
      </c>
      <c r="F113" s="54">
        <v>5</v>
      </c>
      <c r="G113" s="54">
        <v>2</v>
      </c>
      <c r="H113" s="54">
        <v>2</v>
      </c>
      <c r="I113" s="54"/>
      <c r="J113" s="54"/>
      <c r="K113" s="54"/>
      <c r="L113" s="55">
        <f t="shared" si="1"/>
        <v>17</v>
      </c>
    </row>
    <row r="114" spans="1:22" ht="15.75" customHeight="1">
      <c r="A114" s="179">
        <v>105</v>
      </c>
      <c r="B114" s="158">
        <v>22237</v>
      </c>
      <c r="C114" s="159" t="s">
        <v>228</v>
      </c>
      <c r="D114" s="54">
        <v>4</v>
      </c>
      <c r="E114" s="54">
        <v>4</v>
      </c>
      <c r="F114" s="54">
        <v>4</v>
      </c>
      <c r="G114" s="54">
        <v>1</v>
      </c>
      <c r="H114" s="54">
        <v>4</v>
      </c>
      <c r="I114" s="54"/>
      <c r="J114" s="54"/>
      <c r="K114" s="54"/>
      <c r="L114" s="55">
        <f t="shared" si="1"/>
        <v>17</v>
      </c>
    </row>
    <row r="115" spans="1:22" ht="15.75" customHeight="1">
      <c r="A115" s="179">
        <v>106</v>
      </c>
      <c r="B115" s="158">
        <v>22238</v>
      </c>
      <c r="C115" s="159" t="s">
        <v>229</v>
      </c>
      <c r="D115" s="54">
        <v>5</v>
      </c>
      <c r="E115" s="54">
        <v>4</v>
      </c>
      <c r="F115" s="54">
        <v>5</v>
      </c>
      <c r="G115" s="54">
        <v>5</v>
      </c>
      <c r="H115" s="54">
        <v>5</v>
      </c>
      <c r="I115" s="54"/>
      <c r="J115" s="54"/>
      <c r="K115" s="54"/>
      <c r="L115" s="55">
        <f t="shared" si="1"/>
        <v>24</v>
      </c>
    </row>
    <row r="116" spans="1:22" ht="15.75" customHeight="1">
      <c r="A116" s="179">
        <v>107</v>
      </c>
      <c r="B116" s="158">
        <v>22239</v>
      </c>
      <c r="C116" s="159" t="s">
        <v>230</v>
      </c>
      <c r="D116" s="54">
        <v>5</v>
      </c>
      <c r="E116" s="54">
        <v>3</v>
      </c>
      <c r="F116" s="54">
        <v>3</v>
      </c>
      <c r="G116" s="54">
        <v>3</v>
      </c>
      <c r="H116" s="54">
        <v>3</v>
      </c>
      <c r="I116" s="54"/>
      <c r="J116" s="54"/>
      <c r="K116" s="54"/>
      <c r="L116" s="55">
        <f t="shared" si="1"/>
        <v>17</v>
      </c>
    </row>
    <row r="117" spans="1:22" ht="15.75" customHeight="1">
      <c r="A117" s="179">
        <v>108</v>
      </c>
      <c r="B117" s="158">
        <v>22240</v>
      </c>
      <c r="C117" s="159" t="s">
        <v>231</v>
      </c>
      <c r="D117" s="54">
        <v>5</v>
      </c>
      <c r="E117" s="54">
        <v>3</v>
      </c>
      <c r="F117" s="54">
        <v>4</v>
      </c>
      <c r="G117" s="54">
        <v>3</v>
      </c>
      <c r="H117" s="54">
        <v>3</v>
      </c>
      <c r="I117" s="54"/>
      <c r="J117" s="54"/>
      <c r="K117" s="54"/>
      <c r="L117" s="55">
        <f t="shared" si="1"/>
        <v>18</v>
      </c>
    </row>
    <row r="118" spans="1:22" ht="15.75" customHeight="1">
      <c r="A118" s="4"/>
      <c r="C118" s="74" t="s">
        <v>22</v>
      </c>
      <c r="D118" s="75">
        <f>AVERAGE(D10:D117)</f>
        <v>4.2129629629629628</v>
      </c>
      <c r="E118" s="75">
        <f t="shared" ref="E118:L118" si="2">AVERAGE(E10:E117)</f>
        <v>4.1203703703703702</v>
      </c>
      <c r="F118" s="75">
        <f t="shared" si="2"/>
        <v>4.2407407407407405</v>
      </c>
      <c r="G118" s="75">
        <f t="shared" si="2"/>
        <v>4.2962962962962967</v>
      </c>
      <c r="H118" s="75">
        <f t="shared" si="2"/>
        <v>4.2314814814814818</v>
      </c>
      <c r="I118" s="75"/>
      <c r="J118" s="75"/>
      <c r="K118" s="75"/>
      <c r="L118" s="75">
        <f t="shared" si="2"/>
        <v>21.101851851851851</v>
      </c>
    </row>
    <row r="119" spans="1:22" ht="15.75" customHeight="1">
      <c r="A119" s="4"/>
      <c r="C119" s="76" t="s">
        <v>57</v>
      </c>
      <c r="D119" s="77">
        <f>D118/5*100</f>
        <v>84.259259259259252</v>
      </c>
      <c r="E119" s="77">
        <f t="shared" ref="E119:H119" si="3">E118/5*100</f>
        <v>82.407407407407405</v>
      </c>
      <c r="F119" s="77">
        <f t="shared" si="3"/>
        <v>84.81481481481481</v>
      </c>
      <c r="G119" s="77">
        <f t="shared" si="3"/>
        <v>85.925925925925938</v>
      </c>
      <c r="H119" s="77">
        <f t="shared" si="3"/>
        <v>84.629629629629633</v>
      </c>
      <c r="I119" s="77"/>
      <c r="J119" s="77"/>
      <c r="K119" s="77"/>
      <c r="L119" s="77">
        <f>L118/25*100</f>
        <v>84.407407407407405</v>
      </c>
    </row>
    <row r="120" spans="1:22" ht="15.75" customHeight="1">
      <c r="A120" s="4"/>
      <c r="C120" s="5"/>
      <c r="M120" s="367" t="s">
        <v>70</v>
      </c>
      <c r="N120" s="367"/>
    </row>
    <row r="121" spans="1:22" ht="15.75" customHeight="1">
      <c r="A121" s="4" t="s">
        <v>13</v>
      </c>
      <c r="C121" s="5">
        <f>COUNT(A10:A117)</f>
        <v>108</v>
      </c>
      <c r="M121" s="367"/>
      <c r="N121" s="367"/>
    </row>
    <row r="122" spans="1:22" ht="15.75" customHeight="1">
      <c r="A122" s="4"/>
      <c r="C122" s="5"/>
      <c r="M122" s="367"/>
      <c r="N122" s="367"/>
      <c r="O122"/>
      <c r="P122" s="79"/>
      <c r="Q122"/>
      <c r="R122"/>
      <c r="S122"/>
      <c r="T122" s="80"/>
      <c r="U122" s="80"/>
      <c r="V122" s="80"/>
    </row>
    <row r="123" spans="1:22" ht="15.75" customHeight="1">
      <c r="M123" s="367"/>
      <c r="N123" s="367"/>
      <c r="O123"/>
      <c r="P123" s="79"/>
      <c r="Q123"/>
      <c r="R123"/>
      <c r="S123"/>
      <c r="T123"/>
      <c r="U123"/>
      <c r="V123"/>
    </row>
    <row r="124" spans="1:22" ht="15.75" customHeight="1">
      <c r="M124" s="367"/>
      <c r="N124" s="367"/>
      <c r="O124"/>
      <c r="P124" s="79"/>
      <c r="Q124"/>
      <c r="R124"/>
      <c r="S124"/>
      <c r="U124"/>
      <c r="V124"/>
    </row>
    <row r="125" spans="1:22" ht="15.75" customHeight="1">
      <c r="M125" s="367"/>
      <c r="N125" s="367"/>
      <c r="O125"/>
      <c r="P125" s="79"/>
      <c r="Q125"/>
      <c r="R125"/>
      <c r="S125"/>
      <c r="U125"/>
      <c r="V125"/>
    </row>
    <row r="126" spans="1:22" ht="15.75" customHeight="1">
      <c r="A126"/>
      <c r="B126"/>
      <c r="C126"/>
      <c r="D126"/>
      <c r="E126"/>
      <c r="F126"/>
      <c r="G126"/>
      <c r="H126"/>
      <c r="I126"/>
      <c r="J126"/>
      <c r="K126"/>
      <c r="L126"/>
      <c r="M126" s="367"/>
      <c r="N126" s="367"/>
      <c r="O126"/>
      <c r="P126" s="79"/>
      <c r="Q126"/>
      <c r="R126"/>
      <c r="S126"/>
      <c r="T126"/>
      <c r="U126"/>
      <c r="V126"/>
    </row>
    <row r="127" spans="1:22" s="36" customFormat="1">
      <c r="A127" s="1"/>
      <c r="B127" s="268" t="str">
        <f>[1]SubjectDetails!$A$24</f>
        <v>Dr. Ravi Chourasiya</v>
      </c>
      <c r="C127" s="268"/>
      <c r="D127" s="268" t="str">
        <f>[1]SubjectDetails!$E$24</f>
        <v>Dr. Ashwini Chavan</v>
      </c>
      <c r="E127" s="268"/>
      <c r="F127" s="268"/>
      <c r="G127" s="268"/>
      <c r="H127" s="1"/>
      <c r="I127" s="1"/>
      <c r="J127" s="268" t="str">
        <f>[1]SubjectDetails!$H$24</f>
        <v>Dr. Priyanka Singh</v>
      </c>
      <c r="K127" s="268"/>
      <c r="L127" s="268"/>
      <c r="M127" s="1"/>
    </row>
    <row r="128" spans="1:22" s="36" customFormat="1">
      <c r="A128" s="82"/>
      <c r="B128" s="202" t="str">
        <f>[1]SubjectDetails!$A$25</f>
        <v>(College Examination Officer)</v>
      </c>
      <c r="C128" s="202"/>
      <c r="D128" s="199" t="str">
        <f>[1]SubjectDetails!$E$25</f>
        <v>HOD (MCA)</v>
      </c>
      <c r="E128" s="199"/>
      <c r="F128" s="199"/>
      <c r="G128" s="199"/>
      <c r="H128" s="181"/>
      <c r="I128" s="202" t="str">
        <f>[1]SubjectDetails!$H$25</f>
        <v>Director</v>
      </c>
      <c r="J128" s="202"/>
      <c r="K128" s="202"/>
      <c r="L128" s="202"/>
      <c r="M128" s="1"/>
    </row>
    <row r="129" spans="1:22" ht="15.75" customHeight="1">
      <c r="A129" s="82"/>
      <c r="B129" s="82"/>
      <c r="C129" s="177"/>
      <c r="D129" s="177"/>
      <c r="E129" s="177"/>
      <c r="F129" s="177"/>
      <c r="G129" s="1"/>
      <c r="I129" s="202"/>
      <c r="J129" s="202"/>
      <c r="K129" s="82"/>
      <c r="L129" s="178"/>
      <c r="M129" s="82"/>
      <c r="N129" s="80"/>
      <c r="O129"/>
      <c r="P129" s="79"/>
      <c r="Q129" s="81"/>
      <c r="R129" s="81"/>
      <c r="S129" s="81"/>
      <c r="T129" s="80"/>
      <c r="U129" s="80"/>
      <c r="V129" s="80"/>
    </row>
    <row r="130" spans="1:22" ht="15.75" customHeight="1">
      <c r="D130" s="1"/>
      <c r="E130" s="1"/>
      <c r="F130" s="1"/>
      <c r="G130" s="1"/>
      <c r="H130" s="1"/>
      <c r="K130" s="1"/>
      <c r="M130" s="1"/>
    </row>
    <row r="131" spans="1:22" ht="15.75" customHeight="1">
      <c r="A131" s="199"/>
      <c r="B131" s="199"/>
      <c r="C131" s="199"/>
      <c r="D131" s="202"/>
      <c r="E131" s="202"/>
      <c r="F131" s="202"/>
      <c r="G131" s="202"/>
      <c r="H131" s="200"/>
      <c r="I131" s="200"/>
      <c r="J131" s="200"/>
      <c r="K131" s="200"/>
      <c r="L131" s="48"/>
      <c r="M131" s="1"/>
    </row>
    <row r="132" spans="1:22" ht="15.75" customHeight="1">
      <c r="A132" s="363"/>
      <c r="B132" s="363"/>
      <c r="C132" s="363"/>
      <c r="D132" s="364"/>
      <c r="E132" s="364"/>
      <c r="F132" s="364"/>
      <c r="G132" s="364"/>
      <c r="H132" s="366"/>
      <c r="I132" s="366"/>
      <c r="J132" s="366"/>
      <c r="K132" s="80"/>
      <c r="L132" s="48"/>
    </row>
    <row r="133" spans="1:22" ht="15.75" customHeight="1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/>
    </row>
  </sheetData>
  <mergeCells count="26">
    <mergeCell ref="I129:J129"/>
    <mergeCell ref="A131:C131"/>
    <mergeCell ref="D131:G131"/>
    <mergeCell ref="H131:K131"/>
    <mergeCell ref="A132:C132"/>
    <mergeCell ref="D132:G132"/>
    <mergeCell ref="H132:J132"/>
    <mergeCell ref="B127:C127"/>
    <mergeCell ref="D127:G127"/>
    <mergeCell ref="J127:L127"/>
    <mergeCell ref="B128:C128"/>
    <mergeCell ref="D128:G128"/>
    <mergeCell ref="I128:L128"/>
    <mergeCell ref="M120:N126"/>
    <mergeCell ref="A1:L1"/>
    <mergeCell ref="A2:L2"/>
    <mergeCell ref="A3:L3"/>
    <mergeCell ref="A4:L4"/>
    <mergeCell ref="A5:L5"/>
    <mergeCell ref="A6:C6"/>
    <mergeCell ref="D6:L6"/>
    <mergeCell ref="A7:A9"/>
    <mergeCell ref="B7:B9"/>
    <mergeCell ref="C7:C9"/>
    <mergeCell ref="D7:K7"/>
    <mergeCell ref="L7:L8"/>
  </mergeCells>
  <hyperlinks>
    <hyperlink ref="M120:N126" r:id="rId1" display="Overall  Semester wise  Attainment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SubjectDetails</vt:lpstr>
      <vt:lpstr>Rubrics</vt:lpstr>
      <vt:lpstr>CO Mapping PO </vt:lpstr>
      <vt:lpstr>CCE1</vt:lpstr>
      <vt:lpstr>CCE2</vt:lpstr>
      <vt:lpstr>CCE3</vt:lpstr>
      <vt:lpstr>CCE</vt:lpstr>
      <vt:lpstr>CO Int. Attn</vt:lpstr>
      <vt:lpstr>CO Ext. Attn</vt:lpstr>
      <vt:lpstr>OverallCO Attainment</vt:lpstr>
      <vt:lpstr>CO PO Attainment</vt:lpstr>
      <vt:lpstr>Sheet1</vt:lpstr>
      <vt:lpstr>Class</vt:lpstr>
      <vt:lpstr>Class_AY</vt:lpstr>
      <vt:lpstr>Designation</vt:lpstr>
      <vt:lpstr>dir_wt</vt:lpstr>
      <vt:lpstr>ext_wt</vt:lpstr>
      <vt:lpstr>Faculty</vt:lpstr>
      <vt:lpstr>ind_wt</vt:lpstr>
      <vt:lpstr>int_wt</vt:lpstr>
      <vt:lpstr>spl</vt:lpstr>
      <vt:lpstr>Sub_Code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Lalbeg</dc:creator>
  <cp:lastModifiedBy>Admin</cp:lastModifiedBy>
  <cp:lastPrinted>2025-01-24T07:01:57Z</cp:lastPrinted>
  <dcterms:created xsi:type="dcterms:W3CDTF">2024-11-30T04:33:13Z</dcterms:created>
  <dcterms:modified xsi:type="dcterms:W3CDTF">2026-02-19T04:24:09Z</dcterms:modified>
</cp:coreProperties>
</file>