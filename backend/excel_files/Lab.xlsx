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YPIMED\2023-25\SEM I\"/>
    </mc:Choice>
  </mc:AlternateContent>
  <bookViews>
    <workbookView xWindow="0" yWindow="0" windowWidth="20490" windowHeight="7650" tabRatio="853" firstSheet="2" activeTab="8"/>
  </bookViews>
  <sheets>
    <sheet name="SubjectDetails" sheetId="25" r:id="rId1"/>
    <sheet name="Rubrics" sheetId="31" r:id="rId2"/>
    <sheet name="CO Mapping PO " sheetId="21" r:id="rId3"/>
    <sheet name="CCE1" sheetId="15" r:id="rId4"/>
    <sheet name="CCE2" sheetId="18" r:id="rId5"/>
    <sheet name="CCE3" sheetId="28" r:id="rId6"/>
    <sheet name="CCE" sheetId="19" r:id="rId7"/>
    <sheet name="CO Int. Attn" sheetId="24" r:id="rId8"/>
    <sheet name="CO Ext. Attn" sheetId="26" r:id="rId9"/>
    <sheet name="OverallCO Attainment" sheetId="20" r:id="rId10"/>
    <sheet name="CO PO Attainment" sheetId="23" r:id="rId11"/>
    <sheet name="Course exit" sheetId="29" r:id="rId12"/>
  </sheets>
  <externalReferences>
    <externalReference r:id="rId13"/>
  </externalReferences>
  <definedNames>
    <definedName name="_xlnm._FilterDatabase" localSheetId="5" hidden="1">'CCE3'!$A$72:$N$118</definedName>
    <definedName name="_xlnm._FilterDatabase" localSheetId="8" hidden="1">'CO Ext. Attn'!$A$14:$P$121</definedName>
    <definedName name="_xlnm._FilterDatabase" localSheetId="7" hidden="1">'CO Int. Attn'!$A$90:$X$121</definedName>
    <definedName name="Class">SubjectDetails!$B$10</definedName>
    <definedName name="Class_AY">SubjectDetails!$B$10</definedName>
    <definedName name="Designation">SubjectDetails!$B$7</definedName>
    <definedName name="dir_wt">SubjectDetails!$B$17</definedName>
    <definedName name="ext_wt">SubjectDetails!$B$15</definedName>
    <definedName name="Faculty">SubjectDetails!$B$6</definedName>
    <definedName name="ind_wt">SubjectDetails!$B$18</definedName>
    <definedName name="int_wt">SubjectDetails!$B$14</definedName>
    <definedName name="spl">SubjectDetails!$B$11</definedName>
    <definedName name="Sub_Code">SubjectDetails!$B$8</definedName>
    <definedName name="Target">60%</definedName>
    <definedName name="Type">SubjectDetails!$B$9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8" i="24" l="1"/>
  <c r="K17" i="23" l="1"/>
  <c r="K18" i="23" s="1"/>
  <c r="J17" i="23"/>
  <c r="J18" i="23" s="1"/>
  <c r="I17" i="23"/>
  <c r="I18" i="23" s="1"/>
  <c r="H17" i="23"/>
  <c r="H18" i="23" s="1"/>
  <c r="G17" i="23"/>
  <c r="G18" i="23" s="1"/>
  <c r="F17" i="23"/>
  <c r="F18" i="23" s="1"/>
  <c r="E17" i="23"/>
  <c r="E18" i="23" s="1"/>
  <c r="D17" i="23"/>
  <c r="D18" i="23" s="1"/>
  <c r="C15" i="23"/>
  <c r="C14" i="23"/>
  <c r="C13" i="23"/>
  <c r="D16" i="20"/>
  <c r="E16" i="20"/>
  <c r="F16" i="20"/>
  <c r="D15" i="20"/>
  <c r="E15" i="20"/>
  <c r="F15" i="20"/>
  <c r="C15" i="20"/>
  <c r="D14" i="20"/>
  <c r="E14" i="20"/>
  <c r="F14" i="20"/>
  <c r="C14" i="20"/>
  <c r="A6" i="29"/>
  <c r="I128" i="29"/>
  <c r="D128" i="29"/>
  <c r="B128" i="29"/>
  <c r="J127" i="29"/>
  <c r="D127" i="29"/>
  <c r="B127" i="29"/>
  <c r="C121" i="29"/>
  <c r="H118" i="29"/>
  <c r="H119" i="29" s="1"/>
  <c r="G118" i="29"/>
  <c r="G119" i="29" s="1"/>
  <c r="F118" i="29"/>
  <c r="F119" i="29" s="1"/>
  <c r="E118" i="29"/>
  <c r="E119" i="29" s="1"/>
  <c r="D118" i="29"/>
  <c r="D119" i="29" s="1"/>
  <c r="L117" i="29"/>
  <c r="L116" i="29"/>
  <c r="L115" i="29"/>
  <c r="L114" i="29"/>
  <c r="L113" i="29"/>
  <c r="L112" i="29"/>
  <c r="L111" i="29"/>
  <c r="L110" i="29"/>
  <c r="L109" i="29"/>
  <c r="L108" i="29"/>
  <c r="L107" i="29"/>
  <c r="L106" i="29"/>
  <c r="L105" i="29"/>
  <c r="L104" i="29"/>
  <c r="L103" i="29"/>
  <c r="L102" i="29"/>
  <c r="L101" i="29"/>
  <c r="L100" i="29"/>
  <c r="L99" i="29"/>
  <c r="L98" i="29"/>
  <c r="L97" i="29"/>
  <c r="L96" i="29"/>
  <c r="L95" i="29"/>
  <c r="L94" i="29"/>
  <c r="L93" i="29"/>
  <c r="L92" i="29"/>
  <c r="L91" i="29"/>
  <c r="L90" i="29"/>
  <c r="L89" i="29"/>
  <c r="L88" i="29"/>
  <c r="L87" i="29"/>
  <c r="L86" i="29"/>
  <c r="L85" i="29"/>
  <c r="L84" i="29"/>
  <c r="L83" i="29"/>
  <c r="L82" i="29"/>
  <c r="L81" i="29"/>
  <c r="L80" i="29"/>
  <c r="L79" i="29"/>
  <c r="L78" i="29"/>
  <c r="L77" i="29"/>
  <c r="L76" i="29"/>
  <c r="L75" i="29"/>
  <c r="L74" i="29"/>
  <c r="L73" i="29"/>
  <c r="L72" i="29"/>
  <c r="L71" i="29"/>
  <c r="L70" i="29"/>
  <c r="L69" i="29"/>
  <c r="L68" i="29"/>
  <c r="L67" i="29"/>
  <c r="L66" i="29"/>
  <c r="L65" i="29"/>
  <c r="L64" i="29"/>
  <c r="L63" i="29"/>
  <c r="L62" i="29"/>
  <c r="L61" i="29"/>
  <c r="L60" i="29"/>
  <c r="L59" i="29"/>
  <c r="L58" i="29"/>
  <c r="L57" i="29"/>
  <c r="L56" i="29"/>
  <c r="L55" i="29"/>
  <c r="L54" i="29"/>
  <c r="L53" i="29"/>
  <c r="L52" i="29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L23" i="29"/>
  <c r="L22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118" i="29" s="1"/>
  <c r="L119" i="29" s="1"/>
  <c r="L9" i="29"/>
  <c r="D13" i="20"/>
  <c r="E13" i="20"/>
  <c r="F13" i="20"/>
  <c r="C13" i="20"/>
  <c r="D12" i="20"/>
  <c r="E12" i="20"/>
  <c r="F12" i="20"/>
  <c r="F11" i="20"/>
  <c r="E11" i="20"/>
  <c r="D11" i="20"/>
  <c r="H137" i="24"/>
  <c r="H136" i="24"/>
  <c r="H135" i="24"/>
  <c r="H134" i="24"/>
  <c r="X123" i="24"/>
  <c r="X128" i="24" s="1"/>
  <c r="X129" i="24" s="1"/>
  <c r="X124" i="24"/>
  <c r="X125" i="24"/>
  <c r="X126" i="24"/>
  <c r="X127" i="24"/>
  <c r="T123" i="24"/>
  <c r="U123" i="24"/>
  <c r="V123" i="24"/>
  <c r="T124" i="24"/>
  <c r="U124" i="24"/>
  <c r="U128" i="24" s="1"/>
  <c r="U129" i="24" s="1"/>
  <c r="V124" i="24"/>
  <c r="V128" i="24" s="1"/>
  <c r="V129" i="24" s="1"/>
  <c r="T125" i="24"/>
  <c r="U125" i="24"/>
  <c r="V125" i="24"/>
  <c r="T126" i="24"/>
  <c r="U126" i="24"/>
  <c r="V126" i="24"/>
  <c r="T127" i="24"/>
  <c r="U127" i="24"/>
  <c r="V127" i="24"/>
  <c r="T128" i="24"/>
  <c r="T129" i="24" s="1"/>
  <c r="S127" i="24"/>
  <c r="S126" i="24"/>
  <c r="S125" i="24"/>
  <c r="S124" i="24"/>
  <c r="S123" i="24"/>
  <c r="V14" i="24"/>
  <c r="U14" i="24"/>
  <c r="T14" i="24"/>
  <c r="T122" i="24" s="1"/>
  <c r="S14" i="24"/>
  <c r="S122" i="24" s="1"/>
  <c r="I128" i="24"/>
  <c r="E122" i="24"/>
  <c r="F122" i="24"/>
  <c r="G122" i="24"/>
  <c r="I122" i="24"/>
  <c r="J122" i="24"/>
  <c r="K122" i="24"/>
  <c r="L122" i="24"/>
  <c r="N122" i="24"/>
  <c r="O122" i="24"/>
  <c r="P122" i="24"/>
  <c r="Q122" i="24"/>
  <c r="E123" i="24"/>
  <c r="F123" i="24"/>
  <c r="G123" i="24"/>
  <c r="I123" i="24"/>
  <c r="J123" i="24"/>
  <c r="K123" i="24"/>
  <c r="L123" i="24"/>
  <c r="N123" i="24"/>
  <c r="O123" i="24"/>
  <c r="P123" i="24"/>
  <c r="P128" i="24" s="1"/>
  <c r="P129" i="24" s="1"/>
  <c r="Q123" i="24"/>
  <c r="E124" i="24"/>
  <c r="F124" i="24"/>
  <c r="G124" i="24"/>
  <c r="I124" i="24"/>
  <c r="J124" i="24"/>
  <c r="K124" i="24"/>
  <c r="L124" i="24"/>
  <c r="L128" i="24" s="1"/>
  <c r="L129" i="24" s="1"/>
  <c r="N124" i="24"/>
  <c r="O124" i="24"/>
  <c r="P124" i="24"/>
  <c r="Q124" i="24"/>
  <c r="E125" i="24"/>
  <c r="F125" i="24"/>
  <c r="G125" i="24"/>
  <c r="I125" i="24"/>
  <c r="J125" i="24"/>
  <c r="K125" i="24"/>
  <c r="L125" i="24"/>
  <c r="N125" i="24"/>
  <c r="O125" i="24"/>
  <c r="P125" i="24"/>
  <c r="Q125" i="24"/>
  <c r="E126" i="24"/>
  <c r="F126" i="24"/>
  <c r="G126" i="24"/>
  <c r="I126" i="24"/>
  <c r="J126" i="24"/>
  <c r="K126" i="24"/>
  <c r="L126" i="24"/>
  <c r="N126" i="24"/>
  <c r="O126" i="24"/>
  <c r="P126" i="24"/>
  <c r="Q126" i="24"/>
  <c r="E127" i="24"/>
  <c r="F127" i="24"/>
  <c r="G127" i="24"/>
  <c r="I127" i="24"/>
  <c r="J127" i="24"/>
  <c r="K127" i="24"/>
  <c r="L127" i="24"/>
  <c r="N127" i="24"/>
  <c r="O127" i="24"/>
  <c r="P127" i="24"/>
  <c r="Q127" i="24"/>
  <c r="E128" i="24"/>
  <c r="E129" i="24" s="1"/>
  <c r="F128" i="24"/>
  <c r="F129" i="24" s="1"/>
  <c r="G128" i="24"/>
  <c r="G129" i="24" s="1"/>
  <c r="J128" i="24"/>
  <c r="K128" i="24"/>
  <c r="N128" i="24"/>
  <c r="N129" i="24" s="1"/>
  <c r="O128" i="24"/>
  <c r="O129" i="24" s="1"/>
  <c r="Q128" i="24"/>
  <c r="I129" i="24"/>
  <c r="J129" i="24"/>
  <c r="K129" i="24"/>
  <c r="Q129" i="24"/>
  <c r="D127" i="24"/>
  <c r="D126" i="24"/>
  <c r="D125" i="24"/>
  <c r="D124" i="24"/>
  <c r="D123" i="24"/>
  <c r="D122" i="24"/>
  <c r="C125" i="24"/>
  <c r="C124" i="24"/>
  <c r="C123" i="24"/>
  <c r="S128" i="24" l="1"/>
  <c r="S129" i="24" s="1"/>
  <c r="V122" i="24"/>
  <c r="U122" i="24"/>
  <c r="D129" i="24"/>
  <c r="V13" i="24" l="1"/>
  <c r="U13" i="24"/>
  <c r="T13" i="24"/>
  <c r="S13" i="24"/>
  <c r="N15" i="24"/>
  <c r="O15" i="24"/>
  <c r="P15" i="24"/>
  <c r="Q15" i="24"/>
  <c r="N16" i="24"/>
  <c r="O16" i="24"/>
  <c r="P16" i="24"/>
  <c r="Q16" i="24"/>
  <c r="N17" i="24"/>
  <c r="O17" i="24"/>
  <c r="P17" i="24"/>
  <c r="Q17" i="24"/>
  <c r="N18" i="24"/>
  <c r="O18" i="24"/>
  <c r="P18" i="24"/>
  <c r="Q18" i="24"/>
  <c r="N19" i="24"/>
  <c r="O19" i="24"/>
  <c r="P19" i="24"/>
  <c r="Q19" i="24"/>
  <c r="N20" i="24"/>
  <c r="O20" i="24"/>
  <c r="P20" i="24"/>
  <c r="Q20" i="24"/>
  <c r="N21" i="24"/>
  <c r="O21" i="24"/>
  <c r="P21" i="24"/>
  <c r="Q21" i="24"/>
  <c r="N22" i="24"/>
  <c r="O22" i="24"/>
  <c r="P22" i="24"/>
  <c r="Q22" i="24"/>
  <c r="N23" i="24"/>
  <c r="O23" i="24"/>
  <c r="P23" i="24"/>
  <c r="Q23" i="24"/>
  <c r="N24" i="24"/>
  <c r="O24" i="24"/>
  <c r="P24" i="24"/>
  <c r="Q24" i="24"/>
  <c r="N25" i="24"/>
  <c r="O25" i="24"/>
  <c r="P25" i="24"/>
  <c r="Q25" i="24"/>
  <c r="N26" i="24"/>
  <c r="O26" i="24"/>
  <c r="P26" i="24"/>
  <c r="Q26" i="24"/>
  <c r="N27" i="24"/>
  <c r="O27" i="24"/>
  <c r="P27" i="24"/>
  <c r="Q27" i="24"/>
  <c r="N28" i="24"/>
  <c r="O28" i="24"/>
  <c r="P28" i="24"/>
  <c r="Q28" i="24"/>
  <c r="N29" i="24"/>
  <c r="O29" i="24"/>
  <c r="P29" i="24"/>
  <c r="Q29" i="24"/>
  <c r="N30" i="24"/>
  <c r="O30" i="24"/>
  <c r="P30" i="24"/>
  <c r="Q30" i="24"/>
  <c r="N31" i="24"/>
  <c r="O31" i="24"/>
  <c r="P31" i="24"/>
  <c r="Q31" i="24"/>
  <c r="N32" i="24"/>
  <c r="O32" i="24"/>
  <c r="P32" i="24"/>
  <c r="Q32" i="24"/>
  <c r="N33" i="24"/>
  <c r="O33" i="24"/>
  <c r="P33" i="24"/>
  <c r="Q33" i="24"/>
  <c r="N34" i="24"/>
  <c r="O34" i="24"/>
  <c r="P34" i="24"/>
  <c r="Q34" i="24"/>
  <c r="N35" i="24"/>
  <c r="O35" i="24"/>
  <c r="P35" i="24"/>
  <c r="Q35" i="24"/>
  <c r="N36" i="24"/>
  <c r="O36" i="24"/>
  <c r="P36" i="24"/>
  <c r="Q36" i="24"/>
  <c r="N37" i="24"/>
  <c r="O37" i="24"/>
  <c r="P37" i="24"/>
  <c r="Q37" i="24"/>
  <c r="N38" i="24"/>
  <c r="O38" i="24"/>
  <c r="P38" i="24"/>
  <c r="Q38" i="24"/>
  <c r="N39" i="24"/>
  <c r="O39" i="24"/>
  <c r="P39" i="24"/>
  <c r="Q39" i="24"/>
  <c r="N40" i="24"/>
  <c r="O40" i="24"/>
  <c r="P40" i="24"/>
  <c r="Q40" i="24"/>
  <c r="N41" i="24"/>
  <c r="O41" i="24"/>
  <c r="P41" i="24"/>
  <c r="Q41" i="24"/>
  <c r="N42" i="24"/>
  <c r="O42" i="24"/>
  <c r="P42" i="24"/>
  <c r="Q42" i="24"/>
  <c r="N43" i="24"/>
  <c r="O43" i="24"/>
  <c r="P43" i="24"/>
  <c r="Q43" i="24"/>
  <c r="N44" i="24"/>
  <c r="O44" i="24"/>
  <c r="P44" i="24"/>
  <c r="Q44" i="24"/>
  <c r="N45" i="24"/>
  <c r="O45" i="24"/>
  <c r="P45" i="24"/>
  <c r="Q45" i="24"/>
  <c r="N46" i="24"/>
  <c r="O46" i="24"/>
  <c r="P46" i="24"/>
  <c r="Q46" i="24"/>
  <c r="N47" i="24"/>
  <c r="O47" i="24"/>
  <c r="P47" i="24"/>
  <c r="Q47" i="24"/>
  <c r="N48" i="24"/>
  <c r="O48" i="24"/>
  <c r="P48" i="24"/>
  <c r="Q48" i="24"/>
  <c r="N49" i="24"/>
  <c r="O49" i="24"/>
  <c r="P49" i="24"/>
  <c r="Q49" i="24"/>
  <c r="N50" i="24"/>
  <c r="O50" i="24"/>
  <c r="P50" i="24"/>
  <c r="Q50" i="24"/>
  <c r="N51" i="24"/>
  <c r="O51" i="24"/>
  <c r="P51" i="24"/>
  <c r="Q51" i="24"/>
  <c r="N52" i="24"/>
  <c r="O52" i="24"/>
  <c r="P52" i="24"/>
  <c r="Q52" i="24"/>
  <c r="N53" i="24"/>
  <c r="O53" i="24"/>
  <c r="P53" i="24"/>
  <c r="Q53" i="24"/>
  <c r="N54" i="24"/>
  <c r="O54" i="24"/>
  <c r="P54" i="24"/>
  <c r="Q54" i="24"/>
  <c r="N55" i="24"/>
  <c r="O55" i="24"/>
  <c r="P55" i="24"/>
  <c r="Q55" i="24"/>
  <c r="N56" i="24"/>
  <c r="O56" i="24"/>
  <c r="P56" i="24"/>
  <c r="Q56" i="24"/>
  <c r="N57" i="24"/>
  <c r="O57" i="24"/>
  <c r="P57" i="24"/>
  <c r="Q57" i="24"/>
  <c r="N58" i="24"/>
  <c r="O58" i="24"/>
  <c r="P58" i="24"/>
  <c r="Q58" i="24"/>
  <c r="N59" i="24"/>
  <c r="O59" i="24"/>
  <c r="P59" i="24"/>
  <c r="Q59" i="24"/>
  <c r="N60" i="24"/>
  <c r="O60" i="24"/>
  <c r="P60" i="24"/>
  <c r="Q60" i="24"/>
  <c r="N61" i="24"/>
  <c r="O61" i="24"/>
  <c r="P61" i="24"/>
  <c r="Q61" i="24"/>
  <c r="N62" i="24"/>
  <c r="O62" i="24"/>
  <c r="P62" i="24"/>
  <c r="Q62" i="24"/>
  <c r="N63" i="24"/>
  <c r="O63" i="24"/>
  <c r="P63" i="24"/>
  <c r="Q63" i="24"/>
  <c r="N64" i="24"/>
  <c r="O64" i="24"/>
  <c r="P64" i="24"/>
  <c r="Q64" i="24"/>
  <c r="N65" i="24"/>
  <c r="O65" i="24"/>
  <c r="P65" i="24"/>
  <c r="Q65" i="24"/>
  <c r="N66" i="24"/>
  <c r="O66" i="24"/>
  <c r="P66" i="24"/>
  <c r="Q66" i="24"/>
  <c r="N67" i="24"/>
  <c r="O67" i="24"/>
  <c r="P67" i="24"/>
  <c r="Q67" i="24"/>
  <c r="N68" i="24"/>
  <c r="O68" i="24"/>
  <c r="P68" i="24"/>
  <c r="Q68" i="24"/>
  <c r="N69" i="24"/>
  <c r="O69" i="24"/>
  <c r="P69" i="24"/>
  <c r="Q69" i="24"/>
  <c r="N70" i="24"/>
  <c r="O70" i="24"/>
  <c r="P70" i="24"/>
  <c r="Q70" i="24"/>
  <c r="N71" i="24"/>
  <c r="O71" i="24"/>
  <c r="P71" i="24"/>
  <c r="Q71" i="24"/>
  <c r="N72" i="24"/>
  <c r="O72" i="24"/>
  <c r="P72" i="24"/>
  <c r="Q72" i="24"/>
  <c r="N73" i="24"/>
  <c r="O73" i="24"/>
  <c r="P73" i="24"/>
  <c r="Q73" i="24"/>
  <c r="N74" i="24"/>
  <c r="O74" i="24"/>
  <c r="P74" i="24"/>
  <c r="Q74" i="24"/>
  <c r="N75" i="24"/>
  <c r="O75" i="24"/>
  <c r="P75" i="24"/>
  <c r="Q75" i="24"/>
  <c r="N76" i="24"/>
  <c r="O76" i="24"/>
  <c r="P76" i="24"/>
  <c r="Q76" i="24"/>
  <c r="N77" i="24"/>
  <c r="O77" i="24"/>
  <c r="P77" i="24"/>
  <c r="Q77" i="24"/>
  <c r="N78" i="24"/>
  <c r="O78" i="24"/>
  <c r="P78" i="24"/>
  <c r="Q78" i="24"/>
  <c r="N79" i="24"/>
  <c r="O79" i="24"/>
  <c r="P79" i="24"/>
  <c r="Q79" i="24"/>
  <c r="N80" i="24"/>
  <c r="O80" i="24"/>
  <c r="P80" i="24"/>
  <c r="Q80" i="24"/>
  <c r="N81" i="24"/>
  <c r="O81" i="24"/>
  <c r="P81" i="24"/>
  <c r="Q81" i="24"/>
  <c r="N82" i="24"/>
  <c r="O82" i="24"/>
  <c r="P82" i="24"/>
  <c r="Q82" i="24"/>
  <c r="N83" i="24"/>
  <c r="O83" i="24"/>
  <c r="P83" i="24"/>
  <c r="Q83" i="24"/>
  <c r="N84" i="24"/>
  <c r="O84" i="24"/>
  <c r="P84" i="24"/>
  <c r="Q84" i="24"/>
  <c r="N85" i="24"/>
  <c r="O85" i="24"/>
  <c r="P85" i="24"/>
  <c r="Q85" i="24"/>
  <c r="N86" i="24"/>
  <c r="O86" i="24"/>
  <c r="P86" i="24"/>
  <c r="Q86" i="24"/>
  <c r="N87" i="24"/>
  <c r="O87" i="24"/>
  <c r="P87" i="24"/>
  <c r="Q87" i="24"/>
  <c r="N88" i="24"/>
  <c r="O88" i="24"/>
  <c r="P88" i="24"/>
  <c r="Q88" i="24"/>
  <c r="N89" i="24"/>
  <c r="O89" i="24"/>
  <c r="P89" i="24"/>
  <c r="Q89" i="24"/>
  <c r="N90" i="24"/>
  <c r="O90" i="24"/>
  <c r="P90" i="24"/>
  <c r="Q90" i="24"/>
  <c r="N91" i="24"/>
  <c r="O91" i="24"/>
  <c r="P91" i="24"/>
  <c r="Q91" i="24"/>
  <c r="N92" i="24"/>
  <c r="O92" i="24"/>
  <c r="P92" i="24"/>
  <c r="Q92" i="24"/>
  <c r="N93" i="24"/>
  <c r="O93" i="24"/>
  <c r="P93" i="24"/>
  <c r="Q93" i="24"/>
  <c r="N94" i="24"/>
  <c r="O94" i="24"/>
  <c r="P94" i="24"/>
  <c r="Q94" i="24"/>
  <c r="N95" i="24"/>
  <c r="O95" i="24"/>
  <c r="P95" i="24"/>
  <c r="Q95" i="24"/>
  <c r="N96" i="24"/>
  <c r="O96" i="24"/>
  <c r="P96" i="24"/>
  <c r="Q96" i="24"/>
  <c r="N97" i="24"/>
  <c r="O97" i="24"/>
  <c r="P97" i="24"/>
  <c r="Q97" i="24"/>
  <c r="N98" i="24"/>
  <c r="O98" i="24"/>
  <c r="P98" i="24"/>
  <c r="Q98" i="24"/>
  <c r="N99" i="24"/>
  <c r="O99" i="24"/>
  <c r="P99" i="24"/>
  <c r="Q99" i="24"/>
  <c r="N100" i="24"/>
  <c r="O100" i="24"/>
  <c r="P100" i="24"/>
  <c r="Q100" i="24"/>
  <c r="N101" i="24"/>
  <c r="O101" i="24"/>
  <c r="P101" i="24"/>
  <c r="Q101" i="24"/>
  <c r="N102" i="24"/>
  <c r="O102" i="24"/>
  <c r="P102" i="24"/>
  <c r="Q102" i="24"/>
  <c r="N103" i="24"/>
  <c r="O103" i="24"/>
  <c r="P103" i="24"/>
  <c r="Q103" i="24"/>
  <c r="N104" i="24"/>
  <c r="O104" i="24"/>
  <c r="P104" i="24"/>
  <c r="Q104" i="24"/>
  <c r="N105" i="24"/>
  <c r="O105" i="24"/>
  <c r="P105" i="24"/>
  <c r="Q105" i="24"/>
  <c r="N106" i="24"/>
  <c r="O106" i="24"/>
  <c r="P106" i="24"/>
  <c r="Q106" i="24"/>
  <c r="N107" i="24"/>
  <c r="O107" i="24"/>
  <c r="P107" i="24"/>
  <c r="Q107" i="24"/>
  <c r="N108" i="24"/>
  <c r="O108" i="24"/>
  <c r="P108" i="24"/>
  <c r="Q108" i="24"/>
  <c r="N109" i="24"/>
  <c r="O109" i="24"/>
  <c r="P109" i="24"/>
  <c r="Q109" i="24"/>
  <c r="N110" i="24"/>
  <c r="O110" i="24"/>
  <c r="P110" i="24"/>
  <c r="Q110" i="24"/>
  <c r="N111" i="24"/>
  <c r="O111" i="24"/>
  <c r="P111" i="24"/>
  <c r="Q111" i="24"/>
  <c r="N112" i="24"/>
  <c r="O112" i="24"/>
  <c r="P112" i="24"/>
  <c r="Q112" i="24"/>
  <c r="N113" i="24"/>
  <c r="O113" i="24"/>
  <c r="P113" i="24"/>
  <c r="Q113" i="24"/>
  <c r="N114" i="24"/>
  <c r="O114" i="24"/>
  <c r="P114" i="24"/>
  <c r="Q114" i="24"/>
  <c r="N115" i="24"/>
  <c r="O115" i="24"/>
  <c r="P115" i="24"/>
  <c r="Q115" i="24"/>
  <c r="N116" i="24"/>
  <c r="O116" i="24"/>
  <c r="P116" i="24"/>
  <c r="Q116" i="24"/>
  <c r="N117" i="24"/>
  <c r="O117" i="24"/>
  <c r="P117" i="24"/>
  <c r="Q117" i="24"/>
  <c r="N118" i="24"/>
  <c r="O118" i="24"/>
  <c r="P118" i="24"/>
  <c r="Q118" i="24"/>
  <c r="N119" i="24"/>
  <c r="O119" i="24"/>
  <c r="P119" i="24"/>
  <c r="Q119" i="24"/>
  <c r="N120" i="24"/>
  <c r="O120" i="24"/>
  <c r="P120" i="24"/>
  <c r="Q120" i="24"/>
  <c r="N121" i="24"/>
  <c r="O121" i="24"/>
  <c r="P121" i="24"/>
  <c r="Q121" i="24"/>
  <c r="O14" i="24"/>
  <c r="P14" i="24"/>
  <c r="Q14" i="24"/>
  <c r="N14" i="24"/>
  <c r="I15" i="24"/>
  <c r="J15" i="24"/>
  <c r="K15" i="24"/>
  <c r="L15" i="24"/>
  <c r="I16" i="24"/>
  <c r="J16" i="24"/>
  <c r="K16" i="24"/>
  <c r="L16" i="24"/>
  <c r="I17" i="24"/>
  <c r="J17" i="24"/>
  <c r="K17" i="24"/>
  <c r="L17" i="24"/>
  <c r="I18" i="24"/>
  <c r="J18" i="24"/>
  <c r="K18" i="24"/>
  <c r="L18" i="24"/>
  <c r="I19" i="24"/>
  <c r="J19" i="24"/>
  <c r="K19" i="24"/>
  <c r="L19" i="24"/>
  <c r="I20" i="24"/>
  <c r="J20" i="24"/>
  <c r="K20" i="24"/>
  <c r="L20" i="24"/>
  <c r="I21" i="24"/>
  <c r="J21" i="24"/>
  <c r="K21" i="24"/>
  <c r="L21" i="24"/>
  <c r="I22" i="24"/>
  <c r="J22" i="24"/>
  <c r="K22" i="24"/>
  <c r="L22" i="24"/>
  <c r="I23" i="24"/>
  <c r="J23" i="24"/>
  <c r="K23" i="24"/>
  <c r="L23" i="24"/>
  <c r="I24" i="24"/>
  <c r="J24" i="24"/>
  <c r="K24" i="24"/>
  <c r="L24" i="24"/>
  <c r="I25" i="24"/>
  <c r="J25" i="24"/>
  <c r="K25" i="24"/>
  <c r="L25" i="24"/>
  <c r="I26" i="24"/>
  <c r="J26" i="24"/>
  <c r="K26" i="24"/>
  <c r="L26" i="24"/>
  <c r="I27" i="24"/>
  <c r="J27" i="24"/>
  <c r="K27" i="24"/>
  <c r="L27" i="24"/>
  <c r="I28" i="24"/>
  <c r="J28" i="24"/>
  <c r="K28" i="24"/>
  <c r="L28" i="24"/>
  <c r="I29" i="24"/>
  <c r="J29" i="24"/>
  <c r="K29" i="24"/>
  <c r="L29" i="24"/>
  <c r="I30" i="24"/>
  <c r="J30" i="24"/>
  <c r="K30" i="24"/>
  <c r="L30" i="24"/>
  <c r="I31" i="24"/>
  <c r="J31" i="24"/>
  <c r="K31" i="24"/>
  <c r="L31" i="24"/>
  <c r="I32" i="24"/>
  <c r="J32" i="24"/>
  <c r="K32" i="24"/>
  <c r="L32" i="24"/>
  <c r="I33" i="24"/>
  <c r="J33" i="24"/>
  <c r="K33" i="24"/>
  <c r="L33" i="24"/>
  <c r="I34" i="24"/>
  <c r="J34" i="24"/>
  <c r="K34" i="24"/>
  <c r="L34" i="24"/>
  <c r="I35" i="24"/>
  <c r="J35" i="24"/>
  <c r="K35" i="24"/>
  <c r="L35" i="24"/>
  <c r="I36" i="24"/>
  <c r="J36" i="24"/>
  <c r="K36" i="24"/>
  <c r="L36" i="24"/>
  <c r="I37" i="24"/>
  <c r="J37" i="24"/>
  <c r="K37" i="24"/>
  <c r="L37" i="24"/>
  <c r="I38" i="24"/>
  <c r="J38" i="24"/>
  <c r="K38" i="24"/>
  <c r="L38" i="24"/>
  <c r="I39" i="24"/>
  <c r="J39" i="24"/>
  <c r="K39" i="24"/>
  <c r="L39" i="24"/>
  <c r="I40" i="24"/>
  <c r="J40" i="24"/>
  <c r="K40" i="24"/>
  <c r="L40" i="24"/>
  <c r="I41" i="24"/>
  <c r="J41" i="24"/>
  <c r="K41" i="24"/>
  <c r="L41" i="24"/>
  <c r="I42" i="24"/>
  <c r="J42" i="24"/>
  <c r="K42" i="24"/>
  <c r="L42" i="24"/>
  <c r="I43" i="24"/>
  <c r="J43" i="24"/>
  <c r="K43" i="24"/>
  <c r="L43" i="24"/>
  <c r="I44" i="24"/>
  <c r="J44" i="24"/>
  <c r="K44" i="24"/>
  <c r="L44" i="24"/>
  <c r="I45" i="24"/>
  <c r="J45" i="24"/>
  <c r="K45" i="24"/>
  <c r="L45" i="24"/>
  <c r="I46" i="24"/>
  <c r="J46" i="24"/>
  <c r="K46" i="24"/>
  <c r="L46" i="24"/>
  <c r="I47" i="24"/>
  <c r="J47" i="24"/>
  <c r="K47" i="24"/>
  <c r="L47" i="24"/>
  <c r="I48" i="24"/>
  <c r="J48" i="24"/>
  <c r="K48" i="24"/>
  <c r="L48" i="24"/>
  <c r="I49" i="24"/>
  <c r="J49" i="24"/>
  <c r="K49" i="24"/>
  <c r="L49" i="24"/>
  <c r="I50" i="24"/>
  <c r="J50" i="24"/>
  <c r="K50" i="24"/>
  <c r="L50" i="24"/>
  <c r="I51" i="24"/>
  <c r="J51" i="24"/>
  <c r="K51" i="24"/>
  <c r="L51" i="24"/>
  <c r="I52" i="24"/>
  <c r="J52" i="24"/>
  <c r="K52" i="24"/>
  <c r="L52" i="24"/>
  <c r="I53" i="24"/>
  <c r="J53" i="24"/>
  <c r="K53" i="24"/>
  <c r="L53" i="24"/>
  <c r="I54" i="24"/>
  <c r="J54" i="24"/>
  <c r="K54" i="24"/>
  <c r="L54" i="24"/>
  <c r="I55" i="24"/>
  <c r="J55" i="24"/>
  <c r="K55" i="24"/>
  <c r="L55" i="24"/>
  <c r="I56" i="24"/>
  <c r="J56" i="24"/>
  <c r="K56" i="24"/>
  <c r="L56" i="24"/>
  <c r="I57" i="24"/>
  <c r="J57" i="24"/>
  <c r="K57" i="24"/>
  <c r="L57" i="24"/>
  <c r="I58" i="24"/>
  <c r="J58" i="24"/>
  <c r="K58" i="24"/>
  <c r="L58" i="24"/>
  <c r="I59" i="24"/>
  <c r="J59" i="24"/>
  <c r="K59" i="24"/>
  <c r="L59" i="24"/>
  <c r="I60" i="24"/>
  <c r="J60" i="24"/>
  <c r="K60" i="24"/>
  <c r="L60" i="24"/>
  <c r="I61" i="24"/>
  <c r="J61" i="24"/>
  <c r="K61" i="24"/>
  <c r="L61" i="24"/>
  <c r="I62" i="24"/>
  <c r="J62" i="24"/>
  <c r="K62" i="24"/>
  <c r="L62" i="24"/>
  <c r="I63" i="24"/>
  <c r="J63" i="24"/>
  <c r="K63" i="24"/>
  <c r="L63" i="24"/>
  <c r="I64" i="24"/>
  <c r="J64" i="24"/>
  <c r="K64" i="24"/>
  <c r="L64" i="24"/>
  <c r="I65" i="24"/>
  <c r="J65" i="24"/>
  <c r="K65" i="24"/>
  <c r="L65" i="24"/>
  <c r="I66" i="24"/>
  <c r="J66" i="24"/>
  <c r="K66" i="24"/>
  <c r="L66" i="24"/>
  <c r="I67" i="24"/>
  <c r="J67" i="24"/>
  <c r="K67" i="24"/>
  <c r="L67" i="24"/>
  <c r="I68" i="24"/>
  <c r="J68" i="24"/>
  <c r="K68" i="24"/>
  <c r="L68" i="24"/>
  <c r="I69" i="24"/>
  <c r="J69" i="24"/>
  <c r="K69" i="24"/>
  <c r="L69" i="24"/>
  <c r="I70" i="24"/>
  <c r="J70" i="24"/>
  <c r="K70" i="24"/>
  <c r="L70" i="24"/>
  <c r="I71" i="24"/>
  <c r="J71" i="24"/>
  <c r="K71" i="24"/>
  <c r="L71" i="24"/>
  <c r="I72" i="24"/>
  <c r="J72" i="24"/>
  <c r="K72" i="24"/>
  <c r="L72" i="24"/>
  <c r="I73" i="24"/>
  <c r="J73" i="24"/>
  <c r="K73" i="24"/>
  <c r="L73" i="24"/>
  <c r="I74" i="24"/>
  <c r="J74" i="24"/>
  <c r="K74" i="24"/>
  <c r="L74" i="24"/>
  <c r="I75" i="24"/>
  <c r="J75" i="24"/>
  <c r="K75" i="24"/>
  <c r="L75" i="24"/>
  <c r="I76" i="24"/>
  <c r="J76" i="24"/>
  <c r="K76" i="24"/>
  <c r="L76" i="24"/>
  <c r="I77" i="24"/>
  <c r="J77" i="24"/>
  <c r="K77" i="24"/>
  <c r="L77" i="24"/>
  <c r="I78" i="24"/>
  <c r="J78" i="24"/>
  <c r="K78" i="24"/>
  <c r="L78" i="24"/>
  <c r="I79" i="24"/>
  <c r="J79" i="24"/>
  <c r="K79" i="24"/>
  <c r="L79" i="24"/>
  <c r="I80" i="24"/>
  <c r="J80" i="24"/>
  <c r="K80" i="24"/>
  <c r="L80" i="24"/>
  <c r="I81" i="24"/>
  <c r="J81" i="24"/>
  <c r="K81" i="24"/>
  <c r="L81" i="24"/>
  <c r="I82" i="24"/>
  <c r="J82" i="24"/>
  <c r="K82" i="24"/>
  <c r="L82" i="24"/>
  <c r="I83" i="24"/>
  <c r="J83" i="24"/>
  <c r="K83" i="24"/>
  <c r="L83" i="24"/>
  <c r="I84" i="24"/>
  <c r="J84" i="24"/>
  <c r="K84" i="24"/>
  <c r="L84" i="24"/>
  <c r="I85" i="24"/>
  <c r="J85" i="24"/>
  <c r="K85" i="24"/>
  <c r="L85" i="24"/>
  <c r="I86" i="24"/>
  <c r="J86" i="24"/>
  <c r="K86" i="24"/>
  <c r="L86" i="24"/>
  <c r="I87" i="24"/>
  <c r="J87" i="24"/>
  <c r="K87" i="24"/>
  <c r="L87" i="24"/>
  <c r="I88" i="24"/>
  <c r="J88" i="24"/>
  <c r="K88" i="24"/>
  <c r="L88" i="24"/>
  <c r="I89" i="24"/>
  <c r="J89" i="24"/>
  <c r="K89" i="24"/>
  <c r="L89" i="24"/>
  <c r="I90" i="24"/>
  <c r="J90" i="24"/>
  <c r="K90" i="24"/>
  <c r="L90" i="24"/>
  <c r="I91" i="24"/>
  <c r="J91" i="24"/>
  <c r="K91" i="24"/>
  <c r="L91" i="24"/>
  <c r="I92" i="24"/>
  <c r="J92" i="24"/>
  <c r="K92" i="24"/>
  <c r="L92" i="24"/>
  <c r="I93" i="24"/>
  <c r="J93" i="24"/>
  <c r="K93" i="24"/>
  <c r="L93" i="24"/>
  <c r="I94" i="24"/>
  <c r="J94" i="24"/>
  <c r="K94" i="24"/>
  <c r="L94" i="24"/>
  <c r="I95" i="24"/>
  <c r="J95" i="24"/>
  <c r="K95" i="24"/>
  <c r="L95" i="24"/>
  <c r="I96" i="24"/>
  <c r="J96" i="24"/>
  <c r="K96" i="24"/>
  <c r="L96" i="24"/>
  <c r="I97" i="24"/>
  <c r="J97" i="24"/>
  <c r="K97" i="24"/>
  <c r="L97" i="24"/>
  <c r="I98" i="24"/>
  <c r="J98" i="24"/>
  <c r="K98" i="24"/>
  <c r="L98" i="24"/>
  <c r="I99" i="24"/>
  <c r="J99" i="24"/>
  <c r="K99" i="24"/>
  <c r="L99" i="24"/>
  <c r="I100" i="24"/>
  <c r="J100" i="24"/>
  <c r="K100" i="24"/>
  <c r="L100" i="24"/>
  <c r="I101" i="24"/>
  <c r="J101" i="24"/>
  <c r="K101" i="24"/>
  <c r="L101" i="24"/>
  <c r="I102" i="24"/>
  <c r="J102" i="24"/>
  <c r="K102" i="24"/>
  <c r="L102" i="24"/>
  <c r="I103" i="24"/>
  <c r="J103" i="24"/>
  <c r="K103" i="24"/>
  <c r="L103" i="24"/>
  <c r="I104" i="24"/>
  <c r="J104" i="24"/>
  <c r="K104" i="24"/>
  <c r="L104" i="24"/>
  <c r="I105" i="24"/>
  <c r="J105" i="24"/>
  <c r="K105" i="24"/>
  <c r="L105" i="24"/>
  <c r="I106" i="24"/>
  <c r="J106" i="24"/>
  <c r="K106" i="24"/>
  <c r="L106" i="24"/>
  <c r="I107" i="24"/>
  <c r="J107" i="24"/>
  <c r="K107" i="24"/>
  <c r="L107" i="24"/>
  <c r="I108" i="24"/>
  <c r="J108" i="24"/>
  <c r="K108" i="24"/>
  <c r="L108" i="24"/>
  <c r="I109" i="24"/>
  <c r="J109" i="24"/>
  <c r="K109" i="24"/>
  <c r="L109" i="24"/>
  <c r="I110" i="24"/>
  <c r="J110" i="24"/>
  <c r="K110" i="24"/>
  <c r="L110" i="24"/>
  <c r="I111" i="24"/>
  <c r="J111" i="24"/>
  <c r="K111" i="24"/>
  <c r="L111" i="24"/>
  <c r="I112" i="24"/>
  <c r="J112" i="24"/>
  <c r="K112" i="24"/>
  <c r="L112" i="24"/>
  <c r="I113" i="24"/>
  <c r="J113" i="24"/>
  <c r="K113" i="24"/>
  <c r="L113" i="24"/>
  <c r="I114" i="24"/>
  <c r="J114" i="24"/>
  <c r="K114" i="24"/>
  <c r="L114" i="24"/>
  <c r="I115" i="24"/>
  <c r="J115" i="24"/>
  <c r="K115" i="24"/>
  <c r="L115" i="24"/>
  <c r="I116" i="24"/>
  <c r="J116" i="24"/>
  <c r="K116" i="24"/>
  <c r="L116" i="24"/>
  <c r="I117" i="24"/>
  <c r="J117" i="24"/>
  <c r="K117" i="24"/>
  <c r="L117" i="24"/>
  <c r="I118" i="24"/>
  <c r="J118" i="24"/>
  <c r="K118" i="24"/>
  <c r="L118" i="24"/>
  <c r="I119" i="24"/>
  <c r="J119" i="24"/>
  <c r="K119" i="24"/>
  <c r="L119" i="24"/>
  <c r="I120" i="24"/>
  <c r="J120" i="24"/>
  <c r="K120" i="24"/>
  <c r="L120" i="24"/>
  <c r="I121" i="24"/>
  <c r="J121" i="24"/>
  <c r="K121" i="24"/>
  <c r="L121" i="24"/>
  <c r="J14" i="24"/>
  <c r="K14" i="24"/>
  <c r="L14" i="24"/>
  <c r="I14" i="24"/>
  <c r="D15" i="24"/>
  <c r="E15" i="24"/>
  <c r="F15" i="24"/>
  <c r="G15" i="24"/>
  <c r="D16" i="24"/>
  <c r="E16" i="24"/>
  <c r="F16" i="24"/>
  <c r="G16" i="24"/>
  <c r="D17" i="24"/>
  <c r="E17" i="24"/>
  <c r="F17" i="24"/>
  <c r="G17" i="24"/>
  <c r="D18" i="24"/>
  <c r="E18" i="24"/>
  <c r="F18" i="24"/>
  <c r="G18" i="24"/>
  <c r="D19" i="24"/>
  <c r="E19" i="24"/>
  <c r="F19" i="24"/>
  <c r="G19" i="24"/>
  <c r="D20" i="24"/>
  <c r="E20" i="24"/>
  <c r="F20" i="24"/>
  <c r="G20" i="24"/>
  <c r="D21" i="24"/>
  <c r="E21" i="24"/>
  <c r="F21" i="24"/>
  <c r="G21" i="24"/>
  <c r="D22" i="24"/>
  <c r="E22" i="24"/>
  <c r="F22" i="24"/>
  <c r="G22" i="24"/>
  <c r="D23" i="24"/>
  <c r="E23" i="24"/>
  <c r="F23" i="24"/>
  <c r="G23" i="24"/>
  <c r="D24" i="24"/>
  <c r="E24" i="24"/>
  <c r="F24" i="24"/>
  <c r="G24" i="24"/>
  <c r="D25" i="24"/>
  <c r="E25" i="24"/>
  <c r="F25" i="24"/>
  <c r="G25" i="24"/>
  <c r="D26" i="24"/>
  <c r="E26" i="24"/>
  <c r="F26" i="24"/>
  <c r="G26" i="24"/>
  <c r="D27" i="24"/>
  <c r="E27" i="24"/>
  <c r="F27" i="24"/>
  <c r="G27" i="24"/>
  <c r="D28" i="24"/>
  <c r="E28" i="24"/>
  <c r="F28" i="24"/>
  <c r="G28" i="24"/>
  <c r="D29" i="24"/>
  <c r="E29" i="24"/>
  <c r="F29" i="24"/>
  <c r="G29" i="24"/>
  <c r="D30" i="24"/>
  <c r="E30" i="24"/>
  <c r="F30" i="24"/>
  <c r="G30" i="24"/>
  <c r="D31" i="24"/>
  <c r="E31" i="24"/>
  <c r="F31" i="24"/>
  <c r="G31" i="24"/>
  <c r="D32" i="24"/>
  <c r="E32" i="24"/>
  <c r="F32" i="24"/>
  <c r="G32" i="24"/>
  <c r="D33" i="24"/>
  <c r="E33" i="24"/>
  <c r="F33" i="24"/>
  <c r="G33" i="24"/>
  <c r="D34" i="24"/>
  <c r="E34" i="24"/>
  <c r="F34" i="24"/>
  <c r="G34" i="24"/>
  <c r="D35" i="24"/>
  <c r="E35" i="24"/>
  <c r="F35" i="24"/>
  <c r="G35" i="24"/>
  <c r="D36" i="24"/>
  <c r="E36" i="24"/>
  <c r="F36" i="24"/>
  <c r="G36" i="24"/>
  <c r="D37" i="24"/>
  <c r="E37" i="24"/>
  <c r="F37" i="24"/>
  <c r="G37" i="24"/>
  <c r="D38" i="24"/>
  <c r="E38" i="24"/>
  <c r="F38" i="24"/>
  <c r="G38" i="24"/>
  <c r="D39" i="24"/>
  <c r="E39" i="24"/>
  <c r="F39" i="24"/>
  <c r="G39" i="24"/>
  <c r="D40" i="24"/>
  <c r="E40" i="24"/>
  <c r="F40" i="24"/>
  <c r="G40" i="24"/>
  <c r="D41" i="24"/>
  <c r="E41" i="24"/>
  <c r="F41" i="24"/>
  <c r="G41" i="24"/>
  <c r="D42" i="24"/>
  <c r="E42" i="24"/>
  <c r="F42" i="24"/>
  <c r="G42" i="24"/>
  <c r="D43" i="24"/>
  <c r="E43" i="24"/>
  <c r="F43" i="24"/>
  <c r="G43" i="24"/>
  <c r="D44" i="24"/>
  <c r="E44" i="24"/>
  <c r="F44" i="24"/>
  <c r="G44" i="24"/>
  <c r="D45" i="24"/>
  <c r="E45" i="24"/>
  <c r="F45" i="24"/>
  <c r="G45" i="24"/>
  <c r="D46" i="24"/>
  <c r="E46" i="24"/>
  <c r="F46" i="24"/>
  <c r="G46" i="24"/>
  <c r="D47" i="24"/>
  <c r="E47" i="24"/>
  <c r="F47" i="24"/>
  <c r="G47" i="24"/>
  <c r="D48" i="24"/>
  <c r="E48" i="24"/>
  <c r="F48" i="24"/>
  <c r="G48" i="24"/>
  <c r="D49" i="24"/>
  <c r="E49" i="24"/>
  <c r="F49" i="24"/>
  <c r="G49" i="24"/>
  <c r="D50" i="24"/>
  <c r="E50" i="24"/>
  <c r="F50" i="24"/>
  <c r="G50" i="24"/>
  <c r="D51" i="24"/>
  <c r="E51" i="24"/>
  <c r="F51" i="24"/>
  <c r="G51" i="24"/>
  <c r="D52" i="24"/>
  <c r="E52" i="24"/>
  <c r="F52" i="24"/>
  <c r="G52" i="24"/>
  <c r="D53" i="24"/>
  <c r="E53" i="24"/>
  <c r="F53" i="24"/>
  <c r="G53" i="24"/>
  <c r="D54" i="24"/>
  <c r="E54" i="24"/>
  <c r="F54" i="24"/>
  <c r="G54" i="24"/>
  <c r="D55" i="24"/>
  <c r="E55" i="24"/>
  <c r="F55" i="24"/>
  <c r="G55" i="24"/>
  <c r="D56" i="24"/>
  <c r="E56" i="24"/>
  <c r="F56" i="24"/>
  <c r="G56" i="24"/>
  <c r="D57" i="24"/>
  <c r="E57" i="24"/>
  <c r="F57" i="24"/>
  <c r="G57" i="24"/>
  <c r="D58" i="24"/>
  <c r="E58" i="24"/>
  <c r="F58" i="24"/>
  <c r="G58" i="24"/>
  <c r="D59" i="24"/>
  <c r="E59" i="24"/>
  <c r="F59" i="24"/>
  <c r="G59" i="24"/>
  <c r="D60" i="24"/>
  <c r="E60" i="24"/>
  <c r="F60" i="24"/>
  <c r="G60" i="24"/>
  <c r="D61" i="24"/>
  <c r="E61" i="24"/>
  <c r="F61" i="24"/>
  <c r="G61" i="24"/>
  <c r="D62" i="24"/>
  <c r="E62" i="24"/>
  <c r="F62" i="24"/>
  <c r="G62" i="24"/>
  <c r="D63" i="24"/>
  <c r="E63" i="24"/>
  <c r="F63" i="24"/>
  <c r="G63" i="24"/>
  <c r="D64" i="24"/>
  <c r="E64" i="24"/>
  <c r="F64" i="24"/>
  <c r="G64" i="24"/>
  <c r="D65" i="24"/>
  <c r="E65" i="24"/>
  <c r="F65" i="24"/>
  <c r="G65" i="24"/>
  <c r="D66" i="24"/>
  <c r="E66" i="24"/>
  <c r="F66" i="24"/>
  <c r="G66" i="24"/>
  <c r="D67" i="24"/>
  <c r="E67" i="24"/>
  <c r="F67" i="24"/>
  <c r="G67" i="24"/>
  <c r="D68" i="24"/>
  <c r="E68" i="24"/>
  <c r="F68" i="24"/>
  <c r="G68" i="24"/>
  <c r="D69" i="24"/>
  <c r="E69" i="24"/>
  <c r="F69" i="24"/>
  <c r="G69" i="24"/>
  <c r="D70" i="24"/>
  <c r="E70" i="24"/>
  <c r="F70" i="24"/>
  <c r="G70" i="24"/>
  <c r="D71" i="24"/>
  <c r="E71" i="24"/>
  <c r="F71" i="24"/>
  <c r="G71" i="24"/>
  <c r="D72" i="24"/>
  <c r="E72" i="24"/>
  <c r="F72" i="24"/>
  <c r="G72" i="24"/>
  <c r="D73" i="24"/>
  <c r="E73" i="24"/>
  <c r="F73" i="24"/>
  <c r="G73" i="24"/>
  <c r="D74" i="24"/>
  <c r="E74" i="24"/>
  <c r="F74" i="24"/>
  <c r="G74" i="24"/>
  <c r="D75" i="24"/>
  <c r="E75" i="24"/>
  <c r="F75" i="24"/>
  <c r="G75" i="24"/>
  <c r="D76" i="24"/>
  <c r="E76" i="24"/>
  <c r="F76" i="24"/>
  <c r="G76" i="24"/>
  <c r="D77" i="24"/>
  <c r="E77" i="24"/>
  <c r="F77" i="24"/>
  <c r="G77" i="24"/>
  <c r="D78" i="24"/>
  <c r="E78" i="24"/>
  <c r="F78" i="24"/>
  <c r="G78" i="24"/>
  <c r="D79" i="24"/>
  <c r="E79" i="24"/>
  <c r="F79" i="24"/>
  <c r="G79" i="24"/>
  <c r="D80" i="24"/>
  <c r="E80" i="24"/>
  <c r="F80" i="24"/>
  <c r="G80" i="24"/>
  <c r="D81" i="24"/>
  <c r="E81" i="24"/>
  <c r="F81" i="24"/>
  <c r="G81" i="24"/>
  <c r="D82" i="24"/>
  <c r="E82" i="24"/>
  <c r="F82" i="24"/>
  <c r="G82" i="24"/>
  <c r="D83" i="24"/>
  <c r="E83" i="24"/>
  <c r="F83" i="24"/>
  <c r="G83" i="24"/>
  <c r="D84" i="24"/>
  <c r="E84" i="24"/>
  <c r="F84" i="24"/>
  <c r="G84" i="24"/>
  <c r="D85" i="24"/>
  <c r="E85" i="24"/>
  <c r="F85" i="24"/>
  <c r="G85" i="24"/>
  <c r="D86" i="24"/>
  <c r="E86" i="24"/>
  <c r="F86" i="24"/>
  <c r="G86" i="24"/>
  <c r="D87" i="24"/>
  <c r="E87" i="24"/>
  <c r="F87" i="24"/>
  <c r="G87" i="24"/>
  <c r="D88" i="24"/>
  <c r="E88" i="24"/>
  <c r="F88" i="24"/>
  <c r="G88" i="24"/>
  <c r="D89" i="24"/>
  <c r="E89" i="24"/>
  <c r="F89" i="24"/>
  <c r="G89" i="24"/>
  <c r="D90" i="24"/>
  <c r="E90" i="24"/>
  <c r="F90" i="24"/>
  <c r="G90" i="24"/>
  <c r="D91" i="24"/>
  <c r="E91" i="24"/>
  <c r="F91" i="24"/>
  <c r="G91" i="24"/>
  <c r="D92" i="24"/>
  <c r="E92" i="24"/>
  <c r="F92" i="24"/>
  <c r="G92" i="24"/>
  <c r="D93" i="24"/>
  <c r="E93" i="24"/>
  <c r="F93" i="24"/>
  <c r="G93" i="24"/>
  <c r="D94" i="24"/>
  <c r="E94" i="24"/>
  <c r="F94" i="24"/>
  <c r="G94" i="24"/>
  <c r="D95" i="24"/>
  <c r="E95" i="24"/>
  <c r="F95" i="24"/>
  <c r="G95" i="24"/>
  <c r="D96" i="24"/>
  <c r="E96" i="24"/>
  <c r="F96" i="24"/>
  <c r="G96" i="24"/>
  <c r="D97" i="24"/>
  <c r="E97" i="24"/>
  <c r="F97" i="24"/>
  <c r="G97" i="24"/>
  <c r="D98" i="24"/>
  <c r="E98" i="24"/>
  <c r="F98" i="24"/>
  <c r="G98" i="24"/>
  <c r="D99" i="24"/>
  <c r="E99" i="24"/>
  <c r="F99" i="24"/>
  <c r="G99" i="24"/>
  <c r="D100" i="24"/>
  <c r="E100" i="24"/>
  <c r="F100" i="24"/>
  <c r="G100" i="24"/>
  <c r="D101" i="24"/>
  <c r="E101" i="24"/>
  <c r="F101" i="24"/>
  <c r="G101" i="24"/>
  <c r="D102" i="24"/>
  <c r="E102" i="24"/>
  <c r="F102" i="24"/>
  <c r="G102" i="24"/>
  <c r="D103" i="24"/>
  <c r="E103" i="24"/>
  <c r="F103" i="24"/>
  <c r="G103" i="24"/>
  <c r="D104" i="24"/>
  <c r="E104" i="24"/>
  <c r="F104" i="24"/>
  <c r="G104" i="24"/>
  <c r="D105" i="24"/>
  <c r="E105" i="24"/>
  <c r="F105" i="24"/>
  <c r="G105" i="24"/>
  <c r="D106" i="24"/>
  <c r="E106" i="24"/>
  <c r="F106" i="24"/>
  <c r="G106" i="24"/>
  <c r="D107" i="24"/>
  <c r="E107" i="24"/>
  <c r="F107" i="24"/>
  <c r="G107" i="24"/>
  <c r="D108" i="24"/>
  <c r="E108" i="24"/>
  <c r="F108" i="24"/>
  <c r="G108" i="24"/>
  <c r="D109" i="24"/>
  <c r="E109" i="24"/>
  <c r="F109" i="24"/>
  <c r="G109" i="24"/>
  <c r="D110" i="24"/>
  <c r="E110" i="24"/>
  <c r="F110" i="24"/>
  <c r="G110" i="24"/>
  <c r="D111" i="24"/>
  <c r="E111" i="24"/>
  <c r="F111" i="24"/>
  <c r="G111" i="24"/>
  <c r="D112" i="24"/>
  <c r="E112" i="24"/>
  <c r="F112" i="24"/>
  <c r="G112" i="24"/>
  <c r="D113" i="24"/>
  <c r="E113" i="24"/>
  <c r="F113" i="24"/>
  <c r="G113" i="24"/>
  <c r="D114" i="24"/>
  <c r="E114" i="24"/>
  <c r="F114" i="24"/>
  <c r="G114" i="24"/>
  <c r="D115" i="24"/>
  <c r="E115" i="24"/>
  <c r="F115" i="24"/>
  <c r="G115" i="24"/>
  <c r="D116" i="24"/>
  <c r="E116" i="24"/>
  <c r="F116" i="24"/>
  <c r="G116" i="24"/>
  <c r="D117" i="24"/>
  <c r="E117" i="24"/>
  <c r="F117" i="24"/>
  <c r="G117" i="24"/>
  <c r="D118" i="24"/>
  <c r="E118" i="24"/>
  <c r="F118" i="24"/>
  <c r="G118" i="24"/>
  <c r="D119" i="24"/>
  <c r="E119" i="24"/>
  <c r="F119" i="24"/>
  <c r="G119" i="24"/>
  <c r="D120" i="24"/>
  <c r="E120" i="24"/>
  <c r="F120" i="24"/>
  <c r="G120" i="24"/>
  <c r="D121" i="24"/>
  <c r="E121" i="24"/>
  <c r="F121" i="24"/>
  <c r="G121" i="24"/>
  <c r="E14" i="24"/>
  <c r="F14" i="24"/>
  <c r="G14" i="24"/>
  <c r="D14" i="24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8" i="19"/>
  <c r="L12" i="18" l="1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" i="18"/>
  <c r="L9" i="18"/>
  <c r="V15" i="24" l="1"/>
  <c r="V16" i="24"/>
  <c r="V17" i="24"/>
  <c r="V18" i="24"/>
  <c r="V19" i="24"/>
  <c r="V20" i="24"/>
  <c r="V21" i="24"/>
  <c r="V22" i="24"/>
  <c r="V23" i="24"/>
  <c r="V24" i="24"/>
  <c r="V25" i="24"/>
  <c r="V26" i="24"/>
  <c r="V27" i="24"/>
  <c r="V28" i="24"/>
  <c r="V29" i="24"/>
  <c r="V30" i="24"/>
  <c r="V31" i="24"/>
  <c r="V32" i="24"/>
  <c r="V33" i="24"/>
  <c r="V34" i="24"/>
  <c r="V35" i="24"/>
  <c r="V36" i="24"/>
  <c r="V37" i="24"/>
  <c r="V38" i="24"/>
  <c r="V39" i="24"/>
  <c r="V40" i="24"/>
  <c r="V41" i="24"/>
  <c r="V42" i="24"/>
  <c r="V43" i="24"/>
  <c r="V44" i="24"/>
  <c r="V45" i="24"/>
  <c r="V46" i="24"/>
  <c r="V47" i="24"/>
  <c r="V48" i="24"/>
  <c r="V49" i="24"/>
  <c r="V50" i="24"/>
  <c r="V51" i="24"/>
  <c r="V52" i="24"/>
  <c r="V53" i="24"/>
  <c r="V54" i="24"/>
  <c r="V55" i="24"/>
  <c r="V56" i="24"/>
  <c r="V57" i="24"/>
  <c r="V58" i="24"/>
  <c r="V59" i="24"/>
  <c r="V60" i="24"/>
  <c r="V61" i="24"/>
  <c r="V62" i="24"/>
  <c r="V63" i="24"/>
  <c r="V64" i="24"/>
  <c r="V65" i="24"/>
  <c r="V66" i="24"/>
  <c r="V67" i="24"/>
  <c r="V68" i="24"/>
  <c r="V69" i="24"/>
  <c r="V70" i="24"/>
  <c r="V71" i="24"/>
  <c r="V72" i="24"/>
  <c r="V73" i="24"/>
  <c r="V74" i="24"/>
  <c r="V75" i="24"/>
  <c r="V76" i="24"/>
  <c r="V77" i="24"/>
  <c r="V78" i="24"/>
  <c r="V79" i="24"/>
  <c r="V80" i="24"/>
  <c r="V81" i="24"/>
  <c r="V82" i="24"/>
  <c r="V83" i="24"/>
  <c r="V84" i="24"/>
  <c r="V85" i="24"/>
  <c r="V86" i="24"/>
  <c r="V87" i="24"/>
  <c r="V88" i="24"/>
  <c r="V89" i="24"/>
  <c r="V90" i="24"/>
  <c r="V91" i="24"/>
  <c r="V92" i="24"/>
  <c r="V93" i="24"/>
  <c r="V94" i="24"/>
  <c r="V95" i="24"/>
  <c r="V96" i="24"/>
  <c r="V97" i="24"/>
  <c r="V98" i="24"/>
  <c r="V99" i="24"/>
  <c r="V100" i="24"/>
  <c r="V101" i="24"/>
  <c r="V102" i="24"/>
  <c r="V103" i="24"/>
  <c r="V104" i="24"/>
  <c r="V105" i="24"/>
  <c r="V106" i="24"/>
  <c r="V107" i="24"/>
  <c r="V108" i="24"/>
  <c r="V109" i="24"/>
  <c r="V110" i="24"/>
  <c r="V111" i="24"/>
  <c r="V112" i="24"/>
  <c r="V113" i="24"/>
  <c r="V114" i="24"/>
  <c r="V115" i="24"/>
  <c r="V116" i="24"/>
  <c r="V117" i="24"/>
  <c r="V118" i="24"/>
  <c r="V119" i="24"/>
  <c r="V120" i="24"/>
  <c r="V121" i="24"/>
  <c r="U16" i="24"/>
  <c r="U17" i="24"/>
  <c r="U20" i="24"/>
  <c r="U21" i="24"/>
  <c r="U24" i="24"/>
  <c r="U25" i="24"/>
  <c r="U28" i="24"/>
  <c r="U29" i="24"/>
  <c r="U30" i="24"/>
  <c r="U32" i="24"/>
  <c r="U33" i="24"/>
  <c r="U34" i="24"/>
  <c r="U36" i="24"/>
  <c r="U37" i="24"/>
  <c r="U38" i="24"/>
  <c r="U40" i="24"/>
  <c r="U41" i="24"/>
  <c r="U42" i="24"/>
  <c r="U44" i="24"/>
  <c r="U45" i="24"/>
  <c r="U46" i="24"/>
  <c r="U48" i="24"/>
  <c r="U49" i="24"/>
  <c r="U50" i="24"/>
  <c r="U52" i="24"/>
  <c r="U53" i="24"/>
  <c r="U54" i="24"/>
  <c r="U56" i="24"/>
  <c r="U57" i="24"/>
  <c r="U58" i="24"/>
  <c r="U60" i="24"/>
  <c r="U61" i="24"/>
  <c r="U62" i="24"/>
  <c r="U64" i="24"/>
  <c r="U65" i="24"/>
  <c r="U66" i="24"/>
  <c r="U68" i="24"/>
  <c r="U69" i="24"/>
  <c r="U70" i="24"/>
  <c r="U72" i="24"/>
  <c r="U73" i="24"/>
  <c r="U74" i="24"/>
  <c r="U76" i="24"/>
  <c r="U77" i="24"/>
  <c r="U78" i="24"/>
  <c r="U80" i="24"/>
  <c r="U81" i="24"/>
  <c r="U82" i="24"/>
  <c r="U84" i="24"/>
  <c r="U85" i="24"/>
  <c r="U86" i="24"/>
  <c r="U88" i="24"/>
  <c r="U89" i="24"/>
  <c r="U90" i="24"/>
  <c r="U92" i="24"/>
  <c r="U93" i="24"/>
  <c r="U94" i="24"/>
  <c r="U96" i="24"/>
  <c r="U97" i="24"/>
  <c r="U98" i="24"/>
  <c r="U100" i="24"/>
  <c r="U101" i="24"/>
  <c r="U102" i="24"/>
  <c r="U104" i="24"/>
  <c r="U105" i="24"/>
  <c r="U106" i="24"/>
  <c r="U108" i="24"/>
  <c r="U109" i="24"/>
  <c r="U110" i="24"/>
  <c r="U112" i="24"/>
  <c r="U113" i="24"/>
  <c r="U114" i="24"/>
  <c r="U116" i="24"/>
  <c r="U117" i="24"/>
  <c r="U118" i="24"/>
  <c r="U120" i="24"/>
  <c r="U121" i="24"/>
  <c r="U111" i="24" l="1"/>
  <c r="U99" i="24"/>
  <c r="U87" i="24"/>
  <c r="U75" i="24"/>
  <c r="U63" i="24"/>
  <c r="U51" i="24"/>
  <c r="U43" i="24"/>
  <c r="U31" i="24"/>
  <c r="U15" i="24"/>
  <c r="U115" i="24"/>
  <c r="U103" i="24"/>
  <c r="U91" i="24"/>
  <c r="U79" i="24"/>
  <c r="U67" i="24"/>
  <c r="U55" i="24"/>
  <c r="U39" i="24"/>
  <c r="U23" i="24"/>
  <c r="U26" i="24"/>
  <c r="U22" i="24"/>
  <c r="U18" i="24"/>
  <c r="U119" i="24"/>
  <c r="U107" i="24"/>
  <c r="U95" i="24"/>
  <c r="U83" i="24"/>
  <c r="U71" i="24"/>
  <c r="U59" i="24"/>
  <c r="U47" i="24"/>
  <c r="U35" i="24"/>
  <c r="U27" i="24"/>
  <c r="U19" i="24"/>
  <c r="S52" i="24" l="1"/>
  <c r="S53" i="24"/>
  <c r="S54" i="24"/>
  <c r="S55" i="24"/>
  <c r="S56" i="24"/>
  <c r="S57" i="24"/>
  <c r="S58" i="24"/>
  <c r="S59" i="24"/>
  <c r="S60" i="24"/>
  <c r="S61" i="24"/>
  <c r="S62" i="24"/>
  <c r="S63" i="24"/>
  <c r="S64" i="24"/>
  <c r="S65" i="24"/>
  <c r="S66" i="24"/>
  <c r="S67" i="24"/>
  <c r="S68" i="24"/>
  <c r="S69" i="24"/>
  <c r="S70" i="24"/>
  <c r="S71" i="24"/>
  <c r="S72" i="24"/>
  <c r="S73" i="24"/>
  <c r="S74" i="24"/>
  <c r="S75" i="24"/>
  <c r="S76" i="24"/>
  <c r="S77" i="24"/>
  <c r="S78" i="24"/>
  <c r="S79" i="24"/>
  <c r="S80" i="24"/>
  <c r="S81" i="24"/>
  <c r="S82" i="24"/>
  <c r="S83" i="24"/>
  <c r="S84" i="24"/>
  <c r="S85" i="24"/>
  <c r="S86" i="24"/>
  <c r="S87" i="24"/>
  <c r="S88" i="24"/>
  <c r="S89" i="24"/>
  <c r="S90" i="24"/>
  <c r="S91" i="24"/>
  <c r="S92" i="24"/>
  <c r="S93" i="24"/>
  <c r="S94" i="24"/>
  <c r="S95" i="24"/>
  <c r="S96" i="24"/>
  <c r="S97" i="24"/>
  <c r="S98" i="24"/>
  <c r="S99" i="24"/>
  <c r="S100" i="24"/>
  <c r="S101" i="24"/>
  <c r="S102" i="24"/>
  <c r="S103" i="24"/>
  <c r="S104" i="24"/>
  <c r="S105" i="24"/>
  <c r="S106" i="24"/>
  <c r="S107" i="24"/>
  <c r="S108" i="24"/>
  <c r="S109" i="24"/>
  <c r="S110" i="24"/>
  <c r="S111" i="24"/>
  <c r="S112" i="24"/>
  <c r="S113" i="24"/>
  <c r="S114" i="24"/>
  <c r="S115" i="24"/>
  <c r="S116" i="24"/>
  <c r="S117" i="24"/>
  <c r="S118" i="24"/>
  <c r="S119" i="24"/>
  <c r="S120" i="24"/>
  <c r="S121" i="24"/>
  <c r="S47" i="24"/>
  <c r="S48" i="24"/>
  <c r="S49" i="24"/>
  <c r="S50" i="24"/>
  <c r="S51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T32" i="24"/>
  <c r="T33" i="24"/>
  <c r="T34" i="24"/>
  <c r="T35" i="24"/>
  <c r="T36" i="24"/>
  <c r="T37" i="24"/>
  <c r="T38" i="24"/>
  <c r="T39" i="24"/>
  <c r="T40" i="24"/>
  <c r="T41" i="24"/>
  <c r="T42" i="24"/>
  <c r="T43" i="24"/>
  <c r="T44" i="24"/>
  <c r="T45" i="24"/>
  <c r="T46" i="24"/>
  <c r="T47" i="24"/>
  <c r="T48" i="24"/>
  <c r="T49" i="24"/>
  <c r="T50" i="24"/>
  <c r="T51" i="24"/>
  <c r="T52" i="24"/>
  <c r="T53" i="24"/>
  <c r="T54" i="24"/>
  <c r="T55" i="24"/>
  <c r="T56" i="24"/>
  <c r="T57" i="24"/>
  <c r="T58" i="24"/>
  <c r="T59" i="24"/>
  <c r="T60" i="24"/>
  <c r="T61" i="24"/>
  <c r="T62" i="24"/>
  <c r="T63" i="24"/>
  <c r="T64" i="24"/>
  <c r="T65" i="24"/>
  <c r="T66" i="24"/>
  <c r="T67" i="24"/>
  <c r="T68" i="24"/>
  <c r="T69" i="24"/>
  <c r="T70" i="24"/>
  <c r="T71" i="24"/>
  <c r="T72" i="24"/>
  <c r="T73" i="24"/>
  <c r="T74" i="24"/>
  <c r="T75" i="24"/>
  <c r="T76" i="24"/>
  <c r="T77" i="24"/>
  <c r="T78" i="24"/>
  <c r="T79" i="24"/>
  <c r="T80" i="24"/>
  <c r="T81" i="24"/>
  <c r="T82" i="24"/>
  <c r="T83" i="24"/>
  <c r="T84" i="24"/>
  <c r="T85" i="24"/>
  <c r="T86" i="24"/>
  <c r="T87" i="24"/>
  <c r="T88" i="24"/>
  <c r="T89" i="24"/>
  <c r="T90" i="24"/>
  <c r="T91" i="24"/>
  <c r="T92" i="24"/>
  <c r="T93" i="24"/>
  <c r="T94" i="24"/>
  <c r="T95" i="24"/>
  <c r="T96" i="24"/>
  <c r="T97" i="24"/>
  <c r="T98" i="24"/>
  <c r="T99" i="24"/>
  <c r="T100" i="24"/>
  <c r="T101" i="24"/>
  <c r="T102" i="24"/>
  <c r="T103" i="24"/>
  <c r="T104" i="24"/>
  <c r="T105" i="24"/>
  <c r="T106" i="24"/>
  <c r="T107" i="24"/>
  <c r="T108" i="24"/>
  <c r="T109" i="24"/>
  <c r="T110" i="24"/>
  <c r="T111" i="24"/>
  <c r="T112" i="24"/>
  <c r="T113" i="24"/>
  <c r="T114" i="24"/>
  <c r="T115" i="24"/>
  <c r="T116" i="24"/>
  <c r="T117" i="24"/>
  <c r="T118" i="24"/>
  <c r="T119" i="24"/>
  <c r="T120" i="24"/>
  <c r="T121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9" i="24"/>
  <c r="S40" i="24"/>
  <c r="S41" i="24"/>
  <c r="S42" i="24"/>
  <c r="S43" i="24"/>
  <c r="S44" i="24"/>
  <c r="S45" i="24"/>
  <c r="S46" i="24"/>
  <c r="S17" i="24"/>
  <c r="S18" i="24"/>
  <c r="S19" i="24"/>
  <c r="X19" i="24" s="1"/>
  <c r="S20" i="24"/>
  <c r="X20" i="24" s="1"/>
  <c r="S21" i="24"/>
  <c r="S22" i="24"/>
  <c r="S23" i="24"/>
  <c r="X23" i="24" s="1"/>
  <c r="S15" i="24"/>
  <c r="S16" i="24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01" i="19"/>
  <c r="E80" i="19"/>
  <c r="E81" i="19"/>
  <c r="E82" i="19"/>
  <c r="E84" i="19"/>
  <c r="E85" i="19"/>
  <c r="E86" i="19"/>
  <c r="E87" i="19"/>
  <c r="E88" i="19"/>
  <c r="E89" i="19"/>
  <c r="E90" i="19"/>
  <c r="E92" i="19"/>
  <c r="E93" i="19"/>
  <c r="E94" i="19"/>
  <c r="E96" i="19"/>
  <c r="E97" i="19"/>
  <c r="E98" i="19"/>
  <c r="E99" i="19"/>
  <c r="E100" i="19"/>
  <c r="E65" i="19"/>
  <c r="E66" i="19"/>
  <c r="E68" i="19"/>
  <c r="E69" i="19"/>
  <c r="E70" i="19"/>
  <c r="E72" i="19"/>
  <c r="E76" i="19"/>
  <c r="E77" i="19"/>
  <c r="E78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7" i="19"/>
  <c r="E71" i="19"/>
  <c r="E73" i="19"/>
  <c r="E74" i="19"/>
  <c r="E75" i="19"/>
  <c r="E79" i="19"/>
  <c r="E83" i="19"/>
  <c r="E91" i="19"/>
  <c r="E95" i="19"/>
  <c r="N72" i="28"/>
  <c r="F69" i="19" s="1"/>
  <c r="N73" i="28"/>
  <c r="F70" i="19" s="1"/>
  <c r="N74" i="28"/>
  <c r="F71" i="19" s="1"/>
  <c r="N75" i="28"/>
  <c r="F72" i="19" s="1"/>
  <c r="N76" i="28"/>
  <c r="F73" i="19" s="1"/>
  <c r="N77" i="28"/>
  <c r="F74" i="19" s="1"/>
  <c r="N78" i="28"/>
  <c r="F75" i="19" s="1"/>
  <c r="N79" i="28"/>
  <c r="F76" i="19" s="1"/>
  <c r="N80" i="28"/>
  <c r="F77" i="19" s="1"/>
  <c r="N81" i="28"/>
  <c r="F78" i="19" s="1"/>
  <c r="N82" i="28"/>
  <c r="F79" i="19" s="1"/>
  <c r="N83" i="28"/>
  <c r="F80" i="19" s="1"/>
  <c r="N84" i="28"/>
  <c r="F81" i="19" s="1"/>
  <c r="N85" i="28"/>
  <c r="F82" i="19" s="1"/>
  <c r="N86" i="28"/>
  <c r="F83" i="19" s="1"/>
  <c r="N87" i="28"/>
  <c r="F84" i="19" s="1"/>
  <c r="N88" i="28"/>
  <c r="F85" i="19" s="1"/>
  <c r="N89" i="28"/>
  <c r="F86" i="19" s="1"/>
  <c r="N90" i="28"/>
  <c r="F87" i="19" s="1"/>
  <c r="N91" i="28"/>
  <c r="F88" i="19" s="1"/>
  <c r="N92" i="28"/>
  <c r="F89" i="19" s="1"/>
  <c r="N93" i="28"/>
  <c r="F90" i="19" s="1"/>
  <c r="N94" i="28"/>
  <c r="F91" i="19" s="1"/>
  <c r="N95" i="28"/>
  <c r="F92" i="19" s="1"/>
  <c r="N96" i="28"/>
  <c r="F93" i="19" s="1"/>
  <c r="N97" i="28"/>
  <c r="F94" i="19" s="1"/>
  <c r="N98" i="28"/>
  <c r="F95" i="19" s="1"/>
  <c r="N99" i="28"/>
  <c r="F96" i="19" s="1"/>
  <c r="N100" i="28"/>
  <c r="F97" i="19" s="1"/>
  <c r="N101" i="28"/>
  <c r="F98" i="19" s="1"/>
  <c r="N102" i="28"/>
  <c r="F99" i="19" s="1"/>
  <c r="N103" i="28"/>
  <c r="F100" i="19" s="1"/>
  <c r="N104" i="28"/>
  <c r="F101" i="19" s="1"/>
  <c r="N105" i="28"/>
  <c r="F102" i="19" s="1"/>
  <c r="N106" i="28"/>
  <c r="F103" i="19" s="1"/>
  <c r="N107" i="28"/>
  <c r="F104" i="19" s="1"/>
  <c r="N108" i="28"/>
  <c r="F105" i="19" s="1"/>
  <c r="N109" i="28"/>
  <c r="F106" i="19" s="1"/>
  <c r="N110" i="28"/>
  <c r="F107" i="19" s="1"/>
  <c r="N111" i="28"/>
  <c r="F108" i="19" s="1"/>
  <c r="N112" i="28"/>
  <c r="F109" i="19" s="1"/>
  <c r="N113" i="28"/>
  <c r="F110" i="19" s="1"/>
  <c r="N114" i="28"/>
  <c r="F111" i="19" s="1"/>
  <c r="N115" i="28"/>
  <c r="F112" i="19" s="1"/>
  <c r="N116" i="28"/>
  <c r="F113" i="19" s="1"/>
  <c r="N117" i="28"/>
  <c r="F114" i="19" s="1"/>
  <c r="N118" i="28"/>
  <c r="F115" i="19" s="1"/>
  <c r="N12" i="28"/>
  <c r="F9" i="19" s="1"/>
  <c r="N13" i="28"/>
  <c r="F10" i="19" s="1"/>
  <c r="N14" i="28"/>
  <c r="F11" i="19" s="1"/>
  <c r="N15" i="28"/>
  <c r="F12" i="19" s="1"/>
  <c r="N16" i="28"/>
  <c r="F13" i="19" s="1"/>
  <c r="N17" i="28"/>
  <c r="F14" i="19" s="1"/>
  <c r="N18" i="28"/>
  <c r="F15" i="19" s="1"/>
  <c r="N19" i="28"/>
  <c r="F16" i="19" s="1"/>
  <c r="N20" i="28"/>
  <c r="F17" i="19" s="1"/>
  <c r="N21" i="28"/>
  <c r="F18" i="19" s="1"/>
  <c r="N22" i="28"/>
  <c r="F19" i="19" s="1"/>
  <c r="N23" i="28"/>
  <c r="F20" i="19" s="1"/>
  <c r="N24" i="28"/>
  <c r="F21" i="19" s="1"/>
  <c r="N25" i="28"/>
  <c r="F22" i="19" s="1"/>
  <c r="N26" i="28"/>
  <c r="F23" i="19" s="1"/>
  <c r="N27" i="28"/>
  <c r="F24" i="19" s="1"/>
  <c r="N28" i="28"/>
  <c r="F25" i="19" s="1"/>
  <c r="N29" i="28"/>
  <c r="F26" i="19" s="1"/>
  <c r="N30" i="28"/>
  <c r="F27" i="19" s="1"/>
  <c r="N31" i="28"/>
  <c r="F28" i="19" s="1"/>
  <c r="N32" i="28"/>
  <c r="F29" i="19" s="1"/>
  <c r="N33" i="28"/>
  <c r="F30" i="19" s="1"/>
  <c r="N34" i="28"/>
  <c r="F31" i="19" s="1"/>
  <c r="N35" i="28"/>
  <c r="F32" i="19" s="1"/>
  <c r="N36" i="28"/>
  <c r="F33" i="19" s="1"/>
  <c r="N37" i="28"/>
  <c r="F34" i="19" s="1"/>
  <c r="N38" i="28"/>
  <c r="F35" i="19" s="1"/>
  <c r="N39" i="28"/>
  <c r="F36" i="19" s="1"/>
  <c r="N40" i="28"/>
  <c r="F37" i="19" s="1"/>
  <c r="N41" i="28"/>
  <c r="F38" i="19" s="1"/>
  <c r="N42" i="28"/>
  <c r="F39" i="19" s="1"/>
  <c r="N43" i="28"/>
  <c r="F40" i="19" s="1"/>
  <c r="N44" i="28"/>
  <c r="F41" i="19" s="1"/>
  <c r="N45" i="28"/>
  <c r="F42" i="19" s="1"/>
  <c r="N46" i="28"/>
  <c r="F43" i="19" s="1"/>
  <c r="N47" i="28"/>
  <c r="F44" i="19" s="1"/>
  <c r="N48" i="28"/>
  <c r="F45" i="19" s="1"/>
  <c r="N49" i="28"/>
  <c r="F46" i="19" s="1"/>
  <c r="N50" i="28"/>
  <c r="F47" i="19" s="1"/>
  <c r="N51" i="28"/>
  <c r="F48" i="19" s="1"/>
  <c r="N52" i="28"/>
  <c r="F49" i="19" s="1"/>
  <c r="N53" i="28"/>
  <c r="F50" i="19" s="1"/>
  <c r="N54" i="28"/>
  <c r="F51" i="19" s="1"/>
  <c r="N55" i="28"/>
  <c r="F52" i="19" s="1"/>
  <c r="N56" i="28"/>
  <c r="F53" i="19" s="1"/>
  <c r="N57" i="28"/>
  <c r="F54" i="19" s="1"/>
  <c r="N58" i="28"/>
  <c r="F55" i="19" s="1"/>
  <c r="N59" i="28"/>
  <c r="F56" i="19" s="1"/>
  <c r="N60" i="28"/>
  <c r="F57" i="19" s="1"/>
  <c r="N61" i="28"/>
  <c r="F58" i="19" s="1"/>
  <c r="N62" i="28"/>
  <c r="F59" i="19" s="1"/>
  <c r="N63" i="28"/>
  <c r="F60" i="19" s="1"/>
  <c r="N64" i="28"/>
  <c r="F61" i="19" s="1"/>
  <c r="N65" i="28"/>
  <c r="F62" i="19" s="1"/>
  <c r="N66" i="28"/>
  <c r="F63" i="19" s="1"/>
  <c r="N67" i="28"/>
  <c r="F64" i="19" s="1"/>
  <c r="N68" i="28"/>
  <c r="F65" i="19" s="1"/>
  <c r="N69" i="28"/>
  <c r="F66" i="19" s="1"/>
  <c r="N70" i="28"/>
  <c r="F67" i="19" s="1"/>
  <c r="N71" i="28"/>
  <c r="F68" i="19" s="1"/>
  <c r="N11" i="28"/>
  <c r="F8" i="19" s="1"/>
  <c r="C119" i="28"/>
  <c r="J44" i="15"/>
  <c r="J45" i="15"/>
  <c r="J46" i="15"/>
  <c r="G61" i="19" s="1"/>
  <c r="H61" i="19" s="1"/>
  <c r="J47" i="15"/>
  <c r="G62" i="19" s="1"/>
  <c r="H62" i="19" s="1"/>
  <c r="J48" i="15"/>
  <c r="J49" i="15"/>
  <c r="J50" i="15"/>
  <c r="J51" i="15"/>
  <c r="J52" i="15"/>
  <c r="J53" i="15"/>
  <c r="J54" i="15"/>
  <c r="J55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G45" i="19" s="1"/>
  <c r="H45" i="19" s="1"/>
  <c r="J31" i="15"/>
  <c r="G46" i="19" s="1"/>
  <c r="H46" i="19" s="1"/>
  <c r="J32" i="15"/>
  <c r="J33" i="15"/>
  <c r="J34" i="15"/>
  <c r="G49" i="19" s="1"/>
  <c r="H49" i="19" s="1"/>
  <c r="J35" i="15"/>
  <c r="G50" i="19" s="1"/>
  <c r="H50" i="19" s="1"/>
  <c r="J36" i="15"/>
  <c r="J37" i="15"/>
  <c r="J38" i="15"/>
  <c r="G53" i="19" s="1"/>
  <c r="H53" i="19" s="1"/>
  <c r="J39" i="15"/>
  <c r="G54" i="19" s="1"/>
  <c r="H54" i="19" s="1"/>
  <c r="J40" i="15"/>
  <c r="J41" i="15"/>
  <c r="J42" i="15"/>
  <c r="G57" i="19" s="1"/>
  <c r="H57" i="19" s="1"/>
  <c r="J43" i="15"/>
  <c r="G58" i="19" s="1"/>
  <c r="H58" i="19" s="1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X15" i="24" l="1"/>
  <c r="X21" i="24"/>
  <c r="X17" i="24"/>
  <c r="X45" i="24"/>
  <c r="X41" i="24"/>
  <c r="X37" i="24"/>
  <c r="X33" i="24"/>
  <c r="X29" i="24"/>
  <c r="X25" i="24"/>
  <c r="X46" i="24"/>
  <c r="X42" i="24"/>
  <c r="X38" i="24"/>
  <c r="X34" i="24"/>
  <c r="X30" i="24"/>
  <c r="X26" i="24"/>
  <c r="X22" i="24"/>
  <c r="G47" i="19"/>
  <c r="H47" i="19" s="1"/>
  <c r="G63" i="19"/>
  <c r="H63" i="19" s="1"/>
  <c r="G70" i="19"/>
  <c r="H70" i="19" s="1"/>
  <c r="G66" i="19"/>
  <c r="H66" i="19" s="1"/>
  <c r="G69" i="19"/>
  <c r="H69" i="19" s="1"/>
  <c r="G65" i="19"/>
  <c r="H65" i="19" s="1"/>
  <c r="X44" i="24"/>
  <c r="X40" i="24"/>
  <c r="X36" i="24"/>
  <c r="X32" i="24"/>
  <c r="X28" i="24"/>
  <c r="X24" i="24"/>
  <c r="X16" i="24"/>
  <c r="X43" i="24"/>
  <c r="X39" i="24"/>
  <c r="X35" i="24"/>
  <c r="X31" i="24"/>
  <c r="X27" i="24"/>
  <c r="G42" i="19"/>
  <c r="H42" i="19" s="1"/>
  <c r="G38" i="19"/>
  <c r="H38" i="19" s="1"/>
  <c r="G41" i="19"/>
  <c r="H41" i="19" s="1"/>
  <c r="G37" i="19"/>
  <c r="H37" i="19" s="1"/>
  <c r="G43" i="19"/>
  <c r="H43" i="19" s="1"/>
  <c r="G39" i="19"/>
  <c r="H39" i="19" s="1"/>
  <c r="X49" i="24"/>
  <c r="X119" i="24"/>
  <c r="X115" i="24"/>
  <c r="X111" i="24"/>
  <c r="X107" i="24"/>
  <c r="X103" i="24"/>
  <c r="X99" i="24"/>
  <c r="X95" i="24"/>
  <c r="X91" i="24"/>
  <c r="X87" i="24"/>
  <c r="X83" i="24"/>
  <c r="X79" i="24"/>
  <c r="X75" i="24"/>
  <c r="X71" i="24"/>
  <c r="X67" i="24"/>
  <c r="X63" i="24"/>
  <c r="X59" i="24"/>
  <c r="X55" i="24"/>
  <c r="X48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X18" i="24"/>
  <c r="X51" i="24"/>
  <c r="X47" i="24"/>
  <c r="X121" i="24"/>
  <c r="X117" i="24"/>
  <c r="X113" i="24"/>
  <c r="X109" i="24"/>
  <c r="X105" i="24"/>
  <c r="X101" i="24"/>
  <c r="X97" i="24"/>
  <c r="X93" i="24"/>
  <c r="X89" i="24"/>
  <c r="X85" i="24"/>
  <c r="X81" i="24"/>
  <c r="X77" i="24"/>
  <c r="X73" i="24"/>
  <c r="X69" i="24"/>
  <c r="X65" i="24"/>
  <c r="X61" i="24"/>
  <c r="X57" i="24"/>
  <c r="X53" i="24"/>
  <c r="X50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G68" i="19"/>
  <c r="H68" i="19" s="1"/>
  <c r="G48" i="19"/>
  <c r="H48" i="19" s="1"/>
  <c r="G86" i="19"/>
  <c r="H86" i="19" s="1"/>
  <c r="G60" i="19"/>
  <c r="H60" i="19" s="1"/>
  <c r="G64" i="19"/>
  <c r="H64" i="19" s="1"/>
  <c r="G56" i="19"/>
  <c r="H56" i="19" s="1"/>
  <c r="G52" i="19"/>
  <c r="H52" i="19" s="1"/>
  <c r="G44" i="19"/>
  <c r="H44" i="19" s="1"/>
  <c r="G40" i="19"/>
  <c r="H40" i="19" s="1"/>
  <c r="G67" i="19"/>
  <c r="H67" i="19" s="1"/>
  <c r="G59" i="19"/>
  <c r="H59" i="19" s="1"/>
  <c r="G55" i="19"/>
  <c r="H55" i="19" s="1"/>
  <c r="G51" i="19"/>
  <c r="H51" i="19" s="1"/>
  <c r="G85" i="19"/>
  <c r="H85" i="19" s="1"/>
  <c r="I32" i="23"/>
  <c r="I31" i="23"/>
  <c r="E32" i="23"/>
  <c r="E31" i="23"/>
  <c r="B32" i="23"/>
  <c r="B31" i="23"/>
  <c r="H34" i="20"/>
  <c r="H33" i="20"/>
  <c r="D34" i="20"/>
  <c r="D33" i="20"/>
  <c r="A34" i="20"/>
  <c r="A33" i="20"/>
  <c r="B28" i="20"/>
  <c r="I138" i="26"/>
  <c r="I137" i="26"/>
  <c r="D138" i="26"/>
  <c r="D137" i="26"/>
  <c r="A138" i="26"/>
  <c r="A137" i="26"/>
  <c r="X14" i="24" l="1"/>
  <c r="N145" i="24"/>
  <c r="N144" i="24"/>
  <c r="D145" i="24"/>
  <c r="D144" i="24"/>
  <c r="A145" i="24"/>
  <c r="A144" i="24"/>
  <c r="G127" i="19"/>
  <c r="G126" i="19"/>
  <c r="D127" i="19"/>
  <c r="D126" i="19"/>
  <c r="A127" i="19"/>
  <c r="A126" i="19"/>
  <c r="B122" i="19"/>
  <c r="N9" i="28"/>
  <c r="K130" i="18"/>
  <c r="K129" i="18"/>
  <c r="D130" i="18"/>
  <c r="D129" i="18"/>
  <c r="A130" i="18"/>
  <c r="A129" i="18"/>
  <c r="C125" i="18"/>
  <c r="C124" i="28"/>
  <c r="H127" i="28"/>
  <c r="H126" i="28"/>
  <c r="D127" i="28"/>
  <c r="D126" i="28"/>
  <c r="A127" i="28"/>
  <c r="A126" i="28"/>
  <c r="I128" i="15"/>
  <c r="I127" i="15"/>
  <c r="D128" i="15"/>
  <c r="D127" i="15"/>
  <c r="A128" i="15"/>
  <c r="A127" i="15"/>
  <c r="A124" i="15"/>
  <c r="A25" i="21"/>
  <c r="I29" i="21"/>
  <c r="I28" i="21"/>
  <c r="E29" i="21"/>
  <c r="E28" i="21"/>
  <c r="A29" i="21"/>
  <c r="A28" i="21"/>
  <c r="I25" i="31"/>
  <c r="I24" i="31"/>
  <c r="E25" i="31"/>
  <c r="E24" i="31"/>
  <c r="A25" i="31"/>
  <c r="A24" i="31"/>
  <c r="X122" i="24" l="1"/>
  <c r="A18" i="31"/>
  <c r="C11" i="20" l="1"/>
  <c r="B27" i="20"/>
  <c r="B132" i="26"/>
  <c r="B138" i="24"/>
  <c r="B121" i="19"/>
  <c r="C123" i="28"/>
  <c r="C124" i="18"/>
  <c r="A123" i="15"/>
  <c r="E16" i="25"/>
  <c r="A24" i="21" s="1"/>
  <c r="A7" i="31" l="1"/>
  <c r="A6" i="31"/>
  <c r="A5" i="31"/>
  <c r="E9" i="19" l="1"/>
  <c r="G9" i="19" s="1"/>
  <c r="H9" i="19" s="1"/>
  <c r="E10" i="19"/>
  <c r="G10" i="19" s="1"/>
  <c r="H10" i="19" s="1"/>
  <c r="E11" i="19"/>
  <c r="G11" i="19" s="1"/>
  <c r="H11" i="19" s="1"/>
  <c r="E12" i="19"/>
  <c r="G12" i="19" s="1"/>
  <c r="H12" i="19" s="1"/>
  <c r="E13" i="19"/>
  <c r="G13" i="19" s="1"/>
  <c r="H13" i="19" s="1"/>
  <c r="E14" i="19"/>
  <c r="G14" i="19" s="1"/>
  <c r="H14" i="19" s="1"/>
  <c r="E15" i="19"/>
  <c r="G15" i="19" s="1"/>
  <c r="H15" i="19" s="1"/>
  <c r="E16" i="19"/>
  <c r="G16" i="19" s="1"/>
  <c r="H16" i="19" s="1"/>
  <c r="E17" i="19"/>
  <c r="G17" i="19" s="1"/>
  <c r="H17" i="19" s="1"/>
  <c r="E18" i="19"/>
  <c r="G18" i="19" s="1"/>
  <c r="H18" i="19" s="1"/>
  <c r="E19" i="19"/>
  <c r="G19" i="19" s="1"/>
  <c r="H19" i="19" s="1"/>
  <c r="E20" i="19"/>
  <c r="G20" i="19" s="1"/>
  <c r="H20" i="19" s="1"/>
  <c r="E21" i="19"/>
  <c r="G21" i="19" s="1"/>
  <c r="H21" i="19" s="1"/>
  <c r="E22" i="19"/>
  <c r="G22" i="19" s="1"/>
  <c r="H22" i="19" s="1"/>
  <c r="E23" i="19"/>
  <c r="G23" i="19" s="1"/>
  <c r="H23" i="19" s="1"/>
  <c r="E24" i="19"/>
  <c r="G24" i="19" s="1"/>
  <c r="H24" i="19" s="1"/>
  <c r="E25" i="19"/>
  <c r="G25" i="19" s="1"/>
  <c r="H25" i="19" s="1"/>
  <c r="E26" i="19"/>
  <c r="E27" i="19"/>
  <c r="G27" i="19" s="1"/>
  <c r="H27" i="19" s="1"/>
  <c r="E28" i="19"/>
  <c r="G28" i="19" s="1"/>
  <c r="H28" i="19" s="1"/>
  <c r="E29" i="19"/>
  <c r="G29" i="19" s="1"/>
  <c r="H29" i="19" s="1"/>
  <c r="E30" i="19"/>
  <c r="G30" i="19" s="1"/>
  <c r="H30" i="19" s="1"/>
  <c r="E31" i="19"/>
  <c r="G31" i="19" s="1"/>
  <c r="H31" i="19" s="1"/>
  <c r="E32" i="19"/>
  <c r="G32" i="19" s="1"/>
  <c r="H32" i="19" s="1"/>
  <c r="E33" i="19"/>
  <c r="G33" i="19" s="1"/>
  <c r="H33" i="19" s="1"/>
  <c r="E34" i="19"/>
  <c r="G34" i="19" s="1"/>
  <c r="H34" i="19" s="1"/>
  <c r="E35" i="19"/>
  <c r="G35" i="19" s="1"/>
  <c r="H35" i="19" s="1"/>
  <c r="E36" i="19"/>
  <c r="G36" i="19" s="1"/>
  <c r="H36" i="19" s="1"/>
  <c r="E8" i="19"/>
  <c r="C119" i="18"/>
  <c r="C119" i="15"/>
  <c r="D6" i="28" l="1"/>
  <c r="C6" i="28"/>
  <c r="A6" i="28"/>
  <c r="J56" i="15"/>
  <c r="G71" i="19" s="1"/>
  <c r="H71" i="19" s="1"/>
  <c r="J57" i="15"/>
  <c r="G72" i="19" s="1"/>
  <c r="H72" i="19" s="1"/>
  <c r="J58" i="15"/>
  <c r="G73" i="19" s="1"/>
  <c r="H73" i="19" s="1"/>
  <c r="J59" i="15"/>
  <c r="G74" i="19" s="1"/>
  <c r="H74" i="19" s="1"/>
  <c r="J60" i="15"/>
  <c r="G75" i="19" s="1"/>
  <c r="H75" i="19" s="1"/>
  <c r="J61" i="15"/>
  <c r="G76" i="19" s="1"/>
  <c r="H76" i="19" s="1"/>
  <c r="J62" i="15"/>
  <c r="G77" i="19" s="1"/>
  <c r="H77" i="19" s="1"/>
  <c r="J63" i="15"/>
  <c r="G78" i="19" s="1"/>
  <c r="H78" i="19" s="1"/>
  <c r="J64" i="15"/>
  <c r="G79" i="19" s="1"/>
  <c r="H79" i="19" s="1"/>
  <c r="J65" i="15"/>
  <c r="G80" i="19" s="1"/>
  <c r="H80" i="19" s="1"/>
  <c r="J66" i="15"/>
  <c r="G81" i="19" s="1"/>
  <c r="H81" i="19" s="1"/>
  <c r="J67" i="15"/>
  <c r="G82" i="19" s="1"/>
  <c r="H82" i="19" s="1"/>
  <c r="J68" i="15"/>
  <c r="G83" i="19" s="1"/>
  <c r="H83" i="19" s="1"/>
  <c r="J69" i="15"/>
  <c r="G84" i="19" s="1"/>
  <c r="H84" i="19" s="1"/>
  <c r="J11" i="15"/>
  <c r="J9" i="15"/>
  <c r="G8" i="19" l="1"/>
  <c r="H8" i="19" s="1"/>
  <c r="G26" i="19"/>
  <c r="H26" i="19" s="1"/>
  <c r="G114" i="19"/>
  <c r="H114" i="19" s="1"/>
  <c r="G110" i="19"/>
  <c r="H110" i="19" s="1"/>
  <c r="G106" i="19"/>
  <c r="H106" i="19" s="1"/>
  <c r="G102" i="19"/>
  <c r="H102" i="19" s="1"/>
  <c r="G98" i="19"/>
  <c r="H98" i="19" s="1"/>
  <c r="G94" i="19"/>
  <c r="H94" i="19" s="1"/>
  <c r="G90" i="19"/>
  <c r="H90" i="19" s="1"/>
  <c r="G113" i="19"/>
  <c r="H113" i="19" s="1"/>
  <c r="G109" i="19"/>
  <c r="H109" i="19" s="1"/>
  <c r="G105" i="19"/>
  <c r="H105" i="19" s="1"/>
  <c r="G101" i="19"/>
  <c r="H101" i="19" s="1"/>
  <c r="G97" i="19"/>
  <c r="H97" i="19" s="1"/>
  <c r="G93" i="19"/>
  <c r="H93" i="19" s="1"/>
  <c r="G89" i="19"/>
  <c r="H89" i="19" s="1"/>
  <c r="G112" i="19"/>
  <c r="H112" i="19" s="1"/>
  <c r="G108" i="19"/>
  <c r="H108" i="19" s="1"/>
  <c r="G104" i="19"/>
  <c r="H104" i="19" s="1"/>
  <c r="G100" i="19"/>
  <c r="H100" i="19" s="1"/>
  <c r="G96" i="19"/>
  <c r="H96" i="19" s="1"/>
  <c r="G92" i="19"/>
  <c r="H92" i="19" s="1"/>
  <c r="G88" i="19"/>
  <c r="H88" i="19" s="1"/>
  <c r="G87" i="19"/>
  <c r="H87" i="19" s="1"/>
  <c r="G115" i="19"/>
  <c r="H115" i="19" s="1"/>
  <c r="G111" i="19"/>
  <c r="H111" i="19" s="1"/>
  <c r="G107" i="19"/>
  <c r="H107" i="19" s="1"/>
  <c r="G103" i="19"/>
  <c r="H103" i="19" s="1"/>
  <c r="G99" i="19"/>
  <c r="H99" i="19" s="1"/>
  <c r="G95" i="19"/>
  <c r="H95" i="19" s="1"/>
  <c r="G91" i="19"/>
  <c r="H91" i="19" s="1"/>
  <c r="B25" i="23" l="1"/>
  <c r="B24" i="23"/>
  <c r="C18" i="21"/>
  <c r="D18" i="21"/>
  <c r="E18" i="21"/>
  <c r="F18" i="21"/>
  <c r="G18" i="21"/>
  <c r="H18" i="21"/>
  <c r="I18" i="21"/>
  <c r="B18" i="21"/>
  <c r="B8" i="23"/>
  <c r="B7" i="23"/>
  <c r="B6" i="23"/>
  <c r="D6" i="18"/>
  <c r="C6" i="18"/>
  <c r="A6" i="18"/>
  <c r="D6" i="15"/>
  <c r="C6" i="15"/>
  <c r="A6" i="15"/>
  <c r="D6" i="19"/>
  <c r="A6" i="19"/>
  <c r="C6" i="19"/>
  <c r="B7" i="20"/>
  <c r="B6" i="20"/>
  <c r="B5" i="20"/>
  <c r="A8" i="26"/>
  <c r="A7" i="26"/>
  <c r="A6" i="26"/>
  <c r="A8" i="24"/>
  <c r="A7" i="24"/>
  <c r="A6" i="24"/>
  <c r="A8" i="21"/>
  <c r="A7" i="21"/>
  <c r="A6" i="21"/>
  <c r="C122" i="26"/>
  <c r="D122" i="26" l="1"/>
  <c r="D124" i="26" l="1"/>
  <c r="D125" i="26" l="1"/>
  <c r="D127" i="26" s="1"/>
  <c r="C12" i="20"/>
  <c r="K11" i="23"/>
  <c r="J11" i="23"/>
  <c r="I11" i="23"/>
  <c r="H11" i="23"/>
  <c r="G11" i="23"/>
  <c r="F11" i="23"/>
  <c r="E11" i="23"/>
  <c r="D11" i="23"/>
  <c r="D133" i="24" l="1"/>
  <c r="C12" i="23" l="1"/>
  <c r="C16" i="20"/>
  <c r="X13" i="24" l="1"/>
  <c r="E133" i="24" l="1"/>
  <c r="F133" i="24" s="1"/>
</calcChain>
</file>

<file path=xl/sharedStrings.xml><?xml version="1.0" encoding="utf-8"?>
<sst xmlns="http://schemas.openxmlformats.org/spreadsheetml/2006/main" count="1072" uniqueCount="238">
  <si>
    <t>Roll No.</t>
  </si>
  <si>
    <t>Name of the Student</t>
  </si>
  <si>
    <t>CO1</t>
  </si>
  <si>
    <t>CO2</t>
  </si>
  <si>
    <t>CO3</t>
  </si>
  <si>
    <t xml:space="preserve">Comprehensive Concurrent Evaluation (CCE) Sheet </t>
  </si>
  <si>
    <t>Seat No.</t>
  </si>
  <si>
    <t>Name</t>
  </si>
  <si>
    <t>(College Examination Officer)</t>
  </si>
  <si>
    <t>Approved by AICTE, Recognized under 2 (f) &amp; 12 (b) sections of UGC Act)</t>
  </si>
  <si>
    <t>CO4</t>
  </si>
  <si>
    <t>Total Marks Obtained (25)</t>
  </si>
  <si>
    <t>CO5</t>
  </si>
  <si>
    <t>Total No. of Students:</t>
  </si>
  <si>
    <t>PO1</t>
  </si>
  <si>
    <t>PO2</t>
  </si>
  <si>
    <t>PO3</t>
  </si>
  <si>
    <t>PO4</t>
  </si>
  <si>
    <t>PO5</t>
  </si>
  <si>
    <t>PO6</t>
  </si>
  <si>
    <t>PO7</t>
  </si>
  <si>
    <t>PO8</t>
  </si>
  <si>
    <t>Average</t>
  </si>
  <si>
    <t>-</t>
  </si>
  <si>
    <t>Average Mapping (M)</t>
  </si>
  <si>
    <t>No of Students (y)</t>
  </si>
  <si>
    <t>CO Attainment Level</t>
  </si>
  <si>
    <t>% of Students to get</t>
  </si>
  <si>
    <t>CO Attainment Percentage</t>
  </si>
  <si>
    <t>Course Outcome Attainment Calculations - External Assessment (SPPU)</t>
  </si>
  <si>
    <t>Equal Weightage to all COs</t>
  </si>
  <si>
    <t>Percentage of Students to get</t>
  </si>
  <si>
    <t>Particulars</t>
  </si>
  <si>
    <t>OVERALL CO ATTAINMENT FOR COURSE</t>
  </si>
  <si>
    <t>Name of the faculty:</t>
  </si>
  <si>
    <t>Subject &amp; Code:</t>
  </si>
  <si>
    <t>Class &amp; A.Y.:</t>
  </si>
  <si>
    <t>Type of Course:</t>
  </si>
  <si>
    <t>Subject Core</t>
  </si>
  <si>
    <t>Specialization:</t>
  </si>
  <si>
    <t>Internal Assessment Weightage</t>
  </si>
  <si>
    <t>External Assessment Weightage</t>
  </si>
  <si>
    <t>Direct Assessment Weightage</t>
  </si>
  <si>
    <t>Indirect Assessment Weightage</t>
  </si>
  <si>
    <t>CO ATTAINMENT PERCENTAGE - DIRECT ASSESSMENT 
Direct Attainment=(Int. Weightage X A1) + ( Ext. Weightage X A2)</t>
  </si>
  <si>
    <t>CO ATTAINMENT PERCENTAGE - INDIRECT (SURVEY)</t>
  </si>
  <si>
    <t>CO ATTAINMENT PERCENTAGE - 
INTERNAL ASSESSMENT (A1)</t>
  </si>
  <si>
    <t>CO ATTAINMENT PERCENTAGE - 
EXTERNAL ASSESSMENT (SPPU) (A2)</t>
  </si>
  <si>
    <t>Designation:</t>
  </si>
  <si>
    <t>Total Marks Obtained</t>
  </si>
  <si>
    <t>Overall CO Attainment %</t>
  </si>
  <si>
    <t>CO-PO Attainment Calculations</t>
  </si>
  <si>
    <t>CO ATTAINMENT LEVEL</t>
  </si>
  <si>
    <t>Attainment based on External Evaluation = Avg. of all COs</t>
  </si>
  <si>
    <t>Attainment based on Comprehensive Concurrent Evaluation (CCE) = Avg. of all COs</t>
  </si>
  <si>
    <t>Percentage of Students to get 60% of Marks</t>
  </si>
  <si>
    <t xml:space="preserve"> </t>
  </si>
  <si>
    <t>Attainment</t>
  </si>
  <si>
    <t>Perecentage</t>
  </si>
  <si>
    <t>Rubrics</t>
  </si>
  <si>
    <t>Criteria</t>
  </si>
  <si>
    <t>Understanding of Concepts</t>
  </si>
  <si>
    <t>Application of Tools</t>
  </si>
  <si>
    <t>Interpretation &amp; Decision-Making</t>
  </si>
  <si>
    <t>Structure &amp; Clarity</t>
  </si>
  <si>
    <t>References &amp; Format</t>
  </si>
  <si>
    <t>Excellent (100%)</t>
  </si>
  <si>
    <t>Good (80%)</t>
  </si>
  <si>
    <t>Satisfactory (60%)</t>
  </si>
  <si>
    <t>Needs Improvement (&lt;60%)</t>
  </si>
  <si>
    <t>Overall  Semester wise  Attainment</t>
  </si>
  <si>
    <t>Director</t>
  </si>
  <si>
    <r>
      <t xml:space="preserve">Max Marks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</si>
  <si>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Dr. D.Y. Patil Educational Federation's</t>
  </si>
  <si>
    <t>Dr. D. Y. Patil Institute of Management and Entreprenuer Development, Varale, Pune</t>
  </si>
  <si>
    <t>(Permanently affiliated to Savitribai Phule Pune University, Accredited by NAAC 'A'</t>
  </si>
  <si>
    <t>%</t>
  </si>
  <si>
    <t>Marks</t>
  </si>
  <si>
    <t>Subject Faculty</t>
  </si>
  <si>
    <t>Dr. Ashwini Chavan</t>
  </si>
  <si>
    <t>Dr. Priyanka Singh</t>
  </si>
  <si>
    <t xml:space="preserve">COURSE OUTCOMES (CO) MAPPING WITH PROGRAM OUTCOMES (PO) </t>
  </si>
  <si>
    <t>Program OutComes</t>
  </si>
  <si>
    <t>Course OutComes</t>
  </si>
  <si>
    <t>Assistant Professor</t>
  </si>
  <si>
    <t>Dr. Ravi Chourasiya</t>
  </si>
  <si>
    <t>HOD (MCA)</t>
  </si>
  <si>
    <r>
      <rPr>
        <b/>
        <sz val="14"/>
        <color theme="1"/>
        <rFont val="Times New Roman"/>
        <family val="1"/>
      </rPr>
      <t>PO1 (Foundation Knowledge):</t>
    </r>
    <r>
      <rPr>
        <sz val="14"/>
        <color theme="1"/>
        <rFont val="Times New Roman"/>
        <family val="1"/>
      </rPr>
      <t xml:space="preserve"> Apply knowledge of mathematics, programming logic and coding fundamentals for solution architecture and problem solving.</t>
    </r>
  </si>
  <si>
    <r>
      <rPr>
        <b/>
        <sz val="14"/>
        <color theme="1"/>
        <rFont val="Times New Roman"/>
        <family val="1"/>
      </rPr>
      <t>PO2 (Problem Analysis):</t>
    </r>
    <r>
      <rPr>
        <sz val="14"/>
        <color theme="1"/>
        <rFont val="Times New Roman"/>
        <family val="1"/>
      </rPr>
      <t xml:space="preserve"> Identify, review, formulate and analyze problems for primarily focussing on customer requirements using critical thinking frameworks.</t>
    </r>
  </si>
  <si>
    <r>
      <rPr>
        <b/>
        <sz val="14"/>
        <color theme="1"/>
        <rFont val="Times New Roman"/>
        <family val="1"/>
      </rPr>
      <t>PO3 (Development of Solutions)</t>
    </r>
    <r>
      <rPr>
        <sz val="14"/>
        <color theme="1"/>
        <rFont val="Times New Roman"/>
        <family val="1"/>
      </rPr>
      <t>: Design, develop and investigate problems with as an innovative approach for solutions incorporating ESG/SDG goals.</t>
    </r>
  </si>
  <si>
    <r>
      <rPr>
        <b/>
        <sz val="14"/>
        <color theme="1"/>
        <rFont val="Times New Roman"/>
        <family val="1"/>
      </rPr>
      <t>PO4 (Modern Tool Usage):</t>
    </r>
    <r>
      <rPr>
        <sz val="14"/>
        <color theme="1"/>
        <rFont val="Times New Roman"/>
        <family val="1"/>
      </rPr>
      <t xml:space="preserve"> Select, adapt and apply modern computational tools such as development of algorithms with an understanding of the limitations including human  biases.</t>
    </r>
  </si>
  <si>
    <r>
      <rPr>
        <b/>
        <sz val="14"/>
        <color theme="1"/>
        <rFont val="Times New Roman"/>
        <family val="1"/>
      </rPr>
      <t>PO5 (Individual and Teamwork):</t>
    </r>
    <r>
      <rPr>
        <sz val="14"/>
        <color theme="1"/>
        <rFont val="Times New Roman"/>
        <family val="1"/>
      </rPr>
      <t xml:space="preserve"> Function and communicate effectively as an individual or a team leader in diverse and multidisciplinary groups. Use methodologies such as agile.</t>
    </r>
  </si>
  <si>
    <r>
      <rPr>
        <b/>
        <sz val="14"/>
        <color theme="1"/>
        <rFont val="Times New Roman"/>
        <family val="1"/>
      </rPr>
      <t>PO6 (Project Management and Finance):</t>
    </r>
    <r>
      <rPr>
        <sz val="14"/>
        <color theme="1"/>
        <rFont val="Times New Roman"/>
        <family val="1"/>
      </rPr>
      <t xml:space="preserve"> Use the principles of project management such as scheduling, work breakdown structure and be conversant with the principles of Finance for profitable project management.</t>
    </r>
  </si>
  <si>
    <r>
      <rPr>
        <b/>
        <sz val="14"/>
        <color theme="1"/>
        <rFont val="Times New Roman"/>
        <family val="1"/>
      </rPr>
      <t>PO7 (Ethics)</t>
    </r>
    <r>
      <rPr>
        <sz val="14"/>
        <color theme="1"/>
        <rFont val="Times New Roman"/>
        <family val="1"/>
      </rPr>
      <t xml:space="preserve">: Commit to professional ethics in managing software projects with financial aspects. Learn to use new technologies for cyber security and insulate customers from malware </t>
    </r>
  </si>
  <si>
    <r>
      <rPr>
        <b/>
        <sz val="14"/>
        <color theme="1"/>
        <rFont val="Times New Roman"/>
        <family val="1"/>
      </rPr>
      <t>PO8 (Life-long learning)</t>
    </r>
    <r>
      <rPr>
        <sz val="14"/>
        <color theme="1"/>
        <rFont val="Times New Roman"/>
        <family val="1"/>
      </rPr>
      <t>: Change management skills and the ability to learn, keep up with contemporary technologies and ways of working.</t>
    </r>
  </si>
  <si>
    <t>CCE-III (End Term)</t>
  </si>
  <si>
    <t>Final
(25)</t>
  </si>
  <si>
    <t>CCE1 (Mid Term: 30)</t>
  </si>
  <si>
    <t>CCE3 (End term:50)</t>
  </si>
  <si>
    <t>Q1</t>
  </si>
  <si>
    <r>
      <t xml:space="preserve">CO Mapping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</si>
  <si>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CCE2 (Assignment :20)</t>
  </si>
  <si>
    <t>Benchmark</t>
  </si>
  <si>
    <t>Indirect  Attainment</t>
  </si>
  <si>
    <t>Benchmarks</t>
  </si>
  <si>
    <t>Total</t>
  </si>
  <si>
    <t>Sr. No</t>
  </si>
  <si>
    <t>MCA I SEM I AY 2023-24</t>
  </si>
  <si>
    <t>NAIK ANKIT JIVAN</t>
  </si>
  <si>
    <t>ARGADE RAVISHANKAR UTTAM</t>
  </si>
  <si>
    <t>ANERAO ONKAR RANGNATH</t>
  </si>
  <si>
    <t>MORE KIRAN SUNIL</t>
  </si>
  <si>
    <t>KSHIRSAGAR GAURAV SHRIKANT</t>
  </si>
  <si>
    <t>SHIRSAT MEGHA SHARAD</t>
  </si>
  <si>
    <t>INGALE RAHUL SUNIL</t>
  </si>
  <si>
    <t>MD TABISH ANWAR</t>
  </si>
  <si>
    <t>PUND SUYOG BHARAT</t>
  </si>
  <si>
    <t>JAGTAP DNYANESHWAR RAGHUNATH</t>
  </si>
  <si>
    <t>MAHAJAN PRATHAMESH JAGDISH</t>
  </si>
  <si>
    <t>PATHAN ALIZABEE AKHTAR KHAN</t>
  </si>
  <si>
    <t>MUNDLOD PRUTHVI BALAJI</t>
  </si>
  <si>
    <t>CHANNE VIJAY SAKHARAM</t>
  </si>
  <si>
    <t>SHAIKH AYUB SIKANDAR</t>
  </si>
  <si>
    <t>SONGIRE VAIBHAV SANTOSH</t>
  </si>
  <si>
    <t>KARDILE GAURAV NANASAHEB</t>
  </si>
  <si>
    <t>SHINDE MAHESH DHANAJI</t>
  </si>
  <si>
    <t>BHISE DIPAK VETALA</t>
  </si>
  <si>
    <t>BHAGWAT SHREYAS RAVINDRA</t>
  </si>
  <si>
    <t>RAHUL VILAS THORAT</t>
  </si>
  <si>
    <t>AVINASH BAPU MANE</t>
  </si>
  <si>
    <t>SHELKE VAIBHAV MACHHINDRA</t>
  </si>
  <si>
    <t>VIJAY SUDHAKAR LOKARE</t>
  </si>
  <si>
    <t>CHANDANKHEDE SEJAL ASHOK</t>
  </si>
  <si>
    <t>VAISHNAVI SAYAJI PINGAT</t>
  </si>
  <si>
    <t>BORSE NIKITA BHALERAO</t>
  </si>
  <si>
    <t>RADHIKA NARAYAN SHELAR</t>
  </si>
  <si>
    <t>BRAMHANE DIPAK LAXMAN</t>
  </si>
  <si>
    <t>PHATKE SAKSHI SANTOSH</t>
  </si>
  <si>
    <t>RAUT NIKHIL DINKAR</t>
  </si>
  <si>
    <t>AKHARE PRATIK RAJENDRA</t>
  </si>
  <si>
    <t>MANATKAR SHREYASH VIJAY</t>
  </si>
  <si>
    <t>VEDANT NILKANTH THATE</t>
  </si>
  <si>
    <t>SALUNKHE SANIYA SANTOSH</t>
  </si>
  <si>
    <t>NAIK BHAKTI ANIL</t>
  </si>
  <si>
    <t>RANDAVE SURAJ SHIVAJI</t>
  </si>
  <si>
    <t>PRAJWAL KISHOR SATPUTE</t>
  </si>
  <si>
    <t>KAPIL MAHENDRA MOON</t>
  </si>
  <si>
    <t>MAYURI TANAJI PATIL</t>
  </si>
  <si>
    <t>BHOSALE SHIVAJI SANTOSH</t>
  </si>
  <si>
    <t>MANE SHARVI MAHENDRA</t>
  </si>
  <si>
    <t>OMKAR SURESH JADHAV</t>
  </si>
  <si>
    <t>SANKET SUBHASH MORE</t>
  </si>
  <si>
    <t>JADHAV AKASH AMAR</t>
  </si>
  <si>
    <t>NINAD KAILAS SHEWALE</t>
  </si>
  <si>
    <t>WAHATULE PAVAN RAOSAHEB</t>
  </si>
  <si>
    <t>BHOGE AKASH PRAVINRAO</t>
  </si>
  <si>
    <t>BHAGAT DHANANJAY JAIRAM</t>
  </si>
  <si>
    <t>KUNDGIR PRATIBHA VASANT</t>
  </si>
  <si>
    <t>SAYYAD TARNUM ISMAIL</t>
  </si>
  <si>
    <t>SHRIKRISHNA SHIWAJI UBHALE</t>
  </si>
  <si>
    <t>JAGTAP PRATHAMESH BHAUSAHEB</t>
  </si>
  <si>
    <t>GHODKI RENUKA DILIP</t>
  </si>
  <si>
    <t>RELEKAR ABHISHEK RAJENDRA</t>
  </si>
  <si>
    <t>CHAUHAN ASHUTOSH SANJAYSINGH</t>
  </si>
  <si>
    <t>ATRE PANKAJ GANESH</t>
  </si>
  <si>
    <t>SUTAR VAIBHAVI VIKAS</t>
  </si>
  <si>
    <t>BHAGWAT PRATIK ANIL</t>
  </si>
  <si>
    <t>THATHAGAR VAIBHAV DHARMENDRA</t>
  </si>
  <si>
    <t>NAIKWADI ADINATH BHIMRAO</t>
  </si>
  <si>
    <t>JATHAR PRADNYA JALINDAR</t>
  </si>
  <si>
    <t>SANJIVANI SUNIL RAUT</t>
  </si>
  <si>
    <t>CHAVAN PAWAN SANTOSH</t>
  </si>
  <si>
    <t>KOLTE PRAJAKTA ANIL</t>
  </si>
  <si>
    <t>PRATIKSHA VISHWASRAO JAWARE</t>
  </si>
  <si>
    <t>JAGDHANE GAYATRI BABASAHEB</t>
  </si>
  <si>
    <t>SONAR PRERANA GAJANAN</t>
  </si>
  <si>
    <t>BHAVIK ANAND SHASHIKANT</t>
  </si>
  <si>
    <t>JADHAV SIDDHARTH SURYAKANT</t>
  </si>
  <si>
    <t>MANE VINAY TANAJI</t>
  </si>
  <si>
    <t>GAIKWAD MANGESH VISHNU</t>
  </si>
  <si>
    <t>GAIKWAD ROHAN RAJENDRA</t>
  </si>
  <si>
    <t>JAGTAP VAISHNAVI VILAS</t>
  </si>
  <si>
    <t>CHINDHE PRATIKSHA BALU</t>
  </si>
  <si>
    <t>SAKSHI SAGAR PARDESHI</t>
  </si>
  <si>
    <t>GHULE AKSHATA ADINATH</t>
  </si>
  <si>
    <t>BHAGAT SANIKA SATISH</t>
  </si>
  <si>
    <t>GANDAGE GANPATI DAYANAND</t>
  </si>
  <si>
    <t>SURYAWANSHI DIVYA BAJRANG</t>
  </si>
  <si>
    <t>KAMBLE YOGESH ARJUN</t>
  </si>
  <si>
    <t>CHAUHAN MANAV JIGAR KUMAR</t>
  </si>
  <si>
    <t>AJAY SATISH MANE</t>
  </si>
  <si>
    <t>CHOUDHARI SIDDHESH MURALIDHAR</t>
  </si>
  <si>
    <t>VARGANTI AARTI YALLAPPA</t>
  </si>
  <si>
    <t>KHAIRE PRATIKSHA KAILAS</t>
  </si>
  <si>
    <t>AJAYKUMAR PHAD</t>
  </si>
  <si>
    <t>CHAUDHARY AKHILESH JEEVAN</t>
  </si>
  <si>
    <t>TAYADE SUMEDH RAJESH</t>
  </si>
  <si>
    <t>GHULE SANKET BHANUDAS</t>
  </si>
  <si>
    <t>BAVISKAR SUMEDH ARVIND</t>
  </si>
  <si>
    <t>VAISHNAVI SANJAY YELMATE</t>
  </si>
  <si>
    <t>DHAGE SIDDHESH SUNIL</t>
  </si>
  <si>
    <t>ASHUTOSH KAMLESH DONGRE</t>
  </si>
  <si>
    <t>INGLE AKANKSHA SANJAY</t>
  </si>
  <si>
    <t>MANTRI PIYUSH DHANRAJ</t>
  </si>
  <si>
    <t>KALE ARCHAND NANDKISHOR</t>
  </si>
  <si>
    <t>BODHE GAURAV MAHESH</t>
  </si>
  <si>
    <t>THORKAR ANURAG RAJESH</t>
  </si>
  <si>
    <t>BHANDE SAKSHI GOPAL</t>
  </si>
  <si>
    <t>PATIL SNEHAL SUBHASH</t>
  </si>
  <si>
    <t>DONGAPURE AARTI SHIVRAJ</t>
  </si>
  <si>
    <t>RAVTALE RUSHIKESH AMBADAS</t>
  </si>
  <si>
    <t>VIVEK RAJVILAS SHAMKULE</t>
  </si>
  <si>
    <t>JISHAN VAHED SHAIKH</t>
  </si>
  <si>
    <t>MORE RUTUJA MADHUKAR</t>
  </si>
  <si>
    <t>ABHISHEK ARGADE</t>
  </si>
  <si>
    <t>KISHOR LAXMAN HAKE</t>
  </si>
  <si>
    <r>
      <rPr>
        <b/>
        <sz val="14"/>
        <color rgb="FFC00000"/>
        <rFont val="Times New Roman"/>
        <family val="1"/>
      </rPr>
      <t>3-HIGH (corresponds to a high correlation)</t>
    </r>
    <r>
      <rPr>
        <b/>
        <sz val="14"/>
        <color theme="1"/>
        <rFont val="Times New Roman"/>
        <family val="1"/>
      </rPr>
      <t xml:space="preserve">                                                      </t>
    </r>
    <r>
      <rPr>
        <b/>
        <sz val="14"/>
        <color rgb="FF002060"/>
        <rFont val="Times New Roman"/>
        <family val="1"/>
      </rPr>
      <t xml:space="preserve">2-MEDIUM (corresponds to a medium correlation) </t>
    </r>
    <r>
      <rPr>
        <b/>
        <sz val="14"/>
        <color theme="1"/>
        <rFont val="Times New Roman"/>
        <family val="1"/>
      </rPr>
      <t xml:space="preserve">  
</t>
    </r>
    <r>
      <rPr>
        <b/>
        <sz val="14"/>
        <color theme="9" tint="-0.499984740745262"/>
        <rFont val="Times New Roman"/>
        <family val="1"/>
      </rPr>
      <t>1-LOW (corresponds to a low correlation)</t>
    </r>
    <r>
      <rPr>
        <b/>
        <sz val="14"/>
        <color theme="1"/>
        <rFont val="Times New Roman"/>
        <family val="1"/>
      </rPr>
      <t xml:space="preserve"> between CO and PO/PSO</t>
    </r>
  </si>
  <si>
    <t>Combined Assessment Marks for COs (25)</t>
  </si>
  <si>
    <t>CCE-I (End term )</t>
  </si>
  <si>
    <t>Q2</t>
  </si>
  <si>
    <t>Q3</t>
  </si>
  <si>
    <t>Q4</t>
  </si>
  <si>
    <t>Anuja Mali</t>
  </si>
  <si>
    <t>Lab IT11L</t>
  </si>
  <si>
    <t>Demonstrate Collection framework</t>
  </si>
  <si>
    <t>Develop GUI using awt and swing</t>
  </si>
  <si>
    <t>Develop Web application using JSP and Servlet, JDBC</t>
  </si>
  <si>
    <t>Apply Data Structure to solve problems using JavaScript</t>
  </si>
  <si>
    <t>CCE-II (Working Demo)</t>
  </si>
  <si>
    <t>CCE#1  (55)</t>
  </si>
  <si>
    <t>CCE#2 (20)</t>
  </si>
  <si>
    <t>CCE#3 (20)</t>
  </si>
  <si>
    <t>Total (95)</t>
  </si>
  <si>
    <t>No of students between 40 and 50 % = (x4)</t>
  </si>
  <si>
    <t>No of students between less than 40 % = (x5)</t>
  </si>
  <si>
    <t>CO Benchmark Level</t>
  </si>
  <si>
    <t>Course Exit Survey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</si>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</sst>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7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206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4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4"/>
      <color theme="9" tint="-0.249977111117893"/>
      <name val="Times New Roman"/>
      <family val="1"/>
    </font>
    <font>
      <sz val="11"/>
      <color theme="0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b/>
      <sz val="10"/>
      <color rgb="FF002060"/>
      <name val="Arial"/>
      <family val="2"/>
      <scheme val="minor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  <font>
      <b/>
      <sz val="14"/>
      <color theme="0"/>
      <name val="Times New Roman"/>
      <family val="1"/>
    </font>
    <font>
      <sz val="10"/>
      <color rgb="FF000000"/>
      <name val="Times New Roman"/>
      <family val="1"/>
    </font>
    <font>
      <sz val="9"/>
      <name val="Arial MT"/>
      <charset val="134"/>
    </font>
    <font>
      <b/>
      <sz val="10"/>
      <color theme="0"/>
      <name val="Times New Roman"/>
      <family val="1"/>
    </font>
    <font>
      <sz val="18"/>
      <color theme="0"/>
      <name val="Times New Roman"/>
      <family val="1"/>
    </font>
    <font>
      <b/>
      <sz val="12"/>
      <color theme="2"/>
      <name val="Times New Roman"/>
      <family val="1"/>
    </font>
    <font>
      <sz val="12"/>
      <color theme="2"/>
      <name val="Times New Roman"/>
      <family val="1"/>
    </font>
    <font>
      <sz val="14"/>
      <color theme="0"/>
      <name val="Times New Roman"/>
      <family val="1"/>
    </font>
    <font>
      <b/>
      <sz val="11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4"/>
      <color theme="0"/>
      <name val="Arial"/>
      <family val="2"/>
      <scheme val="minor"/>
    </font>
    <font>
      <sz val="14"/>
      <color theme="1"/>
      <name val="Times New Roman"/>
      <family val="1"/>
    </font>
    <font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002060"/>
      <name val="Times New Roman"/>
      <family val="1"/>
    </font>
    <font>
      <b/>
      <sz val="14"/>
      <color theme="9" tint="-0.499984740745262"/>
      <name val="Times New Roman"/>
      <family val="1"/>
    </font>
    <font>
      <b/>
      <sz val="22"/>
      <color rgb="FF00206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rgb="FF444444"/>
      <name val="Times New Roman"/>
      <family val="1"/>
    </font>
    <font>
      <sz val="12"/>
      <color rgb="FF444444"/>
      <name val="Arial"/>
      <family val="2"/>
    </font>
    <font>
      <sz val="11"/>
      <color rgb="FF444444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1"/>
      <color rgb="FF444444"/>
      <name val="Arial"/>
      <family val="2"/>
    </font>
    <font>
      <sz val="11"/>
      <color rgb="FF1F1F1F"/>
      <name val="Arial"/>
      <family val="2"/>
    </font>
    <font>
      <sz val="10"/>
      <color rgb="FF1F1F1F"/>
      <name val="Arial"/>
      <family val="2"/>
      <scheme val="minor"/>
    </font>
    <font>
      <sz val="13"/>
      <color rgb="FF000000"/>
      <name val="Times New Roman"/>
      <family val="1"/>
    </font>
    <font>
      <sz val="12"/>
      <color rgb="FF1F1F1F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0" fontId="9" fillId="0" borderId="0"/>
    <xf numFmtId="0" fontId="1" fillId="0" borderId="0"/>
    <xf numFmtId="9" fontId="19" fillId="0" borderId="0" applyFont="0" applyFill="0" applyBorder="0" applyAlignment="0" applyProtection="0"/>
    <xf numFmtId="0" fontId="10" fillId="0" borderId="0"/>
    <xf numFmtId="0" fontId="34" fillId="0" borderId="0"/>
    <xf numFmtId="0" fontId="42" fillId="0" borderId="0" applyNumberFormat="0" applyFill="0" applyBorder="0" applyAlignment="0" applyProtection="0"/>
    <xf numFmtId="0" fontId="9" fillId="0" borderId="0"/>
    <xf numFmtId="0" fontId="9" fillId="0" borderId="0"/>
  </cellStyleXfs>
  <cellXfs count="3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14" fillId="3" borderId="34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0" fillId="3" borderId="20" xfId="0" applyFont="1" applyFill="1" applyBorder="1"/>
    <xf numFmtId="0" fontId="17" fillId="3" borderId="22" xfId="0" applyFont="1" applyFill="1" applyBorder="1" applyAlignment="1">
      <alignment vertical="center" wrapText="1"/>
    </xf>
    <xf numFmtId="0" fontId="10" fillId="3" borderId="23" xfId="0" applyFont="1" applyFill="1" applyBorder="1"/>
    <xf numFmtId="0" fontId="15" fillId="3" borderId="9" xfId="0" applyFont="1" applyFill="1" applyBorder="1"/>
    <xf numFmtId="0" fontId="18" fillId="3" borderId="37" xfId="0" applyFont="1" applyFill="1" applyBorder="1" applyAlignment="1">
      <alignment vertical="center" wrapText="1"/>
    </xf>
    <xf numFmtId="0" fontId="18" fillId="3" borderId="26" xfId="0" applyFont="1" applyFill="1" applyBorder="1" applyAlignment="1">
      <alignment vertical="center" wrapText="1"/>
    </xf>
    <xf numFmtId="0" fontId="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1" fillId="0" borderId="0" xfId="2" applyFont="1"/>
    <xf numFmtId="0" fontId="23" fillId="0" borderId="0" xfId="0" applyFont="1"/>
    <xf numFmtId="9" fontId="14" fillId="0" borderId="1" xfId="3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4" fillId="0" borderId="0" xfId="2" applyFont="1"/>
    <xf numFmtId="0" fontId="14" fillId="0" borderId="0" xfId="2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0" fillId="0" borderId="0" xfId="1" applyFont="1"/>
    <xf numFmtId="0" fontId="10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4" fillId="0" borderId="0" xfId="2" applyFont="1" applyAlignment="1">
      <alignment vertical="center"/>
    </xf>
    <xf numFmtId="2" fontId="11" fillId="0" borderId="1" xfId="2" applyNumberFormat="1" applyFont="1" applyBorder="1" applyAlignment="1" applyProtection="1">
      <alignment horizontal="center" vertical="center"/>
      <protection hidden="1"/>
    </xf>
    <xf numFmtId="0" fontId="21" fillId="0" borderId="0" xfId="2" applyFont="1"/>
    <xf numFmtId="2" fontId="20" fillId="4" borderId="1" xfId="2" applyNumberFormat="1" applyFont="1" applyFill="1" applyBorder="1" applyAlignment="1" applyProtection="1">
      <alignment horizontal="center" vertical="center"/>
      <protection hidden="1"/>
    </xf>
    <xf numFmtId="0" fontId="21" fillId="0" borderId="0" xfId="2" applyFont="1" applyAlignment="1">
      <alignment vertical="center"/>
    </xf>
    <xf numFmtId="0" fontId="17" fillId="0" borderId="0" xfId="2" applyFont="1"/>
    <xf numFmtId="0" fontId="3" fillId="0" borderId="0" xfId="1" applyFont="1"/>
    <xf numFmtId="0" fontId="3" fillId="0" borderId="0" xfId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29" fillId="0" borderId="0" xfId="2" applyFont="1"/>
    <xf numFmtId="0" fontId="20" fillId="0" borderId="0" xfId="2" applyFont="1" applyAlignment="1">
      <alignment vertical="center"/>
    </xf>
    <xf numFmtId="0" fontId="28" fillId="6" borderId="1" xfId="2" applyFont="1" applyFill="1" applyBorder="1" applyAlignment="1">
      <alignment horizontal="center" vertical="center"/>
    </xf>
    <xf numFmtId="0" fontId="26" fillId="6" borderId="0" xfId="2" applyFont="1" applyFill="1" applyAlignment="1">
      <alignment horizontal="center" vertical="center"/>
    </xf>
    <xf numFmtId="0" fontId="28" fillId="5" borderId="35" xfId="0" applyFont="1" applyFill="1" applyBorder="1" applyAlignment="1">
      <alignment horizontal="center" vertical="center"/>
    </xf>
    <xf numFmtId="9" fontId="28" fillId="5" borderId="37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9" fontId="28" fillId="5" borderId="9" xfId="0" applyNumberFormat="1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9" fontId="28" fillId="5" borderId="26" xfId="0" applyNumberFormat="1" applyFont="1" applyFill="1" applyBorder="1" applyAlignment="1">
      <alignment horizontal="center" vertical="center"/>
    </xf>
    <xf numFmtId="0" fontId="35" fillId="0" borderId="0" xfId="5" applyFont="1" applyAlignment="1">
      <alignment vertical="top" wrapText="1"/>
    </xf>
    <xf numFmtId="1" fontId="3" fillId="0" borderId="46" xfId="4" applyNumberFormat="1" applyFont="1" applyBorder="1" applyAlignment="1">
      <alignment horizontal="center" vertical="top" shrinkToFit="1"/>
    </xf>
    <xf numFmtId="0" fontId="14" fillId="0" borderId="1" xfId="1" applyFont="1" applyBorder="1" applyAlignment="1">
      <alignment horizontal="center"/>
    </xf>
    <xf numFmtId="0" fontId="32" fillId="5" borderId="0" xfId="0" applyFont="1" applyFill="1" applyAlignment="1">
      <alignment wrapText="1"/>
    </xf>
    <xf numFmtId="0" fontId="36" fillId="5" borderId="0" xfId="0" applyFont="1" applyFill="1" applyAlignment="1">
      <alignment wrapText="1"/>
    </xf>
    <xf numFmtId="0" fontId="33" fillId="5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38" fillId="6" borderId="1" xfId="0" applyFont="1" applyFill="1" applyBorder="1" applyAlignment="1">
      <alignment horizontal="left"/>
    </xf>
    <xf numFmtId="1" fontId="39" fillId="6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center"/>
    </xf>
    <xf numFmtId="164" fontId="3" fillId="10" borderId="0" xfId="7" applyNumberFormat="1" applyFont="1" applyFill="1" applyAlignment="1">
      <alignment horizontal="center"/>
    </xf>
    <xf numFmtId="0" fontId="44" fillId="0" borderId="0" xfId="0" applyFont="1"/>
    <xf numFmtId="164" fontId="3" fillId="10" borderId="0" xfId="8" applyNumberFormat="1" applyFont="1" applyFill="1" applyAlignment="1">
      <alignment horizontal="center"/>
    </xf>
    <xf numFmtId="0" fontId="17" fillId="0" borderId="0" xfId="0" applyFont="1"/>
    <xf numFmtId="0" fontId="3" fillId="0" borderId="0" xfId="4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3" fillId="0" borderId="0" xfId="4" applyFont="1" applyAlignment="1">
      <alignment horizontal="left"/>
    </xf>
    <xf numFmtId="0" fontId="3" fillId="4" borderId="1" xfId="0" applyFont="1" applyFill="1" applyBorder="1"/>
    <xf numFmtId="0" fontId="4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30" fillId="4" borderId="1" xfId="0" applyNumberFormat="1" applyFont="1" applyFill="1" applyBorder="1" applyAlignment="1">
      <alignment horizontal="center" vertical="center"/>
    </xf>
    <xf numFmtId="0" fontId="47" fillId="0" borderId="0" xfId="0" applyFont="1"/>
    <xf numFmtId="0" fontId="48" fillId="0" borderId="0" xfId="0" applyFont="1" applyAlignment="1">
      <alignment horizontal="center"/>
    </xf>
    <xf numFmtId="0" fontId="28" fillId="6" borderId="8" xfId="2" applyFont="1" applyFill="1" applyBorder="1" applyAlignment="1">
      <alignment horizontal="center" vertical="center"/>
    </xf>
    <xf numFmtId="2" fontId="28" fillId="6" borderId="8" xfId="2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10" borderId="0" xfId="0" applyFont="1" applyFill="1" applyBorder="1" applyAlignment="1">
      <alignment vertical="top" wrapText="1"/>
    </xf>
    <xf numFmtId="2" fontId="28" fillId="10" borderId="0" xfId="2" applyNumberFormat="1" applyFont="1" applyFill="1" applyBorder="1" applyAlignment="1" applyProtection="1">
      <alignment horizontal="center" vertical="center"/>
      <protection hidden="1"/>
    </xf>
    <xf numFmtId="0" fontId="28" fillId="10" borderId="0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28" fillId="6" borderId="1" xfId="2" applyNumberFormat="1" applyFont="1" applyFill="1" applyBorder="1" applyAlignment="1" applyProtection="1">
      <alignment horizontal="center" vertical="center"/>
      <protection hidden="1"/>
    </xf>
    <xf numFmtId="0" fontId="49" fillId="0" borderId="0" xfId="2" applyFont="1" applyAlignment="1">
      <alignment vertical="center" wrapText="1"/>
    </xf>
    <xf numFmtId="0" fontId="49" fillId="0" borderId="0" xfId="0" applyFont="1" applyBorder="1" applyAlignment="1">
      <alignment vertical="center" wrapText="1"/>
    </xf>
    <xf numFmtId="0" fontId="28" fillId="15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13" fillId="10" borderId="14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 wrapText="1"/>
    </xf>
    <xf numFmtId="0" fontId="13" fillId="10" borderId="15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16" borderId="1" xfId="0" applyFont="1" applyFill="1" applyBorder="1" applyAlignment="1">
      <alignment vertical="center" wrapText="1"/>
    </xf>
    <xf numFmtId="0" fontId="10" fillId="16" borderId="1" xfId="0" applyFont="1" applyFill="1" applyBorder="1"/>
    <xf numFmtId="0" fontId="17" fillId="16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center" vertical="center" wrapText="1"/>
    </xf>
    <xf numFmtId="2" fontId="37" fillId="5" borderId="0" xfId="0" applyNumberFormat="1" applyFont="1" applyFill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28" fillId="15" borderId="1" xfId="2" applyFont="1" applyFill="1" applyBorder="1" applyAlignment="1">
      <alignment horizontal="center" vertical="center"/>
    </xf>
    <xf numFmtId="0" fontId="21" fillId="13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/>
    </xf>
    <xf numFmtId="2" fontId="21" fillId="13" borderId="1" xfId="2" applyNumberFormat="1" applyFont="1" applyFill="1" applyBorder="1" applyAlignment="1">
      <alignment horizontal="center" vertical="center"/>
    </xf>
    <xf numFmtId="0" fontId="48" fillId="0" borderId="0" xfId="0" applyFont="1"/>
    <xf numFmtId="0" fontId="40" fillId="8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4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6" fillId="17" borderId="1" xfId="0" applyFont="1" applyFill="1" applyBorder="1" applyAlignment="1" applyProtection="1">
      <alignment horizontal="center" vertical="center"/>
    </xf>
    <xf numFmtId="0" fontId="56" fillId="17" borderId="1" xfId="0" applyFont="1" applyFill="1" applyBorder="1" applyAlignment="1" applyProtection="1">
      <alignment horizontal="left" vertical="center"/>
    </xf>
    <xf numFmtId="0" fontId="58" fillId="17" borderId="1" xfId="0" applyFont="1" applyFill="1" applyBorder="1" applyAlignment="1" applyProtection="1">
      <alignment horizontal="center" vertical="center"/>
    </xf>
    <xf numFmtId="0" fontId="60" fillId="10" borderId="1" xfId="1" applyFont="1" applyFill="1" applyBorder="1" applyAlignment="1">
      <alignment horizontal="center"/>
    </xf>
    <xf numFmtId="0" fontId="60" fillId="10" borderId="1" xfId="1" applyNumberFormat="1" applyFont="1" applyFill="1" applyBorder="1" applyAlignment="1">
      <alignment horizontal="center"/>
    </xf>
    <xf numFmtId="1" fontId="60" fillId="10" borderId="9" xfId="1" applyNumberFormat="1" applyFont="1" applyFill="1" applyBorder="1" applyAlignment="1">
      <alignment horizontal="center"/>
    </xf>
    <xf numFmtId="0" fontId="59" fillId="0" borderId="1" xfId="4" applyNumberFormat="1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1" fontId="21" fillId="4" borderId="29" xfId="0" applyNumberFormat="1" applyFont="1" applyFill="1" applyBorder="1" applyAlignment="1">
      <alignment horizontal="center"/>
    </xf>
    <xf numFmtId="1" fontId="21" fillId="4" borderId="30" xfId="0" applyNumberFormat="1" applyFont="1" applyFill="1" applyBorder="1" applyAlignment="1">
      <alignment horizontal="center"/>
    </xf>
    <xf numFmtId="1" fontId="21" fillId="4" borderId="13" xfId="0" applyNumberFormat="1" applyFont="1" applyFill="1" applyBorder="1" applyAlignment="1">
      <alignment horizontal="center"/>
    </xf>
    <xf numFmtId="2" fontId="10" fillId="0" borderId="1" xfId="0" applyNumberFormat="1" applyFont="1" applyBorder="1"/>
    <xf numFmtId="0" fontId="9" fillId="0" borderId="1" xfId="0" applyFont="1" applyBorder="1"/>
    <xf numFmtId="0" fontId="62" fillId="17" borderId="50" xfId="0" applyFont="1" applyFill="1" applyBorder="1" applyAlignment="1">
      <alignment horizontal="left" vertical="center"/>
    </xf>
    <xf numFmtId="0" fontId="62" fillId="17" borderId="51" xfId="0" applyFont="1" applyFill="1" applyBorder="1" applyAlignment="1">
      <alignment horizontal="left" vertical="center"/>
    </xf>
    <xf numFmtId="0" fontId="62" fillId="17" borderId="52" xfId="0" applyFont="1" applyFill="1" applyBorder="1" applyAlignment="1">
      <alignment horizontal="left" vertical="center"/>
    </xf>
    <xf numFmtId="0" fontId="62" fillId="17" borderId="53" xfId="0" applyFont="1" applyFill="1" applyBorder="1" applyAlignment="1">
      <alignment horizontal="left" vertical="center"/>
    </xf>
    <xf numFmtId="0" fontId="57" fillId="17" borderId="0" xfId="0" applyFont="1" applyFill="1" applyAlignment="1">
      <alignment horizontal="center" vertical="center"/>
    </xf>
    <xf numFmtId="0" fontId="57" fillId="17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3" fillId="0" borderId="54" xfId="0" applyFont="1" applyBorder="1" applyAlignment="1">
      <alignment horizontal="right" vertical="center" wrapText="1" indent="1" readingOrder="1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4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/>
    </xf>
    <xf numFmtId="0" fontId="64" fillId="0" borderId="1" xfId="0" applyFont="1" applyBorder="1" applyAlignment="1">
      <alignment horizontal="left" vertical="center" wrapText="1" indent="1" readingOrder="1"/>
    </xf>
    <xf numFmtId="1" fontId="60" fillId="10" borderId="1" xfId="1" applyNumberFormat="1" applyFont="1" applyFill="1" applyBorder="1" applyAlignment="1">
      <alignment horizontal="center"/>
    </xf>
    <xf numFmtId="0" fontId="17" fillId="16" borderId="0" xfId="0" applyFont="1" applyFill="1" applyBorder="1" applyAlignment="1">
      <alignment vertical="center" wrapText="1"/>
    </xf>
    <xf numFmtId="0" fontId="10" fillId="16" borderId="0" xfId="0" applyFont="1" applyFill="1" applyBorder="1"/>
    <xf numFmtId="0" fontId="13" fillId="16" borderId="0" xfId="0" applyFont="1" applyFill="1" applyBorder="1" applyAlignment="1">
      <alignment vertical="center" wrapText="1"/>
    </xf>
    <xf numFmtId="0" fontId="10" fillId="16" borderId="0" xfId="0" applyFont="1" applyFill="1" applyBorder="1" applyAlignment="1">
      <alignment horizontal="center" vertical="center"/>
    </xf>
    <xf numFmtId="0" fontId="48" fillId="16" borderId="1" xfId="0" applyFont="1" applyFill="1" applyBorder="1"/>
    <xf numFmtId="0" fontId="65" fillId="16" borderId="1" xfId="0" applyFont="1" applyFill="1" applyBorder="1" applyAlignment="1">
      <alignment horizontal="center" vertical="center"/>
    </xf>
    <xf numFmtId="0" fontId="44" fillId="13" borderId="1" xfId="0" applyFont="1" applyFill="1" applyBorder="1" applyAlignment="1">
      <alignment vertical="center" wrapText="1"/>
    </xf>
    <xf numFmtId="0" fontId="44" fillId="12" borderId="1" xfId="0" applyFont="1" applyFill="1" applyBorder="1" applyAlignment="1">
      <alignment vertical="center" wrapText="1"/>
    </xf>
    <xf numFmtId="0" fontId="44" fillId="19" borderId="1" xfId="0" applyFont="1" applyFill="1" applyBorder="1" applyAlignment="1">
      <alignment vertical="center" wrapText="1"/>
    </xf>
    <xf numFmtId="0" fontId="44" fillId="7" borderId="1" xfId="0" applyFont="1" applyFill="1" applyBorder="1" applyAlignment="1">
      <alignment vertical="center" wrapText="1"/>
    </xf>
    <xf numFmtId="0" fontId="44" fillId="11" borderId="1" xfId="0" applyFont="1" applyFill="1" applyBorder="1" applyAlignment="1">
      <alignment vertical="center" wrapText="1"/>
    </xf>
    <xf numFmtId="2" fontId="65" fillId="16" borderId="1" xfId="0" applyNumberFormat="1" applyFont="1" applyFill="1" applyBorder="1" applyAlignment="1">
      <alignment horizontal="center" vertical="center"/>
    </xf>
    <xf numFmtId="0" fontId="44" fillId="16" borderId="1" xfId="0" applyFont="1" applyFill="1" applyBorder="1" applyAlignment="1">
      <alignment vertical="center" wrapText="1"/>
    </xf>
    <xf numFmtId="2" fontId="14" fillId="0" borderId="1" xfId="3" applyNumberFormat="1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 readingOrder="1"/>
    </xf>
    <xf numFmtId="2" fontId="66" fillId="0" borderId="1" xfId="0" applyNumberFormat="1" applyFont="1" applyBorder="1" applyAlignment="1">
      <alignment horizontal="center" vertical="center" wrapText="1" readingOrder="1"/>
    </xf>
    <xf numFmtId="164" fontId="66" fillId="0" borderId="1" xfId="0" applyNumberFormat="1" applyFont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45" fillId="5" borderId="0" xfId="0" applyFont="1" applyFill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3" fillId="4" borderId="1" xfId="2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0" fontId="41" fillId="8" borderId="19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top"/>
    </xf>
    <xf numFmtId="0" fontId="23" fillId="0" borderId="19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44" fillId="0" borderId="1" xfId="2" applyFont="1" applyFill="1" applyBorder="1" applyAlignment="1">
      <alignment horizontal="left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9" fillId="0" borderId="0" xfId="2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7" fillId="0" borderId="0" xfId="2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44" fillId="14" borderId="1" xfId="0" applyFont="1" applyFill="1" applyBorder="1" applyAlignment="1">
      <alignment horizontal="left" vertical="top" wrapText="1"/>
    </xf>
    <xf numFmtId="0" fontId="31" fillId="5" borderId="1" xfId="2" applyFont="1" applyFill="1" applyBorder="1" applyAlignment="1">
      <alignment horizontal="center"/>
    </xf>
    <xf numFmtId="0" fontId="44" fillId="12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left" vertical="top" wrapText="1"/>
    </xf>
    <xf numFmtId="0" fontId="44" fillId="2" borderId="1" xfId="0" applyFont="1" applyFill="1" applyBorder="1" applyAlignment="1">
      <alignment horizontal="left" vertical="top" wrapText="1"/>
    </xf>
    <xf numFmtId="0" fontId="44" fillId="4" borderId="1" xfId="0" applyFont="1" applyFill="1" applyBorder="1" applyAlignment="1">
      <alignment horizontal="left" vertical="top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 vertical="top"/>
    </xf>
    <xf numFmtId="0" fontId="31" fillId="5" borderId="17" xfId="2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31" fillId="6" borderId="8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1" fillId="15" borderId="3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4" fillId="15" borderId="9" xfId="0" applyFont="1" applyFill="1" applyBorder="1" applyAlignment="1">
      <alignment horizontal="center" vertical="center" wrapText="1"/>
    </xf>
    <xf numFmtId="0" fontId="54" fillId="15" borderId="19" xfId="0" applyFont="1" applyFill="1" applyBorder="1" applyAlignment="1">
      <alignment horizontal="center" vertical="center" wrapText="1"/>
    </xf>
    <xf numFmtId="0" fontId="54" fillId="15" borderId="1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28" fillId="15" borderId="9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1" fillId="15" borderId="6" xfId="0" applyFont="1" applyFill="1" applyBorder="1" applyAlignment="1">
      <alignment horizontal="center" vertical="center"/>
    </xf>
    <xf numFmtId="0" fontId="31" fillId="15" borderId="0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left"/>
    </xf>
    <xf numFmtId="0" fontId="31" fillId="15" borderId="1" xfId="0" applyFont="1" applyFill="1" applyBorder="1" applyAlignment="1">
      <alignment horizontal="center" vertical="top"/>
    </xf>
    <xf numFmtId="0" fontId="31" fillId="15" borderId="9" xfId="0" applyFont="1" applyFill="1" applyBorder="1" applyAlignment="1">
      <alignment horizontal="center" vertical="top"/>
    </xf>
    <xf numFmtId="0" fontId="61" fillId="18" borderId="1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9" fontId="21" fillId="7" borderId="5" xfId="0" applyNumberFormat="1" applyFont="1" applyFill="1" applyBorder="1" applyAlignment="1">
      <alignment horizontal="center" vertical="center"/>
    </xf>
    <xf numFmtId="9" fontId="21" fillId="7" borderId="7" xfId="0" applyNumberFormat="1" applyFont="1" applyFill="1" applyBorder="1" applyAlignment="1">
      <alignment horizontal="center" vertical="center"/>
    </xf>
    <xf numFmtId="9" fontId="21" fillId="7" borderId="13" xfId="0" applyNumberFormat="1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top"/>
    </xf>
    <xf numFmtId="0" fontId="31" fillId="6" borderId="4" xfId="0" applyFont="1" applyFill="1" applyBorder="1" applyAlignment="1">
      <alignment horizontal="center" vertical="top"/>
    </xf>
    <xf numFmtId="0" fontId="31" fillId="6" borderId="5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39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38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center" vertical="center"/>
    </xf>
    <xf numFmtId="0" fontId="33" fillId="5" borderId="39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33" fillId="6" borderId="42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/>
    </xf>
    <xf numFmtId="0" fontId="10" fillId="3" borderId="41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25" xfId="0" applyFont="1" applyFill="1" applyBorder="1" applyAlignment="1">
      <alignment horizontal="center"/>
    </xf>
    <xf numFmtId="0" fontId="10" fillId="3" borderId="29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9" fontId="10" fillId="3" borderId="45" xfId="0" applyNumberFormat="1" applyFont="1" applyFill="1" applyBorder="1" applyAlignment="1">
      <alignment horizontal="center"/>
    </xf>
    <xf numFmtId="9" fontId="10" fillId="3" borderId="19" xfId="0" applyNumberFormat="1" applyFont="1" applyFill="1" applyBorder="1" applyAlignment="1">
      <alignment horizontal="center"/>
    </xf>
    <xf numFmtId="9" fontId="10" fillId="3" borderId="27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31" fillId="8" borderId="31" xfId="0" applyFont="1" applyFill="1" applyBorder="1" applyAlignment="1">
      <alignment horizontal="center" vertical="top"/>
    </xf>
    <xf numFmtId="0" fontId="31" fillId="8" borderId="32" xfId="0" applyFont="1" applyFill="1" applyBorder="1" applyAlignment="1">
      <alignment horizontal="center" vertical="top"/>
    </xf>
    <xf numFmtId="0" fontId="31" fillId="8" borderId="4" xfId="0" applyFont="1" applyFill="1" applyBorder="1" applyAlignment="1">
      <alignment horizontal="center" vertical="top"/>
    </xf>
    <xf numFmtId="0" fontId="31" fillId="8" borderId="33" xfId="0" applyFont="1" applyFill="1" applyBorder="1" applyAlignment="1">
      <alignment horizontal="center" vertical="top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33" fillId="5" borderId="34" xfId="0" applyFont="1" applyFill="1" applyBorder="1" applyAlignment="1">
      <alignment horizontal="center" vertical="center" wrapText="1"/>
    </xf>
    <xf numFmtId="0" fontId="33" fillId="5" borderId="35" xfId="0" applyFont="1" applyFill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9" fontId="21" fillId="2" borderId="36" xfId="0" applyNumberFormat="1" applyFont="1" applyFill="1" applyBorder="1" applyAlignment="1">
      <alignment horizontal="center" vertical="center"/>
    </xf>
    <xf numFmtId="9" fontId="21" fillId="2" borderId="21" xfId="0" applyNumberFormat="1" applyFont="1" applyFill="1" applyBorder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/>
    </xf>
    <xf numFmtId="0" fontId="33" fillId="8" borderId="1" xfId="2" applyFont="1" applyFill="1" applyBorder="1" applyAlignment="1">
      <alignment horizontal="center" vertical="center"/>
    </xf>
    <xf numFmtId="0" fontId="54" fillId="15" borderId="9" xfId="2" applyFont="1" applyFill="1" applyBorder="1" applyAlignment="1">
      <alignment horizontal="center" vertical="center" wrapText="1"/>
    </xf>
    <xf numFmtId="0" fontId="54" fillId="15" borderId="10" xfId="2" applyFont="1" applyFill="1" applyBorder="1" applyAlignment="1">
      <alignment horizontal="center" vertical="center" wrapText="1"/>
    </xf>
    <xf numFmtId="0" fontId="31" fillId="15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48" fillId="0" borderId="0" xfId="4" applyFont="1" applyAlignment="1">
      <alignment horizontal="center"/>
    </xf>
    <xf numFmtId="0" fontId="4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4" fillId="0" borderId="0" xfId="2" applyFont="1" applyAlignment="1">
      <alignment horizontal="center"/>
    </xf>
    <xf numFmtId="0" fontId="43" fillId="5" borderId="1" xfId="6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5" fillId="15" borderId="3" xfId="0" applyFont="1" applyFill="1" applyBorder="1" applyAlignment="1">
      <alignment horizontal="center" vertical="center"/>
    </xf>
    <xf numFmtId="0" fontId="55" fillId="15" borderId="4" xfId="0" applyFont="1" applyFill="1" applyBorder="1" applyAlignment="1">
      <alignment horizontal="center" vertical="center"/>
    </xf>
    <xf numFmtId="0" fontId="55" fillId="15" borderId="5" xfId="0" applyFont="1" applyFill="1" applyBorder="1" applyAlignment="1">
      <alignment horizontal="center" vertical="center"/>
    </xf>
  </cellXfs>
  <cellStyles count="9">
    <cellStyle name="Hyperlink" xfId="6" builtinId="8"/>
    <cellStyle name="Normal" xfId="0" builtinId="0"/>
    <cellStyle name="Normal 2" xfId="1"/>
    <cellStyle name="Normal 2 2" xfId="4"/>
    <cellStyle name="Normal 2 3" xfId="7"/>
    <cellStyle name="Normal 3" xfId="2"/>
    <cellStyle name="Normal 4" xfId="5"/>
    <cellStyle name="Normal 5" xfId="8"/>
    <cellStyle name="Percent" xfId="3" builtinId="5"/>
  </cellStyles>
  <dxfs count="13">
    <dxf>
      <font>
        <strike val="0"/>
        <outline val="0"/>
        <shadow val="0"/>
        <u val="none"/>
        <vertAlign val="baseline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59BE9"/>
      <color rgb="FFEACCF4"/>
      <color rgb="FFF3E3F9"/>
      <color rgb="FFC0100C"/>
      <color rgb="FF999999"/>
      <color rgb="FFFFFFBE"/>
      <color rgb="FF2F92C8"/>
      <color rgb="FF20610A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106019</xdr:rowOff>
    </xdr:from>
    <xdr:to>
      <xdr:col>0</xdr:col>
      <xdr:colOff>615612</xdr:colOff>
      <xdr:row>3</xdr:row>
      <xdr:rowOff>1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9756" y="106019"/>
          <a:ext cx="575856" cy="642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1510748</xdr:colOff>
      <xdr:row>19</xdr:row>
      <xdr:rowOff>150564</xdr:rowOff>
    </xdr:from>
    <xdr:to>
      <xdr:col>1</xdr:col>
      <xdr:colOff>202806</xdr:colOff>
      <xdr:row>23</xdr:row>
      <xdr:rowOff>23674</xdr:rowOff>
    </xdr:to>
    <xdr:pic>
      <xdr:nvPicPr>
        <xdr:cNvPr id="9" name="Picture 8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48" y="3894303"/>
          <a:ext cx="819032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306789</xdr:colOff>
      <xdr:row>18</xdr:row>
      <xdr:rowOff>143126</xdr:rowOff>
    </xdr:from>
    <xdr:to>
      <xdr:col>5</xdr:col>
      <xdr:colOff>601318</xdr:colOff>
      <xdr:row>23</xdr:row>
      <xdr:rowOff>33945</xdr:rowOff>
    </xdr:to>
    <xdr:pic>
      <xdr:nvPicPr>
        <xdr:cNvPr id="10" name="Picture 9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432" y="3721213"/>
          <a:ext cx="1089660" cy="78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213322</xdr:colOff>
      <xdr:row>17</xdr:row>
      <xdr:rowOff>150412</xdr:rowOff>
    </xdr:from>
    <xdr:to>
      <xdr:col>9</xdr:col>
      <xdr:colOff>298506</xdr:colOff>
      <xdr:row>22</xdr:row>
      <xdr:rowOff>155328</xdr:rowOff>
    </xdr:to>
    <xdr:pic>
      <xdr:nvPicPr>
        <xdr:cNvPr id="11" name="Picture 10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402" y="3541312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474096</xdr:colOff>
      <xdr:row>0</xdr:row>
      <xdr:rowOff>0</xdr:rowOff>
    </xdr:from>
    <xdr:to>
      <xdr:col>0</xdr:col>
      <xdr:colOff>1158240</xdr:colOff>
      <xdr:row>3</xdr:row>
      <xdr:rowOff>144780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474096" y="0"/>
          <a:ext cx="684144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1043940</xdr:colOff>
      <xdr:row>19</xdr:row>
      <xdr:rowOff>167792</xdr:rowOff>
    </xdr:from>
    <xdr:to>
      <xdr:col>1</xdr:col>
      <xdr:colOff>650398</xdr:colOff>
      <xdr:row>22</xdr:row>
      <xdr:rowOff>139962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607329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160021</xdr:colOff>
      <xdr:row>18</xdr:row>
      <xdr:rowOff>129874</xdr:rowOff>
    </xdr:from>
    <xdr:to>
      <xdr:col>5</xdr:col>
      <xdr:colOff>462170</xdr:colOff>
      <xdr:row>22</xdr:row>
      <xdr:rowOff>112133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1" y="586011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599954</xdr:colOff>
      <xdr:row>18</xdr:row>
      <xdr:rowOff>0</xdr:rowOff>
    </xdr:from>
    <xdr:to>
      <xdr:col>10</xdr:col>
      <xdr:colOff>349858</xdr:colOff>
      <xdr:row>22</xdr:row>
      <xdr:rowOff>65876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374" y="573024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125895</xdr:colOff>
      <xdr:row>0</xdr:row>
      <xdr:rowOff>59636</xdr:rowOff>
    </xdr:from>
    <xdr:to>
      <xdr:col>1</xdr:col>
      <xdr:colOff>284922</xdr:colOff>
      <xdr:row>4</xdr:row>
      <xdr:rowOff>83158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5895" y="59636"/>
          <a:ext cx="768627" cy="94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80683</xdr:colOff>
      <xdr:row>26</xdr:row>
      <xdr:rowOff>154792</xdr:rowOff>
    </xdr:from>
    <xdr:to>
      <xdr:col>2</xdr:col>
      <xdr:colOff>289121</xdr:colOff>
      <xdr:row>27</xdr:row>
      <xdr:rowOff>302222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8025804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355900</xdr:colOff>
      <xdr:row>25</xdr:row>
      <xdr:rowOff>345026</xdr:rowOff>
    </xdr:from>
    <xdr:to>
      <xdr:col>6</xdr:col>
      <xdr:colOff>223709</xdr:colOff>
      <xdr:row>27</xdr:row>
      <xdr:rowOff>238534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300" y="777676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182199</xdr:colOff>
      <xdr:row>25</xdr:row>
      <xdr:rowOff>277905</xdr:rowOff>
    </xdr:from>
    <xdr:to>
      <xdr:col>9</xdr:col>
      <xdr:colOff>541703</xdr:colOff>
      <xdr:row>27</xdr:row>
      <xdr:rowOff>255030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399" y="7709646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184535</xdr:colOff>
      <xdr:row>0</xdr:row>
      <xdr:rowOff>7620</xdr:rowOff>
    </xdr:from>
    <xdr:to>
      <xdr:col>1</xdr:col>
      <xdr:colOff>219558</xdr:colOff>
      <xdr:row>3</xdr:row>
      <xdr:rowOff>121920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84535" y="7620"/>
          <a:ext cx="705583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182880</xdr:colOff>
      <xdr:row>123</xdr:row>
      <xdr:rowOff>11358</xdr:rowOff>
    </xdr:from>
    <xdr:to>
      <xdr:col>2</xdr:col>
      <xdr:colOff>1000918</xdr:colOff>
      <xdr:row>126</xdr:row>
      <xdr:rowOff>21628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" y="173011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496197</xdr:colOff>
      <xdr:row>121</xdr:row>
      <xdr:rowOff>181421</xdr:rowOff>
    </xdr:from>
    <xdr:to>
      <xdr:col>6</xdr:col>
      <xdr:colOff>74446</xdr:colOff>
      <xdr:row>125</xdr:row>
      <xdr:rowOff>178920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4437" y="170749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467276</xdr:colOff>
      <xdr:row>121</xdr:row>
      <xdr:rowOff>129540</xdr:rowOff>
    </xdr:from>
    <xdr:to>
      <xdr:col>10</xdr:col>
      <xdr:colOff>521980</xdr:colOff>
      <xdr:row>126</xdr:row>
      <xdr:rowOff>12536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1076" y="1702308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344555</xdr:colOff>
      <xdr:row>0</xdr:row>
      <xdr:rowOff>30480</xdr:rowOff>
    </xdr:from>
    <xdr:to>
      <xdr:col>1</xdr:col>
      <xdr:colOff>350520</xdr:colOff>
      <xdr:row>3</xdr:row>
      <xdr:rowOff>99060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44555" y="30480"/>
          <a:ext cx="638425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125</xdr:row>
      <xdr:rowOff>3738</xdr:rowOff>
    </xdr:from>
    <xdr:to>
      <xdr:col>2</xdr:col>
      <xdr:colOff>1008538</xdr:colOff>
      <xdr:row>128</xdr:row>
      <xdr:rowOff>14008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348652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503817</xdr:colOff>
      <xdr:row>123</xdr:row>
      <xdr:rowOff>173801</xdr:rowOff>
    </xdr:from>
    <xdr:to>
      <xdr:col>6</xdr:col>
      <xdr:colOff>13486</xdr:colOff>
      <xdr:row>127</xdr:row>
      <xdr:rowOff>171300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8697" y="346390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474896</xdr:colOff>
      <xdr:row>123</xdr:row>
      <xdr:rowOff>100965</xdr:rowOff>
    </xdr:from>
    <xdr:to>
      <xdr:col>11</xdr:col>
      <xdr:colOff>1002040</xdr:colOff>
      <xdr:row>127</xdr:row>
      <xdr:rowOff>182081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0621" y="28523565"/>
          <a:ext cx="1555844" cy="881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207396</xdr:colOff>
      <xdr:row>0</xdr:row>
      <xdr:rowOff>91439</xdr:rowOff>
    </xdr:from>
    <xdr:to>
      <xdr:col>1</xdr:col>
      <xdr:colOff>350832</xdr:colOff>
      <xdr:row>3</xdr:row>
      <xdr:rowOff>160020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207396" y="91439"/>
          <a:ext cx="775896" cy="929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464820</xdr:colOff>
      <xdr:row>122</xdr:row>
      <xdr:rowOff>26598</xdr:rowOff>
    </xdr:from>
    <xdr:to>
      <xdr:col>1</xdr:col>
      <xdr:colOff>650398</xdr:colOff>
      <xdr:row>125</xdr:row>
      <xdr:rowOff>36868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175068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305697</xdr:colOff>
      <xdr:row>121</xdr:row>
      <xdr:rowOff>13781</xdr:rowOff>
    </xdr:from>
    <xdr:to>
      <xdr:col>5</xdr:col>
      <xdr:colOff>341146</xdr:colOff>
      <xdr:row>125</xdr:row>
      <xdr:rowOff>11280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8217" y="1729594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330116</xdr:colOff>
      <xdr:row>120</xdr:row>
      <xdr:rowOff>38100</xdr:rowOff>
    </xdr:from>
    <xdr:to>
      <xdr:col>12</xdr:col>
      <xdr:colOff>331480</xdr:colOff>
      <xdr:row>124</xdr:row>
      <xdr:rowOff>119216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316" y="171526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375036</xdr:colOff>
      <xdr:row>0</xdr:row>
      <xdr:rowOff>0</xdr:rowOff>
    </xdr:from>
    <xdr:to>
      <xdr:col>1</xdr:col>
      <xdr:colOff>540910</xdr:colOff>
      <xdr:row>3</xdr:row>
      <xdr:rowOff>213360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75036" y="0"/>
          <a:ext cx="943114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205740</xdr:colOff>
      <xdr:row>121</xdr:row>
      <xdr:rowOff>148518</xdr:rowOff>
    </xdr:from>
    <xdr:to>
      <xdr:col>2</xdr:col>
      <xdr:colOff>1023778</xdr:colOff>
      <xdr:row>124</xdr:row>
      <xdr:rowOff>158788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64759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38997</xdr:colOff>
      <xdr:row>120</xdr:row>
      <xdr:rowOff>158561</xdr:rowOff>
    </xdr:from>
    <xdr:to>
      <xdr:col>3</xdr:col>
      <xdr:colOff>1126006</xdr:colOff>
      <xdr:row>124</xdr:row>
      <xdr:rowOff>156060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4817" y="154595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970196</xdr:colOff>
      <xdr:row>120</xdr:row>
      <xdr:rowOff>60960</xdr:rowOff>
    </xdr:from>
    <xdr:to>
      <xdr:col>7</xdr:col>
      <xdr:colOff>19060</xdr:colOff>
      <xdr:row>124</xdr:row>
      <xdr:rowOff>142076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0596" y="153619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566229</xdr:colOff>
      <xdr:row>0</xdr:row>
      <xdr:rowOff>0</xdr:rowOff>
    </xdr:from>
    <xdr:to>
      <xdr:col>2</xdr:col>
      <xdr:colOff>934379</xdr:colOff>
      <xdr:row>4</xdr:row>
      <xdr:rowOff>38100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175829" y="0"/>
          <a:ext cx="93965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139</xdr:row>
      <xdr:rowOff>178998</xdr:rowOff>
    </xdr:from>
    <xdr:to>
      <xdr:col>2</xdr:col>
      <xdr:colOff>1252378</xdr:colOff>
      <xdr:row>142</xdr:row>
      <xdr:rowOff>189268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173544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77097</xdr:colOff>
      <xdr:row>139</xdr:row>
      <xdr:rowOff>36641</xdr:rowOff>
    </xdr:from>
    <xdr:to>
      <xdr:col>5</xdr:col>
      <xdr:colOff>261136</xdr:colOff>
      <xdr:row>143</xdr:row>
      <xdr:rowOff>34140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7197" y="172121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48176</xdr:colOff>
      <xdr:row>138</xdr:row>
      <xdr:rowOff>106680</xdr:rowOff>
    </xdr:from>
    <xdr:to>
      <xdr:col>15</xdr:col>
      <xdr:colOff>518170</xdr:colOff>
      <xdr:row>143</xdr:row>
      <xdr:rowOff>20156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7396" y="171145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91446</xdr:colOff>
      <xdr:row>0</xdr:row>
      <xdr:rowOff>52753</xdr:rowOff>
    </xdr:from>
    <xdr:to>
      <xdr:col>1</xdr:col>
      <xdr:colOff>211016</xdr:colOff>
      <xdr:row>4</xdr:row>
      <xdr:rowOff>42285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91446" y="52753"/>
          <a:ext cx="729170" cy="8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298939</xdr:colOff>
      <xdr:row>132</xdr:row>
      <xdr:rowOff>190065</xdr:rowOff>
    </xdr:from>
    <xdr:to>
      <xdr:col>2</xdr:col>
      <xdr:colOff>1116977</xdr:colOff>
      <xdr:row>135</xdr:row>
      <xdr:rowOff>196818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970" y="17211973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393311</xdr:colOff>
      <xdr:row>132</xdr:row>
      <xdr:rowOff>20849</xdr:rowOff>
    </xdr:from>
    <xdr:to>
      <xdr:col>5</xdr:col>
      <xdr:colOff>378351</xdr:colOff>
      <xdr:row>136</xdr:row>
      <xdr:rowOff>13659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188" y="1704275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286363</xdr:colOff>
      <xdr:row>131</xdr:row>
      <xdr:rowOff>152399</xdr:rowOff>
    </xdr:from>
    <xdr:to>
      <xdr:col>10</xdr:col>
      <xdr:colOff>1097</xdr:colOff>
      <xdr:row>136</xdr:row>
      <xdr:rowOff>226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178" y="16945707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114299</xdr:rowOff>
    </xdr:from>
    <xdr:to>
      <xdr:col>0</xdr:col>
      <xdr:colOff>571065</xdr:colOff>
      <xdr:row>3</xdr:row>
      <xdr:rowOff>68580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0481" y="114299"/>
          <a:ext cx="540584" cy="647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1577340</xdr:colOff>
      <xdr:row>29</xdr:row>
      <xdr:rowOff>30632</xdr:rowOff>
    </xdr:from>
    <xdr:to>
      <xdr:col>1</xdr:col>
      <xdr:colOff>2395378</xdr:colOff>
      <xdr:row>32</xdr:row>
      <xdr:rowOff>40902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775731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411481</xdr:colOff>
      <xdr:row>27</xdr:row>
      <xdr:rowOff>145114</xdr:rowOff>
    </xdr:from>
    <xdr:to>
      <xdr:col>5</xdr:col>
      <xdr:colOff>431690</xdr:colOff>
      <xdr:row>31</xdr:row>
      <xdr:rowOff>188333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1" y="752127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508514</xdr:colOff>
      <xdr:row>27</xdr:row>
      <xdr:rowOff>0</xdr:rowOff>
    </xdr:from>
    <xdr:to>
      <xdr:col>9</xdr:col>
      <xdr:colOff>334618</xdr:colOff>
      <xdr:row>31</xdr:row>
      <xdr:rowOff>126836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114" y="737616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178397</xdr:colOff>
      <xdr:row>10</xdr:row>
      <xdr:rowOff>203052</xdr:rowOff>
    </xdr:from>
    <xdr:to>
      <xdr:col>2</xdr:col>
      <xdr:colOff>696557</xdr:colOff>
      <xdr:row>10</xdr:row>
      <xdr:rowOff>294492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675503" y="3026934"/>
          <a:ext cx="518160" cy="91440"/>
        </a:xfrm>
        <a:prstGeom prst="rightArrow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102199</xdr:colOff>
      <xdr:row>0</xdr:row>
      <xdr:rowOff>150156</xdr:rowOff>
    </xdr:from>
    <xdr:to>
      <xdr:col>1</xdr:col>
      <xdr:colOff>268941</xdr:colOff>
      <xdr:row>3</xdr:row>
      <xdr:rowOff>209514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02199" y="150156"/>
          <a:ext cx="776342" cy="93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708212</xdr:colOff>
      <xdr:row>26</xdr:row>
      <xdr:rowOff>103246</xdr:rowOff>
    </xdr:from>
    <xdr:to>
      <xdr:col>2</xdr:col>
      <xdr:colOff>29144</xdr:colOff>
      <xdr:row>29</xdr:row>
      <xdr:rowOff>134135</xdr:rowOff>
    </xdr:to>
    <xdr:pic>
      <xdr:nvPicPr>
        <xdr:cNvPr id="5" name="Picture 4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2" y="8054940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416412</xdr:colOff>
      <xdr:row>25</xdr:row>
      <xdr:rowOff>127184</xdr:rowOff>
    </xdr:from>
    <xdr:to>
      <xdr:col>6</xdr:col>
      <xdr:colOff>284221</xdr:colOff>
      <xdr:row>29</xdr:row>
      <xdr:rowOff>146199</xdr:rowOff>
    </xdr:to>
    <xdr:pic>
      <xdr:nvPicPr>
        <xdr:cNvPr id="6" name="Picture 5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694" y="7881655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410351</xdr:colOff>
      <xdr:row>24</xdr:row>
      <xdr:rowOff>179294</xdr:rowOff>
    </xdr:from>
    <xdr:to>
      <xdr:col>11</xdr:col>
      <xdr:colOff>160255</xdr:colOff>
      <xdr:row>29</xdr:row>
      <xdr:rowOff>84702</xdr:rowOff>
    </xdr:to>
    <xdr:pic>
      <xdr:nvPicPr>
        <xdr:cNvPr id="7" name="Picture 6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5033" y="7736541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122231</xdr:colOff>
      <xdr:row>0</xdr:row>
      <xdr:rowOff>0</xdr:rowOff>
    </xdr:from>
    <xdr:to>
      <xdr:col>1</xdr:col>
      <xdr:colOff>448235</xdr:colOff>
      <xdr:row>4</xdr:row>
      <xdr:rowOff>18195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2231" y="0"/>
          <a:ext cx="972023" cy="81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635934</xdr:colOff>
      <xdr:row>121</xdr:row>
      <xdr:rowOff>93609</xdr:rowOff>
    </xdr:from>
    <xdr:to>
      <xdr:col>2</xdr:col>
      <xdr:colOff>2597532</xdr:colOff>
      <xdr:row>125</xdr:row>
      <xdr:rowOff>58942</xdr:rowOff>
    </xdr:to>
    <xdr:pic>
      <xdr:nvPicPr>
        <xdr:cNvPr id="8" name="Picture 7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359" y="26163534"/>
          <a:ext cx="1949832" cy="76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258409</xdr:colOff>
      <xdr:row>120</xdr:row>
      <xdr:rowOff>60847</xdr:rowOff>
    </xdr:from>
    <xdr:to>
      <xdr:col>7</xdr:col>
      <xdr:colOff>365463</xdr:colOff>
      <xdr:row>125</xdr:row>
      <xdr:rowOff>52406</xdr:rowOff>
    </xdr:to>
    <xdr:pic>
      <xdr:nvPicPr>
        <xdr:cNvPr id="9" name="Picture 8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584" y="25930747"/>
          <a:ext cx="2026622" cy="99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69356</xdr:colOff>
      <xdr:row>120</xdr:row>
      <xdr:rowOff>74519</xdr:rowOff>
    </xdr:from>
    <xdr:to>
      <xdr:col>12</xdr:col>
      <xdr:colOff>459677</xdr:colOff>
      <xdr:row>125</xdr:row>
      <xdr:rowOff>171546</xdr:rowOff>
    </xdr:to>
    <xdr:pic>
      <xdr:nvPicPr>
        <xdr:cNvPr id="10" name="Picture 9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081" y="25944419"/>
          <a:ext cx="3000731" cy="1097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11%20Java%20Programm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Details"/>
      <sheetName val="Rubrics"/>
      <sheetName val="CO Mapping PO "/>
      <sheetName val="CCE1"/>
      <sheetName val="CCE2"/>
      <sheetName val="CCE3"/>
      <sheetName val="CCE"/>
      <sheetName val="CO Int. Attn"/>
      <sheetName val="CO Ext. Attn"/>
      <sheetName val="OverallCO Attainment"/>
      <sheetName val="CO PO Attainment"/>
      <sheetName val="Course Exit"/>
      <sheetName val="In Direct"/>
    </sheetNames>
    <sheetDataSet>
      <sheetData sheetId="0">
        <row r="24">
          <cell r="A24" t="str">
            <v>Dr. Ravi Chourasiya</v>
          </cell>
          <cell r="E24" t="str">
            <v>Dr. Ashwini Chavan</v>
          </cell>
          <cell r="H24" t="str">
            <v>Dr. Priyanka Singh</v>
          </cell>
        </row>
        <row r="25">
          <cell r="A25" t="str">
            <v>(College Examination Officer)</v>
          </cell>
          <cell r="E25" t="str">
            <v>HOD (MCA)</v>
          </cell>
          <cell r="H25" t="str">
            <v>Director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3" displayName="Table3" ref="A7:H115" totalsRowShown="0" headerRowDxfId="12" dataDxfId="10" headerRowBorderDxfId="11" tableBorderDxfId="9" totalsRowBorderDxfId="8">
  <autoFilter ref="A7:H115"/>
  <sortState ref="A9:H208">
    <sortCondition ref="A8:A208"/>
  </sortState>
  <tableColumns count="8">
    <tableColumn id="1" name="Roll No." dataDxfId="7" dataCellStyle="Normal 2 2"/>
    <tableColumn id="2" name="Seat No." dataDxfId="6" dataCellStyle="Normal 2"/>
    <tableColumn id="3" name="Name" dataDxfId="5" dataCellStyle="Normal 2"/>
    <tableColumn id="4" name="CCE#1  (55)" dataDxfId="4">
      <calculatedColumnFormula>'CCE1'!J11</calculatedColumnFormula>
    </tableColumn>
    <tableColumn id="5" name="CCE#2 (20)" dataDxfId="3">
      <calculatedColumnFormula>'CCE2'!L11</calculatedColumnFormula>
    </tableColumn>
    <tableColumn id="8" name="CCE#3 (20)" dataDxfId="2" dataCellStyle="Normal 2">
      <calculatedColumnFormula>'CCE3'!N11</calculatedColumnFormula>
    </tableColumn>
    <tableColumn id="6" name="Total (95)" dataDxfId="1">
      <calculatedColumnFormula>SUM(Table3[[#This Row],[CCE'#1  (55)]:[CCE'#3 (20)]])</calculatedColumnFormula>
    </tableColumn>
    <tableColumn id="7" name="Final_x000a_(25)" dataDxfId="0">
      <calculatedColumnFormula>Table3[[#This Row],[Total (95)]]/('CCE1'!$J$9+'CCE2'!$L$9+'CCE3'!$N$9)*75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..\..\..\NAAC\CO-PO\2018-19\SEM%20I\Semester%20wis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zoomScaleNormal="100" workbookViewId="0">
      <selection activeCell="B11" sqref="B11:H11"/>
    </sheetView>
  </sheetViews>
  <sheetFormatPr defaultRowHeight="12.75"/>
  <cols>
    <col min="1" max="1" width="31" customWidth="1"/>
    <col min="2" max="2" width="12" customWidth="1"/>
    <col min="3" max="3" width="11.7109375" customWidth="1"/>
    <col min="4" max="4" width="13.7109375" customWidth="1"/>
    <col min="5" max="6" width="11.5703125" customWidth="1"/>
    <col min="7" max="7" width="12.28515625" customWidth="1"/>
    <col min="8" max="8" width="12.85546875" customWidth="1"/>
  </cols>
  <sheetData>
    <row r="1" spans="1:10" ht="24.6" customHeight="1">
      <c r="A1" s="208" t="s">
        <v>73</v>
      </c>
      <c r="B1" s="208"/>
      <c r="C1" s="208"/>
      <c r="D1" s="208"/>
      <c r="E1" s="208"/>
      <c r="F1" s="208"/>
      <c r="G1" s="208"/>
      <c r="H1" s="208"/>
      <c r="I1" s="9"/>
      <c r="J1" s="9"/>
    </row>
    <row r="2" spans="1:10" ht="21" customHeight="1">
      <c r="A2" s="209" t="s">
        <v>74</v>
      </c>
      <c r="B2" s="209"/>
      <c r="C2" s="209"/>
      <c r="D2" s="209"/>
      <c r="E2" s="209"/>
      <c r="F2" s="209"/>
      <c r="G2" s="209"/>
      <c r="H2" s="209"/>
      <c r="I2" s="10"/>
      <c r="J2" s="10"/>
    </row>
    <row r="3" spans="1:10" ht="13.9" customHeight="1">
      <c r="A3" s="210" t="s">
        <v>75</v>
      </c>
      <c r="B3" s="210"/>
      <c r="C3" s="210"/>
      <c r="D3" s="210"/>
      <c r="E3" s="210"/>
      <c r="F3" s="210"/>
      <c r="G3" s="210"/>
      <c r="H3" s="210"/>
      <c r="I3" s="11"/>
      <c r="J3" s="11"/>
    </row>
    <row r="4" spans="1:10" ht="13.9" customHeight="1">
      <c r="A4" s="210" t="s">
        <v>9</v>
      </c>
      <c r="B4" s="210"/>
      <c r="C4" s="210"/>
      <c r="D4" s="210"/>
      <c r="E4" s="210"/>
      <c r="F4" s="210"/>
      <c r="G4" s="210"/>
      <c r="H4" s="210"/>
      <c r="I4" s="11"/>
      <c r="J4" s="11"/>
    </row>
    <row r="5" spans="1:10">
      <c r="A5" s="211"/>
      <c r="B5" s="212"/>
      <c r="C5" s="212"/>
      <c r="D5" s="212"/>
      <c r="E5" s="212"/>
      <c r="F5" s="212"/>
      <c r="G5" s="212"/>
      <c r="H5" s="213"/>
    </row>
    <row r="6" spans="1:10" ht="15.75">
      <c r="A6" s="87" t="s">
        <v>34</v>
      </c>
      <c r="B6" s="204" t="s">
        <v>222</v>
      </c>
      <c r="C6" s="204"/>
      <c r="D6" s="204"/>
      <c r="E6" s="204"/>
      <c r="F6" s="204"/>
      <c r="G6" s="204"/>
      <c r="H6" s="204"/>
    </row>
    <row r="7" spans="1:10" ht="15.75">
      <c r="A7" s="87" t="s">
        <v>48</v>
      </c>
      <c r="B7" s="205" t="s">
        <v>84</v>
      </c>
      <c r="C7" s="206"/>
      <c r="D7" s="206"/>
      <c r="E7" s="206"/>
      <c r="F7" s="206"/>
      <c r="G7" s="206"/>
      <c r="H7" s="207"/>
    </row>
    <row r="8" spans="1:10" ht="15.75">
      <c r="A8" s="87" t="s">
        <v>35</v>
      </c>
      <c r="B8" s="204" t="s">
        <v>223</v>
      </c>
      <c r="C8" s="204"/>
      <c r="D8" s="204"/>
      <c r="E8" s="204"/>
      <c r="F8" s="204"/>
      <c r="G8" s="204"/>
      <c r="H8" s="204"/>
    </row>
    <row r="9" spans="1:10" ht="15.75">
      <c r="A9" s="87" t="s">
        <v>37</v>
      </c>
      <c r="B9" s="204" t="s">
        <v>38</v>
      </c>
      <c r="C9" s="204"/>
      <c r="D9" s="204"/>
      <c r="E9" s="204"/>
      <c r="F9" s="204"/>
      <c r="G9" s="204"/>
      <c r="H9" s="204"/>
    </row>
    <row r="10" spans="1:10" ht="15.75">
      <c r="A10" s="87" t="s">
        <v>36</v>
      </c>
      <c r="B10" s="204" t="s">
        <v>107</v>
      </c>
      <c r="C10" s="204"/>
      <c r="D10" s="204"/>
      <c r="E10" s="204"/>
      <c r="F10" s="204"/>
      <c r="G10" s="204"/>
      <c r="H10" s="204"/>
    </row>
    <row r="11" spans="1:10" ht="15.75">
      <c r="A11" s="87" t="s">
        <v>39</v>
      </c>
      <c r="B11" s="204"/>
      <c r="C11" s="204"/>
      <c r="D11" s="204"/>
      <c r="E11" s="204"/>
      <c r="F11" s="204"/>
      <c r="G11" s="204"/>
      <c r="H11" s="204"/>
    </row>
    <row r="13" spans="1:10">
      <c r="B13" s="88" t="s">
        <v>76</v>
      </c>
      <c r="C13" s="88" t="s">
        <v>77</v>
      </c>
    </row>
    <row r="14" spans="1:10" ht="15.75">
      <c r="A14" s="87" t="s">
        <v>40</v>
      </c>
      <c r="B14" s="90">
        <v>0.6</v>
      </c>
      <c r="C14" s="89">
        <v>75</v>
      </c>
    </row>
    <row r="15" spans="1:10" ht="15.75">
      <c r="A15" s="87" t="s">
        <v>41</v>
      </c>
      <c r="B15" s="90">
        <v>0.4</v>
      </c>
      <c r="C15" s="89">
        <v>50</v>
      </c>
    </row>
    <row r="16" spans="1:10" ht="14.25">
      <c r="E16" s="214" t="str">
        <f>Faculty</f>
        <v>Anuja Mali</v>
      </c>
      <c r="F16" s="214"/>
      <c r="G16" s="214"/>
    </row>
    <row r="17" spans="1:15" ht="15.75">
      <c r="A17" s="87" t="s">
        <v>42</v>
      </c>
      <c r="B17" s="90">
        <v>0.8</v>
      </c>
      <c r="E17" s="214" t="s">
        <v>78</v>
      </c>
      <c r="F17" s="214"/>
      <c r="G17" s="214"/>
    </row>
    <row r="18" spans="1:15" ht="15.75">
      <c r="A18" s="87" t="s">
        <v>43</v>
      </c>
      <c r="B18" s="90">
        <v>0.2</v>
      </c>
    </row>
    <row r="23" spans="1:15" ht="18.75">
      <c r="O23" s="81"/>
    </row>
    <row r="24" spans="1:15" ht="18.75">
      <c r="A24" s="215" t="s">
        <v>85</v>
      </c>
      <c r="B24" s="215"/>
      <c r="C24" s="215"/>
      <c r="D24" s="83"/>
      <c r="E24" s="216" t="s">
        <v>79</v>
      </c>
      <c r="F24" s="216"/>
      <c r="H24" s="216" t="s">
        <v>80</v>
      </c>
      <c r="I24" s="216"/>
      <c r="J24" s="216"/>
      <c r="K24" s="101"/>
      <c r="L24" s="83"/>
      <c r="M24" s="83"/>
      <c r="O24" s="81"/>
    </row>
    <row r="25" spans="1:15" ht="15.75">
      <c r="A25" s="215" t="s">
        <v>8</v>
      </c>
      <c r="B25" s="215"/>
      <c r="C25" s="215"/>
      <c r="D25" s="83"/>
      <c r="E25" s="216" t="s">
        <v>86</v>
      </c>
      <c r="F25" s="216"/>
      <c r="H25" s="216" t="s">
        <v>71</v>
      </c>
      <c r="I25" s="216"/>
      <c r="J25" s="216"/>
    </row>
    <row r="27" spans="1:15" ht="15.75">
      <c r="A27" s="83"/>
      <c r="B27" s="83"/>
      <c r="G27" s="2"/>
      <c r="H27" s="2"/>
      <c r="K27" s="83"/>
      <c r="M27" s="83"/>
      <c r="O27" s="7"/>
    </row>
    <row r="28" spans="1:15" ht="15.75">
      <c r="I28" s="2"/>
      <c r="J28" s="2"/>
      <c r="N28" s="3"/>
      <c r="O28" s="7"/>
    </row>
    <row r="29" spans="1:15" ht="15.75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7"/>
    </row>
  </sheetData>
  <mergeCells count="19">
    <mergeCell ref="E17:G17"/>
    <mergeCell ref="A24:C24"/>
    <mergeCell ref="E24:F24"/>
    <mergeCell ref="A25:C25"/>
    <mergeCell ref="B11:H11"/>
    <mergeCell ref="E25:F25"/>
    <mergeCell ref="H25:J25"/>
    <mergeCell ref="H24:J24"/>
    <mergeCell ref="E16:G16"/>
    <mergeCell ref="A1:H1"/>
    <mergeCell ref="A2:H2"/>
    <mergeCell ref="A3:H3"/>
    <mergeCell ref="A4:H4"/>
    <mergeCell ref="A5:H5"/>
    <mergeCell ref="B6:H6"/>
    <mergeCell ref="B8:H8"/>
    <mergeCell ref="B9:H9"/>
    <mergeCell ref="B10:H10"/>
    <mergeCell ref="B7:H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Normal="100" workbookViewId="0">
      <selection activeCell="C11" sqref="C11:N15"/>
    </sheetView>
  </sheetViews>
  <sheetFormatPr defaultColWidth="8.85546875" defaultRowHeight="15"/>
  <cols>
    <col min="1" max="1" width="17.7109375" style="38" customWidth="1"/>
    <col min="2" max="2" width="13.42578125" style="37" customWidth="1"/>
    <col min="3" max="3" width="11.5703125" style="37" customWidth="1"/>
    <col min="4" max="4" width="10.42578125" style="37" customWidth="1"/>
    <col min="5" max="5" width="11.42578125" style="37" customWidth="1"/>
    <col min="6" max="16384" width="8.85546875" style="37"/>
  </cols>
  <sheetData>
    <row r="1" spans="1:14" customFormat="1" ht="24.6" customHeight="1">
      <c r="A1" s="226" t="s">
        <v>73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</row>
    <row r="2" spans="1:14" customFormat="1" ht="21" customHeight="1">
      <c r="A2" s="228" t="s">
        <v>74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</row>
    <row r="3" spans="1:14" customFormat="1" ht="13.9" customHeight="1">
      <c r="A3" s="230" t="s">
        <v>75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</row>
    <row r="4" spans="1:14" customFormat="1" ht="13.9" customHeight="1">
      <c r="A4" s="230" t="s">
        <v>9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</row>
    <row r="5" spans="1:14" ht="17.45" customHeight="1">
      <c r="A5" s="232" t="str">
        <f>CONCATENATE("Faculty Name: ", Faculty)</f>
        <v>Faculty Name: Anuja Mali</v>
      </c>
      <c r="B5" s="233"/>
      <c r="C5" s="233"/>
      <c r="D5" s="234"/>
      <c r="E5" s="235"/>
      <c r="F5" s="236"/>
      <c r="G5" s="236"/>
      <c r="H5" s="236"/>
      <c r="I5" s="236"/>
      <c r="J5" s="236"/>
      <c r="K5" s="236"/>
      <c r="L5" s="236"/>
      <c r="M5" s="236"/>
      <c r="N5" s="237"/>
    </row>
    <row r="6" spans="1:14" ht="15.75">
      <c r="A6" s="232" t="str">
        <f>CONCATENATE("Subject Name &amp; Code: ", Sub_Code)</f>
        <v>Subject Name &amp; Code: Lab IT11L</v>
      </c>
      <c r="B6" s="233"/>
      <c r="C6" s="233"/>
      <c r="D6" s="234"/>
      <c r="E6" s="235"/>
      <c r="F6" s="236"/>
      <c r="G6" s="236"/>
      <c r="H6" s="236"/>
      <c r="I6" s="236"/>
      <c r="J6" s="236"/>
      <c r="K6" s="236"/>
      <c r="L6" s="236"/>
      <c r="M6" s="236"/>
      <c r="N6" s="237"/>
    </row>
    <row r="7" spans="1:14" ht="15.75">
      <c r="A7" s="232" t="str">
        <f>CONCATENATE("Class: ",Class_AY)</f>
        <v>Class: MCA I SEM I AY 2023-24</v>
      </c>
      <c r="B7" s="233"/>
      <c r="C7" s="233"/>
      <c r="D7" s="234"/>
      <c r="E7" s="235"/>
      <c r="F7" s="236"/>
      <c r="G7" s="236"/>
      <c r="H7" s="236"/>
      <c r="I7" s="236"/>
      <c r="J7" s="236"/>
      <c r="K7" s="236"/>
      <c r="L7" s="236"/>
      <c r="M7" s="236"/>
      <c r="N7" s="237"/>
    </row>
    <row r="8" spans="1:14">
      <c r="A8" s="8"/>
      <c r="B8" s="8"/>
      <c r="C8" s="8"/>
      <c r="D8" s="8"/>
      <c r="E8" s="8"/>
    </row>
    <row r="9" spans="1:14" ht="35.450000000000003" customHeight="1">
      <c r="A9" s="220" t="s">
        <v>59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</row>
    <row r="10" spans="1:14" ht="40.9" customHeight="1">
      <c r="A10" s="221" t="s">
        <v>60</v>
      </c>
      <c r="B10" s="221"/>
      <c r="C10" s="222" t="s">
        <v>66</v>
      </c>
      <c r="D10" s="223"/>
      <c r="E10" s="223"/>
      <c r="F10" s="221" t="s">
        <v>67</v>
      </c>
      <c r="G10" s="221"/>
      <c r="H10" s="221"/>
      <c r="I10" s="221" t="s">
        <v>68</v>
      </c>
      <c r="J10" s="221"/>
      <c r="K10" s="221"/>
      <c r="L10" s="225" t="s">
        <v>69</v>
      </c>
      <c r="M10" s="225"/>
      <c r="N10" s="225"/>
    </row>
    <row r="11" spans="1:14" ht="40.15" customHeight="1">
      <c r="A11" s="217" t="s">
        <v>61</v>
      </c>
      <c r="B11" s="217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</row>
    <row r="12" spans="1:14" ht="40.15" customHeight="1">
      <c r="A12" s="217" t="s">
        <v>62</v>
      </c>
      <c r="B12" s="217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</row>
    <row r="13" spans="1:14" ht="40.15" customHeight="1">
      <c r="A13" s="224" t="s">
        <v>63</v>
      </c>
      <c r="B13" s="224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</row>
    <row r="14" spans="1:14" ht="40.15" customHeight="1">
      <c r="A14" s="217" t="s">
        <v>64</v>
      </c>
      <c r="B14" s="217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</row>
    <row r="15" spans="1:14" ht="40.15" customHeight="1">
      <c r="A15" s="217" t="s">
        <v>65</v>
      </c>
      <c r="B15" s="217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</row>
    <row r="18" spans="1:15">
      <c r="A18" s="214" t="str">
        <f>Faculty</f>
        <v>Anuja Mali</v>
      </c>
      <c r="B18" s="214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214" t="s">
        <v>78</v>
      </c>
      <c r="B19" s="214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8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s="81"/>
    </row>
    <row r="22" spans="1:15" ht="18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s="81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15.75">
      <c r="A24" s="215" t="str">
        <f>SubjectDetails!$A$24</f>
        <v>Dr. Ravi Chourasiya</v>
      </c>
      <c r="B24" s="215"/>
      <c r="C24" s="215"/>
      <c r="D24"/>
      <c r="E24" s="218" t="str">
        <f>SubjectDetails!$E$24</f>
        <v>Dr. Ashwini Chavan</v>
      </c>
      <c r="F24" s="218"/>
      <c r="G24"/>
      <c r="H24"/>
      <c r="I24" s="216" t="str">
        <f>SubjectDetails!$H$24</f>
        <v>Dr. Priyanka Singh</v>
      </c>
      <c r="J24" s="216"/>
      <c r="K24" s="83"/>
      <c r="L24"/>
      <c r="M24" s="83"/>
      <c r="N24" s="50"/>
      <c r="O24"/>
    </row>
    <row r="25" spans="1:15" ht="15.75">
      <c r="A25" s="215" t="str">
        <f>SubjectDetails!$A$25</f>
        <v>(College Examination Officer)</v>
      </c>
      <c r="B25" s="215"/>
      <c r="C25" s="215"/>
      <c r="D25"/>
      <c r="E25" s="218" t="str">
        <f>SubjectDetails!$E$25</f>
        <v>HOD (MCA)</v>
      </c>
      <c r="F25" s="218"/>
      <c r="G25"/>
      <c r="H25"/>
      <c r="I25" s="216" t="str">
        <f>SubjectDetails!$H$25</f>
        <v>Director</v>
      </c>
      <c r="J25" s="216"/>
      <c r="K25" s="83"/>
      <c r="L25"/>
      <c r="M25" s="83"/>
      <c r="N25" s="50"/>
      <c r="O25" s="7"/>
    </row>
    <row r="26" spans="1:15" ht="15.75">
      <c r="A26"/>
      <c r="B26"/>
      <c r="C26"/>
      <c r="D26"/>
      <c r="E26"/>
      <c r="F26"/>
      <c r="G26"/>
      <c r="H26"/>
      <c r="I26" s="2"/>
      <c r="J26" s="2"/>
      <c r="K26"/>
      <c r="L26"/>
      <c r="M26"/>
      <c r="N26" s="3"/>
      <c r="O26" s="7"/>
    </row>
    <row r="27" spans="1:15" ht="15.75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7"/>
    </row>
  </sheetData>
  <mergeCells count="49">
    <mergeCell ref="A6:D6"/>
    <mergeCell ref="A7:D7"/>
    <mergeCell ref="E5:N5"/>
    <mergeCell ref="E6:N6"/>
    <mergeCell ref="E7:N7"/>
    <mergeCell ref="A1:N1"/>
    <mergeCell ref="A2:N2"/>
    <mergeCell ref="A3:N3"/>
    <mergeCell ref="A4:N4"/>
    <mergeCell ref="A5:D5"/>
    <mergeCell ref="F13:H13"/>
    <mergeCell ref="F14:H14"/>
    <mergeCell ref="F15:H15"/>
    <mergeCell ref="L15:N15"/>
    <mergeCell ref="I10:K10"/>
    <mergeCell ref="I11:K11"/>
    <mergeCell ref="I12:K12"/>
    <mergeCell ref="I13:K13"/>
    <mergeCell ref="I14:K14"/>
    <mergeCell ref="I15:K15"/>
    <mergeCell ref="L10:N10"/>
    <mergeCell ref="L11:N11"/>
    <mergeCell ref="L12:N12"/>
    <mergeCell ref="L13:N13"/>
    <mergeCell ref="L14:N14"/>
    <mergeCell ref="A13:B13"/>
    <mergeCell ref="A14:B14"/>
    <mergeCell ref="C13:E13"/>
    <mergeCell ref="C14:E14"/>
    <mergeCell ref="C15:E15"/>
    <mergeCell ref="C11:E11"/>
    <mergeCell ref="C12:E12"/>
    <mergeCell ref="A9:N9"/>
    <mergeCell ref="A10:B10"/>
    <mergeCell ref="A11:B11"/>
    <mergeCell ref="A12:B12"/>
    <mergeCell ref="C10:E10"/>
    <mergeCell ref="F10:H10"/>
    <mergeCell ref="F11:H11"/>
    <mergeCell ref="F12:H12"/>
    <mergeCell ref="I24:J24"/>
    <mergeCell ref="I25:J25"/>
    <mergeCell ref="A15:B15"/>
    <mergeCell ref="A18:B18"/>
    <mergeCell ref="A19:B19"/>
    <mergeCell ref="A24:C24"/>
    <mergeCell ref="E24:F24"/>
    <mergeCell ref="A25:C25"/>
    <mergeCell ref="E25:F2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10" zoomScale="85" zoomScaleNormal="85" workbookViewId="0">
      <selection activeCell="B12" sqref="B12:I15"/>
    </sheetView>
  </sheetViews>
  <sheetFormatPr defaultColWidth="8.85546875" defaultRowHeight="15"/>
  <cols>
    <col min="1" max="1" width="8.85546875" style="38"/>
    <col min="2" max="16384" width="8.85546875" style="37"/>
  </cols>
  <sheetData>
    <row r="1" spans="1:27" customFormat="1" ht="24.6" customHeight="1">
      <c r="A1" s="208" t="s">
        <v>73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</row>
    <row r="2" spans="1:27" customFormat="1" ht="21" customHeight="1">
      <c r="A2" s="209" t="s">
        <v>74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</row>
    <row r="3" spans="1:27" customFormat="1" ht="13.9" customHeight="1">
      <c r="A3" s="210" t="s">
        <v>75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</row>
    <row r="4" spans="1:27" customFormat="1" ht="13.9" customHeight="1">
      <c r="A4" s="210" t="s">
        <v>9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</row>
    <row r="5" spans="1:27" customFormat="1" ht="13.9" customHeight="1">
      <c r="A5" s="241"/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3"/>
    </row>
    <row r="6" spans="1:27" ht="18.75">
      <c r="A6" s="32" t="str">
        <f>CONCATENATE("Faculty Name: ", Faculty)</f>
        <v>Faculty Name: Anuja Mali</v>
      </c>
      <c r="B6" s="12"/>
      <c r="C6" s="12"/>
      <c r="D6" s="12"/>
      <c r="E6" s="12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27" ht="18.75">
      <c r="A7" s="32" t="str">
        <f>CONCATENATE("Subject Name &amp; Code: ", Sub_Code)</f>
        <v>Subject Name &amp; Code: Lab IT11L</v>
      </c>
      <c r="B7" s="12"/>
      <c r="C7" s="12"/>
      <c r="D7" s="12"/>
      <c r="E7" s="12"/>
      <c r="F7" s="12"/>
      <c r="G7" s="12"/>
      <c r="H7" s="36"/>
      <c r="I7" s="36"/>
      <c r="J7" s="36"/>
      <c r="K7" s="36"/>
      <c r="L7" s="36"/>
      <c r="M7" s="36"/>
      <c r="N7" s="36"/>
      <c r="O7" s="36"/>
      <c r="P7" s="36"/>
    </row>
    <row r="8" spans="1:27" ht="15.75">
      <c r="A8" s="32" t="str">
        <f>CONCATENATE("Class: ",Class_AY)</f>
        <v>Class: MCA I SEM I AY 2023-24</v>
      </c>
      <c r="B8" s="12"/>
      <c r="C8" s="12"/>
      <c r="D8" s="12"/>
      <c r="E8" s="12"/>
    </row>
    <row r="9" spans="1:27" ht="20.25">
      <c r="A9" s="8"/>
      <c r="B9" s="8"/>
      <c r="C9" s="8"/>
      <c r="D9" s="8"/>
      <c r="E9" s="8"/>
      <c r="K9" s="250" t="s">
        <v>82</v>
      </c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</row>
    <row r="10" spans="1:27" ht="55.15" customHeight="1">
      <c r="A10" s="244" t="s">
        <v>81</v>
      </c>
      <c r="B10" s="244"/>
      <c r="C10" s="244"/>
      <c r="D10" s="244"/>
      <c r="E10" s="244"/>
      <c r="F10" s="244"/>
      <c r="G10" s="244"/>
      <c r="H10" s="244"/>
      <c r="I10" s="244"/>
      <c r="J10" s="114"/>
      <c r="K10" s="251" t="s">
        <v>87</v>
      </c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</row>
    <row r="11" spans="1:27" ht="32.450000000000003" customHeight="1">
      <c r="A11" s="62"/>
      <c r="B11" s="61" t="s">
        <v>14</v>
      </c>
      <c r="C11" s="61" t="s">
        <v>15</v>
      </c>
      <c r="D11" s="61" t="s">
        <v>16</v>
      </c>
      <c r="E11" s="61" t="s">
        <v>17</v>
      </c>
      <c r="F11" s="61" t="s">
        <v>18</v>
      </c>
      <c r="G11" s="61" t="s">
        <v>19</v>
      </c>
      <c r="H11" s="61" t="s">
        <v>20</v>
      </c>
      <c r="I11" s="61" t="s">
        <v>21</v>
      </c>
      <c r="J11" s="111"/>
      <c r="K11" s="251" t="s">
        <v>88</v>
      </c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AA11" s="26"/>
    </row>
    <row r="12" spans="1:27" ht="19.899999999999999" customHeight="1">
      <c r="A12" s="61" t="s">
        <v>2</v>
      </c>
      <c r="B12" s="185">
        <v>3</v>
      </c>
      <c r="C12" s="185" t="s">
        <v>23</v>
      </c>
      <c r="D12" s="185" t="s">
        <v>23</v>
      </c>
      <c r="E12" s="185">
        <v>2</v>
      </c>
      <c r="F12" s="185">
        <v>1</v>
      </c>
      <c r="G12" s="185" t="s">
        <v>23</v>
      </c>
      <c r="H12" s="185" t="s">
        <v>23</v>
      </c>
      <c r="I12" s="185">
        <v>1</v>
      </c>
      <c r="J12" s="112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AA12" s="58"/>
    </row>
    <row r="13" spans="1:27" ht="27" customHeight="1">
      <c r="A13" s="61" t="s">
        <v>3</v>
      </c>
      <c r="B13" s="185">
        <v>2</v>
      </c>
      <c r="C13" s="185" t="s">
        <v>23</v>
      </c>
      <c r="D13" s="185">
        <v>3</v>
      </c>
      <c r="E13" s="185">
        <v>3</v>
      </c>
      <c r="F13" s="185">
        <v>1</v>
      </c>
      <c r="G13" s="185">
        <v>1</v>
      </c>
      <c r="H13" s="185" t="s">
        <v>23</v>
      </c>
      <c r="I13" s="185">
        <v>2</v>
      </c>
      <c r="J13" s="112"/>
      <c r="K13" s="251" t="s">
        <v>89</v>
      </c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AA13" s="58"/>
    </row>
    <row r="14" spans="1:27" ht="24.6" customHeight="1">
      <c r="A14" s="61" t="s">
        <v>4</v>
      </c>
      <c r="B14" s="185">
        <v>2</v>
      </c>
      <c r="C14" s="185" t="s">
        <v>23</v>
      </c>
      <c r="D14" s="185">
        <v>3</v>
      </c>
      <c r="E14" s="185">
        <v>3</v>
      </c>
      <c r="F14" s="185">
        <v>1</v>
      </c>
      <c r="G14" s="185">
        <v>1</v>
      </c>
      <c r="H14" s="185" t="s">
        <v>23</v>
      </c>
      <c r="I14" s="185">
        <v>2</v>
      </c>
      <c r="J14" s="112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AA14" s="58"/>
    </row>
    <row r="15" spans="1:27" ht="19.899999999999999" customHeight="1" thickBot="1">
      <c r="A15" s="61" t="s">
        <v>10</v>
      </c>
      <c r="B15" s="185">
        <v>3</v>
      </c>
      <c r="C15" s="185">
        <v>2</v>
      </c>
      <c r="D15" s="185">
        <v>2</v>
      </c>
      <c r="E15" s="185">
        <v>3</v>
      </c>
      <c r="F15" s="185">
        <v>1</v>
      </c>
      <c r="G15" s="185" t="s">
        <v>23</v>
      </c>
      <c r="H15" s="185" t="s">
        <v>23</v>
      </c>
      <c r="I15" s="185">
        <v>2</v>
      </c>
      <c r="J15" s="112"/>
      <c r="K15" s="252" t="s">
        <v>90</v>
      </c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AA15" s="58"/>
    </row>
    <row r="16" spans="1:27" ht="29.45" customHeight="1" thickBot="1">
      <c r="A16" s="61" t="s">
        <v>12</v>
      </c>
      <c r="B16" s="177"/>
      <c r="C16" s="177"/>
      <c r="D16" s="177"/>
      <c r="E16" s="177"/>
      <c r="F16" s="177"/>
      <c r="G16" s="177"/>
      <c r="H16" s="177"/>
      <c r="I16" s="177"/>
      <c r="J16" s="11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AA16" s="58"/>
    </row>
    <row r="17" spans="1:27" ht="19.899999999999999" customHeight="1">
      <c r="A17" s="61"/>
      <c r="B17" s="95"/>
      <c r="C17" s="95"/>
      <c r="D17" s="95"/>
      <c r="E17" s="95"/>
      <c r="F17" s="95"/>
      <c r="G17" s="95"/>
      <c r="H17" s="95"/>
      <c r="I17" s="95"/>
      <c r="J17" s="112"/>
      <c r="K17" s="249" t="s">
        <v>91</v>
      </c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AA17" s="58"/>
    </row>
    <row r="18" spans="1:27" ht="19.899999999999999" customHeight="1">
      <c r="A18" s="93" t="s">
        <v>22</v>
      </c>
      <c r="B18" s="94">
        <f>AVERAGE(B12:B17)</f>
        <v>2.5</v>
      </c>
      <c r="C18" s="94">
        <f t="shared" ref="C18:I18" si="0">AVERAGE(C12:C17)</f>
        <v>2</v>
      </c>
      <c r="D18" s="94">
        <f t="shared" si="0"/>
        <v>2.6666666666666665</v>
      </c>
      <c r="E18" s="94">
        <f t="shared" si="0"/>
        <v>2.75</v>
      </c>
      <c r="F18" s="94">
        <f t="shared" si="0"/>
        <v>1</v>
      </c>
      <c r="G18" s="94">
        <f t="shared" si="0"/>
        <v>1</v>
      </c>
      <c r="H18" s="94" t="e">
        <f t="shared" si="0"/>
        <v>#DIV/0!</v>
      </c>
      <c r="I18" s="113">
        <f t="shared" si="0"/>
        <v>1.75</v>
      </c>
      <c r="J18" s="110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</row>
    <row r="19" spans="1:27" ht="37.9" customHeight="1">
      <c r="A19" s="245" t="s">
        <v>216</v>
      </c>
      <c r="B19" s="245"/>
      <c r="C19" s="245"/>
      <c r="D19" s="245"/>
      <c r="E19" s="245"/>
      <c r="F19" s="245"/>
      <c r="G19" s="245"/>
      <c r="H19" s="245"/>
      <c r="I19" s="245"/>
      <c r="J19" s="115"/>
      <c r="K19" s="253" t="s">
        <v>92</v>
      </c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</row>
    <row r="20" spans="1:27" ht="28.9" customHeight="1">
      <c r="A20" s="245"/>
      <c r="B20" s="245"/>
      <c r="C20" s="245"/>
      <c r="D20" s="245"/>
      <c r="E20" s="245"/>
      <c r="F20" s="245"/>
      <c r="G20" s="245"/>
      <c r="H20" s="245"/>
      <c r="I20" s="245"/>
      <c r="J20" s="115"/>
      <c r="K20" s="254" t="s">
        <v>93</v>
      </c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</row>
    <row r="21" spans="1:27" ht="13.9" customHeight="1">
      <c r="A21" s="245"/>
      <c r="B21" s="245"/>
      <c r="C21" s="245"/>
      <c r="D21" s="245"/>
      <c r="E21" s="245"/>
      <c r="F21" s="245"/>
      <c r="G21" s="245"/>
      <c r="H21" s="245"/>
      <c r="I21" s="245"/>
      <c r="J21" s="115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</row>
    <row r="22" spans="1:27" ht="30.6" customHeight="1">
      <c r="A22"/>
      <c r="B22"/>
      <c r="C22"/>
      <c r="D22"/>
      <c r="E22"/>
      <c r="F22"/>
      <c r="G22"/>
      <c r="H22"/>
      <c r="I22"/>
      <c r="J22"/>
      <c r="K22" s="254" t="s">
        <v>94</v>
      </c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</row>
    <row r="23" spans="1:27" ht="16.149999999999999" customHeight="1">
      <c r="A23"/>
      <c r="B23"/>
      <c r="C23"/>
      <c r="D23"/>
      <c r="E23"/>
      <c r="F23"/>
      <c r="G23"/>
      <c r="H23"/>
      <c r="I23"/>
      <c r="J23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</row>
    <row r="24" spans="1:27" ht="17.45" customHeight="1">
      <c r="A24" s="255" t="str">
        <f>SubjectDetails!$E$16</f>
        <v>Anuja Mali</v>
      </c>
      <c r="B24" s="255"/>
      <c r="C24" s="255"/>
      <c r="K24" s="257" t="s">
        <v>83</v>
      </c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</row>
    <row r="25" spans="1:27" ht="32.450000000000003" customHeight="1">
      <c r="A25" s="256" t="str">
        <f>SubjectDetails!$E$17</f>
        <v>Subject Faculty</v>
      </c>
      <c r="B25" s="256"/>
      <c r="C25" s="256"/>
      <c r="K25" s="238" t="s">
        <v>224</v>
      </c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</row>
    <row r="26" spans="1:27" ht="34.9" customHeight="1">
      <c r="K26" s="238" t="s">
        <v>225</v>
      </c>
      <c r="L26" s="239" t="s">
        <v>225</v>
      </c>
      <c r="M26" s="239" t="s">
        <v>225</v>
      </c>
      <c r="N26" s="239" t="s">
        <v>225</v>
      </c>
      <c r="O26" s="239" t="s">
        <v>225</v>
      </c>
      <c r="P26" s="239" t="s">
        <v>225</v>
      </c>
      <c r="Q26" s="239" t="s">
        <v>225</v>
      </c>
      <c r="R26" s="239" t="s">
        <v>225</v>
      </c>
      <c r="S26" s="239" t="s">
        <v>225</v>
      </c>
      <c r="T26" s="239" t="s">
        <v>225</v>
      </c>
      <c r="U26" s="239" t="s">
        <v>225</v>
      </c>
      <c r="V26" s="239" t="s">
        <v>225</v>
      </c>
      <c r="W26" s="239" t="s">
        <v>225</v>
      </c>
    </row>
    <row r="27" spans="1:27" ht="36" customHeight="1">
      <c r="K27" s="238" t="s">
        <v>226</v>
      </c>
      <c r="L27" s="239" t="s">
        <v>226</v>
      </c>
      <c r="M27" s="239" t="s">
        <v>226</v>
      </c>
      <c r="N27" s="239" t="s">
        <v>226</v>
      </c>
      <c r="O27" s="239" t="s">
        <v>226</v>
      </c>
      <c r="P27" s="239" t="s">
        <v>226</v>
      </c>
      <c r="Q27" s="239" t="s">
        <v>226</v>
      </c>
      <c r="R27" s="239" t="s">
        <v>226</v>
      </c>
      <c r="S27" s="239" t="s">
        <v>226</v>
      </c>
      <c r="T27" s="239" t="s">
        <v>226</v>
      </c>
      <c r="U27" s="239" t="s">
        <v>226</v>
      </c>
      <c r="V27" s="239" t="s">
        <v>226</v>
      </c>
      <c r="W27" s="239" t="s">
        <v>226</v>
      </c>
    </row>
    <row r="28" spans="1:27" ht="36.6" customHeight="1">
      <c r="A28" s="215" t="str">
        <f>SubjectDetails!$A$24</f>
        <v>Dr. Ravi Chourasiya</v>
      </c>
      <c r="B28" s="215"/>
      <c r="C28" s="215"/>
      <c r="D28"/>
      <c r="E28" s="218" t="str">
        <f>SubjectDetails!$E$24</f>
        <v>Dr. Ashwini Chavan</v>
      </c>
      <c r="F28" s="218"/>
      <c r="G28" s="218"/>
      <c r="H28"/>
      <c r="I28" s="216" t="str">
        <f>SubjectDetails!$H$24</f>
        <v>Dr. Priyanka Singh</v>
      </c>
      <c r="J28" s="216"/>
      <c r="K28" s="238" t="s">
        <v>227</v>
      </c>
      <c r="L28" s="239" t="s">
        <v>227</v>
      </c>
      <c r="M28" s="239" t="s">
        <v>227</v>
      </c>
      <c r="N28" s="239" t="s">
        <v>227</v>
      </c>
      <c r="O28" s="239" t="s">
        <v>227</v>
      </c>
      <c r="P28" s="239" t="s">
        <v>227</v>
      </c>
      <c r="Q28" s="239" t="s">
        <v>227</v>
      </c>
      <c r="R28" s="239" t="s">
        <v>227</v>
      </c>
      <c r="S28" s="239" t="s">
        <v>227</v>
      </c>
      <c r="T28" s="239" t="s">
        <v>227</v>
      </c>
      <c r="U28" s="239" t="s">
        <v>227</v>
      </c>
      <c r="V28" s="239" t="s">
        <v>227</v>
      </c>
      <c r="W28" s="239" t="s">
        <v>227</v>
      </c>
    </row>
    <row r="29" spans="1:27" ht="32.450000000000003" customHeight="1">
      <c r="A29" s="247" t="str">
        <f>SubjectDetails!$A$25</f>
        <v>(College Examination Officer)</v>
      </c>
      <c r="B29" s="247"/>
      <c r="C29" s="247"/>
      <c r="D29"/>
      <c r="E29" s="248" t="str">
        <f>SubjectDetails!$E$25</f>
        <v>HOD (MCA)</v>
      </c>
      <c r="F29" s="248"/>
      <c r="G29" s="248"/>
      <c r="H29"/>
      <c r="I29" s="246" t="str">
        <f>SubjectDetails!$H$25</f>
        <v>Director</v>
      </c>
      <c r="J29" s="246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</row>
    <row r="30" spans="1:27" ht="17.45" customHeight="1"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</row>
    <row r="31" spans="1:27" ht="21" customHeight="1"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</row>
    <row r="33" ht="25.15" customHeight="1"/>
    <row r="34" ht="40.9" customHeight="1"/>
    <row r="35" ht="25.15" customHeight="1"/>
    <row r="36" ht="25.15" customHeight="1"/>
    <row r="37" ht="25.15" customHeight="1"/>
  </sheetData>
  <mergeCells count="30">
    <mergeCell ref="K26:W26"/>
    <mergeCell ref="K27:W27"/>
    <mergeCell ref="K19:W19"/>
    <mergeCell ref="K20:W21"/>
    <mergeCell ref="A24:C24"/>
    <mergeCell ref="A25:C25"/>
    <mergeCell ref="K22:W23"/>
    <mergeCell ref="K24:W24"/>
    <mergeCell ref="K25:W25"/>
    <mergeCell ref="K9:W9"/>
    <mergeCell ref="K10:W10"/>
    <mergeCell ref="K11:W12"/>
    <mergeCell ref="K13:W14"/>
    <mergeCell ref="K15:W16"/>
    <mergeCell ref="K28:W28"/>
    <mergeCell ref="K29:W29"/>
    <mergeCell ref="A1:O1"/>
    <mergeCell ref="A2:O2"/>
    <mergeCell ref="A3:O3"/>
    <mergeCell ref="A4:O4"/>
    <mergeCell ref="A5:O5"/>
    <mergeCell ref="A10:I10"/>
    <mergeCell ref="A19:I21"/>
    <mergeCell ref="I28:J28"/>
    <mergeCell ref="I29:J29"/>
    <mergeCell ref="A28:C28"/>
    <mergeCell ref="A29:C29"/>
    <mergeCell ref="E28:G28"/>
    <mergeCell ref="E29:G29"/>
    <mergeCell ref="K17:W18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29"/>
  <sheetViews>
    <sheetView topLeftCell="A110" workbookViewId="0">
      <selection activeCell="D9" sqref="D9:G10"/>
    </sheetView>
  </sheetViews>
  <sheetFormatPr defaultColWidth="12.7109375" defaultRowHeight="15.75" customHeight="1"/>
  <cols>
    <col min="1" max="1" width="9.7109375" style="1" customWidth="1"/>
    <col min="2" max="2" width="18.28515625" style="1" customWidth="1"/>
    <col min="3" max="3" width="44.28515625" style="1" bestFit="1" customWidth="1"/>
    <col min="4" max="7" width="7.28515625" style="2" customWidth="1"/>
    <col min="8" max="8" width="8.28515625" style="2" customWidth="1"/>
    <col min="9" max="9" width="7.7109375" style="2" bestFit="1" customWidth="1"/>
    <col min="10" max="10" width="14.5703125" style="3" customWidth="1"/>
    <col min="11" max="16384" width="12.7109375" style="7"/>
  </cols>
  <sheetData>
    <row r="1" spans="1:14" customFormat="1" ht="24.6" customHeight="1">
      <c r="A1" s="226" t="s">
        <v>73</v>
      </c>
      <c r="B1" s="227"/>
      <c r="C1" s="227"/>
      <c r="D1" s="227"/>
      <c r="E1" s="227"/>
      <c r="F1" s="227"/>
      <c r="G1" s="227"/>
      <c r="H1" s="227"/>
      <c r="I1" s="227"/>
      <c r="J1" s="227"/>
      <c r="K1" s="96"/>
      <c r="L1" s="96"/>
      <c r="M1" s="96"/>
      <c r="N1" s="96"/>
    </row>
    <row r="2" spans="1:14" customFormat="1" ht="21" customHeight="1">
      <c r="A2" s="228" t="s">
        <v>74</v>
      </c>
      <c r="B2" s="229"/>
      <c r="C2" s="229"/>
      <c r="D2" s="229"/>
      <c r="E2" s="229"/>
      <c r="F2" s="229"/>
      <c r="G2" s="229"/>
      <c r="H2" s="229"/>
      <c r="I2" s="229"/>
      <c r="J2" s="229"/>
      <c r="K2" s="97"/>
      <c r="L2" s="97"/>
      <c r="M2" s="97"/>
      <c r="N2" s="97"/>
    </row>
    <row r="3" spans="1:14" customFormat="1" ht="13.9" customHeight="1">
      <c r="A3" s="230" t="s">
        <v>75</v>
      </c>
      <c r="B3" s="231"/>
      <c r="C3" s="231"/>
      <c r="D3" s="231"/>
      <c r="E3" s="231"/>
      <c r="F3" s="231"/>
      <c r="G3" s="231"/>
      <c r="H3" s="231"/>
      <c r="I3" s="231"/>
      <c r="J3" s="231"/>
      <c r="K3" s="98"/>
      <c r="L3" s="98"/>
      <c r="M3" s="98"/>
      <c r="N3" s="98"/>
    </row>
    <row r="4" spans="1:14" customFormat="1" ht="13.9" customHeight="1" thickBot="1">
      <c r="A4" s="261" t="s">
        <v>9</v>
      </c>
      <c r="B4" s="262"/>
      <c r="C4" s="262"/>
      <c r="D4" s="262"/>
      <c r="E4" s="262"/>
      <c r="F4" s="262"/>
      <c r="G4" s="262"/>
      <c r="H4" s="262"/>
      <c r="I4" s="262"/>
      <c r="J4" s="262"/>
      <c r="K4" s="98"/>
      <c r="L4" s="98"/>
      <c r="M4" s="98"/>
      <c r="N4" s="98"/>
    </row>
    <row r="5" spans="1:14" ht="30.4" customHeight="1">
      <c r="A5" s="263" t="s">
        <v>5</v>
      </c>
      <c r="B5" s="264"/>
      <c r="C5" s="264"/>
      <c r="D5" s="264"/>
      <c r="E5" s="264"/>
      <c r="F5" s="264"/>
      <c r="G5" s="264"/>
      <c r="H5" s="264"/>
      <c r="I5" s="264"/>
      <c r="J5" s="265"/>
    </row>
    <row r="6" spans="1:14" ht="21" customHeight="1">
      <c r="A6" s="266" t="str">
        <f>CONCATENATE(Class," ", spl)</f>
        <v xml:space="preserve">MCA I SEM I AY 2023-24 </v>
      </c>
      <c r="B6" s="266"/>
      <c r="C6" s="99" t="str">
        <f>CONCATENATE("Name of Faculty: ", Faculty)</f>
        <v>Name of Faculty: Anuja Mali</v>
      </c>
      <c r="D6" s="269" t="str">
        <f>CONCATENATE("Course Name: ", Sub_Code)</f>
        <v>Course Name: Lab IT11L</v>
      </c>
      <c r="E6" s="270"/>
      <c r="F6" s="270"/>
      <c r="G6" s="270"/>
      <c r="H6" s="270"/>
      <c r="I6" s="270"/>
      <c r="J6" s="271"/>
    </row>
    <row r="7" spans="1:14" ht="21" customHeight="1">
      <c r="A7" s="272" t="s">
        <v>0</v>
      </c>
      <c r="B7" s="272" t="s">
        <v>6</v>
      </c>
      <c r="C7" s="272" t="s">
        <v>1</v>
      </c>
      <c r="D7" s="268" t="s">
        <v>218</v>
      </c>
      <c r="E7" s="268"/>
      <c r="F7" s="268"/>
      <c r="G7" s="268"/>
      <c r="H7" s="268"/>
      <c r="I7" s="268"/>
      <c r="J7" s="267" t="s">
        <v>49</v>
      </c>
    </row>
    <row r="8" spans="1:14" s="39" customFormat="1" ht="19.899999999999999" customHeight="1">
      <c r="A8" s="274"/>
      <c r="B8" s="274"/>
      <c r="C8" s="273"/>
      <c r="D8" s="118" t="s">
        <v>99</v>
      </c>
      <c r="E8" s="118" t="s">
        <v>219</v>
      </c>
      <c r="F8" s="118" t="s">
        <v>220</v>
      </c>
      <c r="G8" s="118" t="s">
        <v>221</v>
      </c>
      <c r="H8" s="118"/>
      <c r="I8" s="118"/>
      <c r="J8" s="267"/>
    </row>
    <row r="9" spans="1:14" s="39" customFormat="1" ht="20.25">
      <c r="A9" s="274"/>
      <c r="B9" s="274"/>
      <c r="C9" s="85" t="s">
        <v>72</v>
      </c>
      <c r="D9" s="119">
        <v>10</v>
      </c>
      <c r="E9" s="119">
        <v>15</v>
      </c>
      <c r="F9" s="119">
        <v>15</v>
      </c>
      <c r="G9" s="119">
        <v>15</v>
      </c>
      <c r="H9" s="119"/>
      <c r="I9" s="119"/>
      <c r="J9" s="259">
        <f>SUM(D9:I9)</f>
        <v>55</v>
      </c>
    </row>
    <row r="10" spans="1:14" s="39" customFormat="1" ht="21" thickBot="1">
      <c r="A10" s="273"/>
      <c r="B10" s="275"/>
      <c r="C10" s="85" t="s">
        <v>100</v>
      </c>
      <c r="D10" s="120" t="s">
        <v>2</v>
      </c>
      <c r="E10" s="120" t="s">
        <v>3</v>
      </c>
      <c r="F10" s="120" t="s">
        <v>4</v>
      </c>
      <c r="G10" s="120" t="s">
        <v>10</v>
      </c>
      <c r="H10" s="120"/>
      <c r="I10" s="120"/>
      <c r="J10" s="260"/>
    </row>
    <row r="11" spans="1:14" s="39" customFormat="1" ht="18" customHeight="1" thickBot="1">
      <c r="A11" s="71">
        <v>1</v>
      </c>
      <c r="B11" s="170">
        <v>2032303305</v>
      </c>
      <c r="C11" s="170" t="s">
        <v>108</v>
      </c>
      <c r="D11" s="170">
        <v>9</v>
      </c>
      <c r="E11" s="170">
        <v>12</v>
      </c>
      <c r="F11" s="170">
        <v>15</v>
      </c>
      <c r="G11" s="171">
        <v>15</v>
      </c>
      <c r="H11" s="150"/>
      <c r="I11" s="150"/>
      <c r="J11" s="57">
        <f t="shared" ref="J11:J55" si="0">IF(F11&lt;&gt;"AB",SUM(D11:I11),"AB")</f>
        <v>51</v>
      </c>
      <c r="N11" s="69"/>
    </row>
    <row r="12" spans="1:14" ht="18" customHeight="1" thickBot="1">
      <c r="A12" s="71">
        <v>2</v>
      </c>
      <c r="B12" s="170">
        <v>2032303451</v>
      </c>
      <c r="C12" s="170" t="s">
        <v>109</v>
      </c>
      <c r="D12" s="170">
        <v>9</v>
      </c>
      <c r="E12" s="170">
        <v>15</v>
      </c>
      <c r="F12" s="170">
        <v>12</v>
      </c>
      <c r="G12" s="171">
        <v>13</v>
      </c>
      <c r="H12" s="150"/>
      <c r="I12" s="150"/>
      <c r="J12" s="57">
        <f t="shared" si="0"/>
        <v>49</v>
      </c>
      <c r="L12" s="39"/>
      <c r="N12" s="69"/>
    </row>
    <row r="13" spans="1:14" ht="18" customHeight="1" thickBot="1">
      <c r="A13" s="71">
        <v>3</v>
      </c>
      <c r="B13" s="170">
        <v>2032303452</v>
      </c>
      <c r="C13" s="170" t="s">
        <v>110</v>
      </c>
      <c r="D13" s="170">
        <v>9</v>
      </c>
      <c r="E13" s="170">
        <v>13</v>
      </c>
      <c r="F13" s="170">
        <v>15</v>
      </c>
      <c r="G13" s="171">
        <v>14</v>
      </c>
      <c r="H13" s="150"/>
      <c r="I13" s="150"/>
      <c r="J13" s="57">
        <f t="shared" si="0"/>
        <v>51</v>
      </c>
      <c r="L13" s="39"/>
      <c r="N13" s="69"/>
    </row>
    <row r="14" spans="1:14" ht="18" customHeight="1" thickBot="1">
      <c r="A14" s="71">
        <v>4</v>
      </c>
      <c r="B14" s="170">
        <v>2032303453</v>
      </c>
      <c r="C14" s="170" t="s">
        <v>111</v>
      </c>
      <c r="D14" s="170">
        <v>10</v>
      </c>
      <c r="E14" s="170">
        <v>14</v>
      </c>
      <c r="F14" s="170">
        <v>12</v>
      </c>
      <c r="G14" s="171">
        <v>13</v>
      </c>
      <c r="H14" s="150"/>
      <c r="I14" s="150"/>
      <c r="J14" s="57">
        <f t="shared" si="0"/>
        <v>49</v>
      </c>
      <c r="L14" s="39"/>
      <c r="N14" s="69"/>
    </row>
    <row r="15" spans="1:14" ht="18" customHeight="1" thickBot="1">
      <c r="A15" s="71">
        <v>5</v>
      </c>
      <c r="B15" s="170">
        <v>2032303454</v>
      </c>
      <c r="C15" s="170" t="s">
        <v>112</v>
      </c>
      <c r="D15" s="170">
        <v>9</v>
      </c>
      <c r="E15" s="170">
        <v>12</v>
      </c>
      <c r="F15" s="170">
        <v>10</v>
      </c>
      <c r="G15" s="171">
        <v>10</v>
      </c>
      <c r="H15" s="150"/>
      <c r="I15" s="150"/>
      <c r="J15" s="57">
        <f t="shared" si="0"/>
        <v>41</v>
      </c>
      <c r="L15" s="39"/>
      <c r="N15" s="69"/>
    </row>
    <row r="16" spans="1:14" ht="18" customHeight="1" thickBot="1">
      <c r="A16" s="71">
        <v>6</v>
      </c>
      <c r="B16" s="170">
        <v>2032303455</v>
      </c>
      <c r="C16" s="170" t="s">
        <v>113</v>
      </c>
      <c r="D16" s="170">
        <v>9</v>
      </c>
      <c r="E16" s="170">
        <v>14</v>
      </c>
      <c r="F16" s="170">
        <v>12</v>
      </c>
      <c r="G16" s="171">
        <v>13</v>
      </c>
      <c r="H16" s="150"/>
      <c r="I16" s="150"/>
      <c r="J16" s="57">
        <f t="shared" si="0"/>
        <v>48</v>
      </c>
      <c r="L16" s="39"/>
      <c r="N16" s="69"/>
    </row>
    <row r="17" spans="1:14" ht="18" customHeight="1" thickBot="1">
      <c r="A17" s="71">
        <v>7</v>
      </c>
      <c r="B17" s="170">
        <v>2032303456</v>
      </c>
      <c r="C17" s="170" t="s">
        <v>114</v>
      </c>
      <c r="D17" s="170">
        <v>9</v>
      </c>
      <c r="E17" s="170">
        <v>13</v>
      </c>
      <c r="F17" s="170">
        <v>14</v>
      </c>
      <c r="G17" s="171">
        <v>15</v>
      </c>
      <c r="H17" s="150"/>
      <c r="I17" s="150"/>
      <c r="J17" s="57">
        <f t="shared" si="0"/>
        <v>51</v>
      </c>
      <c r="L17" s="39"/>
      <c r="N17" s="69"/>
    </row>
    <row r="18" spans="1:14" ht="18" customHeight="1" thickBot="1">
      <c r="A18" s="71">
        <v>8</v>
      </c>
      <c r="B18" s="170">
        <v>2032303457</v>
      </c>
      <c r="C18" s="170" t="s">
        <v>115</v>
      </c>
      <c r="D18" s="170">
        <v>9</v>
      </c>
      <c r="E18" s="170">
        <v>14</v>
      </c>
      <c r="F18" s="170">
        <v>13</v>
      </c>
      <c r="G18" s="171">
        <v>12</v>
      </c>
      <c r="H18" s="150"/>
      <c r="I18" s="150"/>
      <c r="J18" s="57">
        <f t="shared" si="0"/>
        <v>48</v>
      </c>
      <c r="L18" s="39"/>
      <c r="N18" s="69"/>
    </row>
    <row r="19" spans="1:14" ht="18" customHeight="1" thickBot="1">
      <c r="A19" s="71">
        <v>9</v>
      </c>
      <c r="B19" s="170">
        <v>2032303458</v>
      </c>
      <c r="C19" s="170" t="s">
        <v>116</v>
      </c>
      <c r="D19" s="170">
        <v>9</v>
      </c>
      <c r="E19" s="170">
        <v>14</v>
      </c>
      <c r="F19" s="170">
        <v>12</v>
      </c>
      <c r="G19" s="171">
        <v>12</v>
      </c>
      <c r="H19" s="150"/>
      <c r="I19" s="150"/>
      <c r="J19" s="57">
        <f t="shared" si="0"/>
        <v>47</v>
      </c>
      <c r="L19" s="39"/>
      <c r="N19" s="69"/>
    </row>
    <row r="20" spans="1:14" ht="18" customHeight="1" thickBot="1">
      <c r="A20" s="71">
        <v>10</v>
      </c>
      <c r="B20" s="170">
        <v>2032303459</v>
      </c>
      <c r="C20" s="170" t="s">
        <v>117</v>
      </c>
      <c r="D20" s="170">
        <v>10</v>
      </c>
      <c r="E20" s="170">
        <v>13</v>
      </c>
      <c r="F20" s="170">
        <v>12</v>
      </c>
      <c r="G20" s="171">
        <v>13</v>
      </c>
      <c r="H20" s="150"/>
      <c r="I20" s="150"/>
      <c r="J20" s="57">
        <f t="shared" si="0"/>
        <v>48</v>
      </c>
      <c r="L20" s="39"/>
      <c r="N20" s="69"/>
    </row>
    <row r="21" spans="1:14" ht="18" customHeight="1" thickBot="1">
      <c r="A21" s="71">
        <v>11</v>
      </c>
      <c r="B21" s="170">
        <v>2032303460</v>
      </c>
      <c r="C21" s="170" t="s">
        <v>118</v>
      </c>
      <c r="D21" s="170">
        <v>9</v>
      </c>
      <c r="E21" s="170">
        <v>13</v>
      </c>
      <c r="F21" s="170">
        <v>13</v>
      </c>
      <c r="G21" s="171">
        <v>13</v>
      </c>
      <c r="H21" s="150"/>
      <c r="I21" s="150"/>
      <c r="J21" s="57">
        <f t="shared" si="0"/>
        <v>48</v>
      </c>
      <c r="L21" s="39"/>
      <c r="N21" s="69"/>
    </row>
    <row r="22" spans="1:14" ht="18" customHeight="1" thickBot="1">
      <c r="A22" s="71">
        <v>12</v>
      </c>
      <c r="B22" s="170">
        <v>2032303461</v>
      </c>
      <c r="C22" s="170" t="s">
        <v>119</v>
      </c>
      <c r="D22" s="170">
        <v>9</v>
      </c>
      <c r="E22" s="170">
        <v>12</v>
      </c>
      <c r="F22" s="170">
        <v>14</v>
      </c>
      <c r="G22" s="171">
        <v>14</v>
      </c>
      <c r="H22" s="150"/>
      <c r="I22" s="150"/>
      <c r="J22" s="57">
        <f t="shared" si="0"/>
        <v>49</v>
      </c>
      <c r="L22" s="39"/>
      <c r="N22" s="69"/>
    </row>
    <row r="23" spans="1:14" ht="18" customHeight="1" thickBot="1">
      <c r="A23" s="71">
        <v>13</v>
      </c>
      <c r="B23" s="170">
        <v>2032303462</v>
      </c>
      <c r="C23" s="170" t="s">
        <v>120</v>
      </c>
      <c r="D23" s="170">
        <v>9</v>
      </c>
      <c r="E23" s="170">
        <v>13</v>
      </c>
      <c r="F23" s="170">
        <v>13</v>
      </c>
      <c r="G23" s="171">
        <v>13</v>
      </c>
      <c r="H23" s="150"/>
      <c r="I23" s="150"/>
      <c r="J23" s="57">
        <f t="shared" si="0"/>
        <v>48</v>
      </c>
      <c r="L23" s="39"/>
      <c r="N23" s="69"/>
    </row>
    <row r="24" spans="1:14" ht="18" customHeight="1" thickBot="1">
      <c r="A24" s="71">
        <v>14</v>
      </c>
      <c r="B24" s="170">
        <v>2032303463</v>
      </c>
      <c r="C24" s="170" t="s">
        <v>121</v>
      </c>
      <c r="D24" s="170">
        <v>9</v>
      </c>
      <c r="E24" s="170">
        <v>15</v>
      </c>
      <c r="F24" s="170">
        <v>11</v>
      </c>
      <c r="G24" s="171">
        <v>11</v>
      </c>
      <c r="H24" s="150"/>
      <c r="I24" s="150"/>
      <c r="J24" s="57">
        <f t="shared" si="0"/>
        <v>46</v>
      </c>
      <c r="L24" s="39"/>
      <c r="N24" s="69"/>
    </row>
    <row r="25" spans="1:14" ht="18" customHeight="1" thickBot="1">
      <c r="A25" s="71">
        <v>15</v>
      </c>
      <c r="B25" s="170">
        <v>2032303464</v>
      </c>
      <c r="C25" s="170" t="s">
        <v>122</v>
      </c>
      <c r="D25" s="170">
        <v>10</v>
      </c>
      <c r="E25" s="170">
        <v>12</v>
      </c>
      <c r="F25" s="170">
        <v>14</v>
      </c>
      <c r="G25" s="171">
        <v>13</v>
      </c>
      <c r="H25" s="150"/>
      <c r="I25" s="150"/>
      <c r="J25" s="57">
        <f t="shared" si="0"/>
        <v>49</v>
      </c>
      <c r="L25" s="39"/>
      <c r="N25" s="69"/>
    </row>
    <row r="26" spans="1:14" ht="18" customHeight="1" thickBot="1">
      <c r="A26" s="71">
        <v>16</v>
      </c>
      <c r="B26" s="170">
        <v>2032303465</v>
      </c>
      <c r="C26" s="170" t="s">
        <v>123</v>
      </c>
      <c r="D26" s="170">
        <v>9</v>
      </c>
      <c r="E26" s="170">
        <v>15</v>
      </c>
      <c r="F26" s="170">
        <v>11</v>
      </c>
      <c r="G26" s="171">
        <v>11</v>
      </c>
      <c r="H26" s="150"/>
      <c r="I26" s="150"/>
      <c r="J26" s="57">
        <f t="shared" si="0"/>
        <v>46</v>
      </c>
      <c r="L26" s="39"/>
      <c r="N26" s="69"/>
    </row>
    <row r="27" spans="1:14" ht="18" customHeight="1" thickBot="1">
      <c r="A27" s="71">
        <v>17</v>
      </c>
      <c r="B27" s="170">
        <v>2032303466</v>
      </c>
      <c r="C27" s="170" t="s">
        <v>124</v>
      </c>
      <c r="D27" s="170">
        <v>9</v>
      </c>
      <c r="E27" s="170">
        <v>12</v>
      </c>
      <c r="F27" s="170">
        <v>14</v>
      </c>
      <c r="G27" s="171">
        <v>14</v>
      </c>
      <c r="H27" s="150"/>
      <c r="I27" s="150"/>
      <c r="J27" s="57">
        <f t="shared" si="0"/>
        <v>49</v>
      </c>
      <c r="L27" s="39"/>
      <c r="N27" s="69"/>
    </row>
    <row r="28" spans="1:14" ht="18" customHeight="1" thickBot="1">
      <c r="A28" s="71">
        <v>18</v>
      </c>
      <c r="B28" s="170">
        <v>2032303467</v>
      </c>
      <c r="C28" s="170" t="s">
        <v>125</v>
      </c>
      <c r="D28" s="170">
        <v>9</v>
      </c>
      <c r="E28" s="170">
        <v>13</v>
      </c>
      <c r="F28" s="170">
        <v>14</v>
      </c>
      <c r="G28" s="171">
        <v>14</v>
      </c>
      <c r="H28" s="150"/>
      <c r="I28" s="150"/>
      <c r="J28" s="57">
        <f t="shared" si="0"/>
        <v>50</v>
      </c>
      <c r="L28" s="39"/>
      <c r="N28" s="69"/>
    </row>
    <row r="29" spans="1:14" ht="18" customHeight="1" thickBot="1">
      <c r="A29" s="71">
        <v>19</v>
      </c>
      <c r="B29" s="170">
        <v>2032303468</v>
      </c>
      <c r="C29" s="170" t="s">
        <v>126</v>
      </c>
      <c r="D29" s="170">
        <v>10</v>
      </c>
      <c r="E29" s="170">
        <v>12</v>
      </c>
      <c r="F29" s="170">
        <v>12</v>
      </c>
      <c r="G29" s="171">
        <v>12</v>
      </c>
      <c r="H29" s="150"/>
      <c r="I29" s="150"/>
      <c r="J29" s="57">
        <f t="shared" si="0"/>
        <v>46</v>
      </c>
      <c r="L29" s="39"/>
      <c r="N29" s="69"/>
    </row>
    <row r="30" spans="1:14" ht="18" customHeight="1" thickBot="1">
      <c r="A30" s="71">
        <v>20</v>
      </c>
      <c r="B30" s="170">
        <v>2032303469</v>
      </c>
      <c r="C30" s="170" t="s">
        <v>127</v>
      </c>
      <c r="D30" s="170">
        <v>9</v>
      </c>
      <c r="E30" s="170">
        <v>15</v>
      </c>
      <c r="F30" s="170">
        <v>13</v>
      </c>
      <c r="G30" s="171">
        <v>12</v>
      </c>
      <c r="H30" s="150"/>
      <c r="I30" s="150"/>
      <c r="J30" s="57">
        <f t="shared" si="0"/>
        <v>49</v>
      </c>
      <c r="L30" s="39"/>
      <c r="N30" s="69"/>
    </row>
    <row r="31" spans="1:14" ht="18" customHeight="1" thickBot="1">
      <c r="A31" s="71">
        <v>21</v>
      </c>
      <c r="B31" s="170">
        <v>2032303470</v>
      </c>
      <c r="C31" s="170" t="s">
        <v>128</v>
      </c>
      <c r="D31" s="170">
        <v>9</v>
      </c>
      <c r="E31" s="170">
        <v>14</v>
      </c>
      <c r="F31" s="170">
        <v>13</v>
      </c>
      <c r="G31" s="171">
        <v>14</v>
      </c>
      <c r="H31" s="150"/>
      <c r="I31" s="150"/>
      <c r="J31" s="57">
        <f t="shared" si="0"/>
        <v>50</v>
      </c>
      <c r="L31" s="39"/>
      <c r="N31" s="69"/>
    </row>
    <row r="32" spans="1:14" ht="18" customHeight="1" thickBot="1">
      <c r="A32" s="71">
        <v>22</v>
      </c>
      <c r="B32" s="170">
        <v>2032303471</v>
      </c>
      <c r="C32" s="170" t="s">
        <v>129</v>
      </c>
      <c r="D32" s="170">
        <v>9</v>
      </c>
      <c r="E32" s="170">
        <v>15</v>
      </c>
      <c r="F32" s="170">
        <v>13</v>
      </c>
      <c r="G32" s="171">
        <v>13</v>
      </c>
      <c r="H32" s="150"/>
      <c r="I32" s="150"/>
      <c r="J32" s="57">
        <f t="shared" si="0"/>
        <v>50</v>
      </c>
      <c r="L32" s="39"/>
      <c r="N32" s="69"/>
    </row>
    <row r="33" spans="1:14" ht="18" customHeight="1" thickBot="1">
      <c r="A33" s="71">
        <v>23</v>
      </c>
      <c r="B33" s="170">
        <v>2032303472</v>
      </c>
      <c r="C33" s="170" t="s">
        <v>130</v>
      </c>
      <c r="D33" s="170">
        <v>9</v>
      </c>
      <c r="E33" s="170">
        <v>15</v>
      </c>
      <c r="F33" s="170">
        <v>11</v>
      </c>
      <c r="G33" s="171">
        <v>11</v>
      </c>
      <c r="H33" s="150"/>
      <c r="I33" s="150"/>
      <c r="J33" s="57">
        <f t="shared" si="0"/>
        <v>46</v>
      </c>
      <c r="L33" s="39"/>
      <c r="N33" s="69"/>
    </row>
    <row r="34" spans="1:14" ht="18" customHeight="1" thickBot="1">
      <c r="A34" s="71">
        <v>24</v>
      </c>
      <c r="B34" s="170">
        <v>2032303473</v>
      </c>
      <c r="C34" s="170" t="s">
        <v>131</v>
      </c>
      <c r="D34" s="170">
        <v>10</v>
      </c>
      <c r="E34" s="170">
        <v>15</v>
      </c>
      <c r="F34" s="170">
        <v>11</v>
      </c>
      <c r="G34" s="171">
        <v>10</v>
      </c>
      <c r="H34" s="150"/>
      <c r="I34" s="150"/>
      <c r="J34" s="57">
        <f t="shared" si="0"/>
        <v>46</v>
      </c>
      <c r="L34" s="39"/>
      <c r="N34" s="69"/>
    </row>
    <row r="35" spans="1:14" ht="18" customHeight="1" thickBot="1">
      <c r="A35" s="71">
        <v>25</v>
      </c>
      <c r="B35" s="170">
        <v>2032303474</v>
      </c>
      <c r="C35" s="170" t="s">
        <v>132</v>
      </c>
      <c r="D35" s="170">
        <v>10</v>
      </c>
      <c r="E35" s="170">
        <v>15</v>
      </c>
      <c r="F35" s="170">
        <v>13</v>
      </c>
      <c r="G35" s="171">
        <v>13</v>
      </c>
      <c r="H35" s="150"/>
      <c r="I35" s="150"/>
      <c r="J35" s="57">
        <f t="shared" si="0"/>
        <v>51</v>
      </c>
      <c r="L35" s="39"/>
      <c r="N35" s="69"/>
    </row>
    <row r="36" spans="1:14" ht="18" customHeight="1" thickBot="1">
      <c r="A36" s="71">
        <v>26</v>
      </c>
      <c r="B36" s="170">
        <v>2032303475</v>
      </c>
      <c r="C36" s="170" t="s">
        <v>133</v>
      </c>
      <c r="D36" s="170">
        <v>10</v>
      </c>
      <c r="E36" s="170">
        <v>15</v>
      </c>
      <c r="F36" s="170">
        <v>13</v>
      </c>
      <c r="G36" s="171">
        <v>13</v>
      </c>
      <c r="H36" s="150"/>
      <c r="I36" s="150"/>
      <c r="J36" s="57">
        <f t="shared" si="0"/>
        <v>51</v>
      </c>
      <c r="L36" s="39"/>
      <c r="N36" s="69"/>
    </row>
    <row r="37" spans="1:14" ht="18" customHeight="1" thickBot="1">
      <c r="A37" s="71">
        <v>27</v>
      </c>
      <c r="B37" s="170">
        <v>2032303476</v>
      </c>
      <c r="C37" s="170" t="s">
        <v>134</v>
      </c>
      <c r="D37" s="170">
        <v>10</v>
      </c>
      <c r="E37" s="170">
        <v>14</v>
      </c>
      <c r="F37" s="170">
        <v>12</v>
      </c>
      <c r="G37" s="171">
        <v>12</v>
      </c>
      <c r="H37" s="150"/>
      <c r="I37" s="150"/>
      <c r="J37" s="57">
        <f t="shared" si="0"/>
        <v>48</v>
      </c>
      <c r="L37" s="39"/>
      <c r="N37" s="69"/>
    </row>
    <row r="38" spans="1:14" ht="18" customHeight="1" thickBot="1">
      <c r="A38" s="71">
        <v>28</v>
      </c>
      <c r="B38" s="170">
        <v>2032303477</v>
      </c>
      <c r="C38" s="170" t="s">
        <v>135</v>
      </c>
      <c r="D38" s="170">
        <v>9</v>
      </c>
      <c r="E38" s="170">
        <v>13</v>
      </c>
      <c r="F38" s="170">
        <v>11</v>
      </c>
      <c r="G38" s="171">
        <v>11</v>
      </c>
      <c r="H38" s="150"/>
      <c r="I38" s="150"/>
      <c r="J38" s="57">
        <f t="shared" si="0"/>
        <v>44</v>
      </c>
      <c r="L38" s="39"/>
      <c r="N38" s="69"/>
    </row>
    <row r="39" spans="1:14" ht="18" customHeight="1" thickBot="1">
      <c r="A39" s="71">
        <v>29</v>
      </c>
      <c r="B39" s="170">
        <v>2032303478</v>
      </c>
      <c r="C39" s="170" t="s">
        <v>136</v>
      </c>
      <c r="D39" s="170">
        <v>9</v>
      </c>
      <c r="E39" s="170">
        <v>12</v>
      </c>
      <c r="F39" s="170">
        <v>13</v>
      </c>
      <c r="G39" s="171">
        <v>13</v>
      </c>
      <c r="H39" s="150"/>
      <c r="I39" s="150"/>
      <c r="J39" s="57">
        <f t="shared" si="0"/>
        <v>47</v>
      </c>
      <c r="L39" s="39"/>
      <c r="N39" s="69"/>
    </row>
    <row r="40" spans="1:14" ht="18" customHeight="1" thickBot="1">
      <c r="A40" s="71">
        <v>30</v>
      </c>
      <c r="B40" s="170">
        <v>2032303479</v>
      </c>
      <c r="C40" s="170" t="s">
        <v>137</v>
      </c>
      <c r="D40" s="170">
        <v>9</v>
      </c>
      <c r="E40" s="170">
        <v>13</v>
      </c>
      <c r="F40" s="170">
        <v>9</v>
      </c>
      <c r="G40" s="171">
        <v>9</v>
      </c>
      <c r="H40" s="150"/>
      <c r="I40" s="150"/>
      <c r="J40" s="57">
        <f t="shared" si="0"/>
        <v>40</v>
      </c>
      <c r="L40" s="39"/>
      <c r="N40" s="69"/>
    </row>
    <row r="41" spans="1:14" ht="18" customHeight="1" thickBot="1">
      <c r="A41" s="71">
        <v>31</v>
      </c>
      <c r="B41" s="170">
        <v>2032303480</v>
      </c>
      <c r="C41" s="170" t="s">
        <v>138</v>
      </c>
      <c r="D41" s="170">
        <v>10</v>
      </c>
      <c r="E41" s="170">
        <v>12</v>
      </c>
      <c r="F41" s="170">
        <v>12</v>
      </c>
      <c r="G41" s="171">
        <v>12</v>
      </c>
      <c r="H41" s="150"/>
      <c r="I41" s="150"/>
      <c r="J41" s="57">
        <f t="shared" si="0"/>
        <v>46</v>
      </c>
      <c r="L41" s="39"/>
      <c r="N41" s="69"/>
    </row>
    <row r="42" spans="1:14" ht="18" customHeight="1" thickBot="1">
      <c r="A42" s="71">
        <v>32</v>
      </c>
      <c r="B42" s="170">
        <v>2032303481</v>
      </c>
      <c r="C42" s="170" t="s">
        <v>139</v>
      </c>
      <c r="D42" s="170">
        <v>10</v>
      </c>
      <c r="E42" s="170">
        <v>15</v>
      </c>
      <c r="F42" s="170">
        <v>12</v>
      </c>
      <c r="G42" s="171">
        <v>11</v>
      </c>
      <c r="H42" s="150"/>
      <c r="I42" s="150"/>
      <c r="J42" s="57">
        <f t="shared" si="0"/>
        <v>48</v>
      </c>
      <c r="L42" s="39"/>
      <c r="N42" s="69"/>
    </row>
    <row r="43" spans="1:14" ht="18" customHeight="1" thickBot="1">
      <c r="A43" s="71">
        <v>33</v>
      </c>
      <c r="B43" s="170">
        <v>2032303482</v>
      </c>
      <c r="C43" s="170" t="s">
        <v>140</v>
      </c>
      <c r="D43" s="170">
        <v>10</v>
      </c>
      <c r="E43" s="170">
        <v>13</v>
      </c>
      <c r="F43" s="170">
        <v>13</v>
      </c>
      <c r="G43" s="171">
        <v>14</v>
      </c>
      <c r="H43" s="150"/>
      <c r="I43" s="150"/>
      <c r="J43" s="57">
        <f t="shared" si="0"/>
        <v>50</v>
      </c>
      <c r="L43" s="39"/>
      <c r="N43" s="69"/>
    </row>
    <row r="44" spans="1:14" ht="18" customHeight="1" thickBot="1">
      <c r="A44" s="71">
        <v>34</v>
      </c>
      <c r="B44" s="170">
        <v>2032303483</v>
      </c>
      <c r="C44" s="170" t="s">
        <v>141</v>
      </c>
      <c r="D44" s="170">
        <v>10</v>
      </c>
      <c r="E44" s="170">
        <v>14</v>
      </c>
      <c r="F44" s="170">
        <v>13</v>
      </c>
      <c r="G44" s="171">
        <v>12</v>
      </c>
      <c r="H44" s="150"/>
      <c r="I44" s="150"/>
      <c r="J44" s="57">
        <f t="shared" si="0"/>
        <v>49</v>
      </c>
      <c r="L44" s="39"/>
      <c r="N44" s="69"/>
    </row>
    <row r="45" spans="1:14" ht="18" customHeight="1" thickBot="1">
      <c r="A45" s="71">
        <v>35</v>
      </c>
      <c r="B45" s="170">
        <v>2032303484</v>
      </c>
      <c r="C45" s="170" t="s">
        <v>142</v>
      </c>
      <c r="D45" s="170">
        <v>10</v>
      </c>
      <c r="E45" s="170">
        <v>15</v>
      </c>
      <c r="F45" s="170">
        <v>10</v>
      </c>
      <c r="G45" s="171">
        <v>10</v>
      </c>
      <c r="H45" s="150"/>
      <c r="I45" s="150"/>
      <c r="J45" s="57">
        <f t="shared" si="0"/>
        <v>45</v>
      </c>
      <c r="L45" s="39"/>
      <c r="N45" s="69"/>
    </row>
    <row r="46" spans="1:14" ht="18" customHeight="1" thickBot="1">
      <c r="A46" s="71">
        <v>36</v>
      </c>
      <c r="B46" s="170">
        <v>2032303485</v>
      </c>
      <c r="C46" s="170" t="s">
        <v>143</v>
      </c>
      <c r="D46" s="170">
        <v>10</v>
      </c>
      <c r="E46" s="170">
        <v>14</v>
      </c>
      <c r="F46" s="170">
        <v>11</v>
      </c>
      <c r="G46" s="171">
        <v>10</v>
      </c>
      <c r="H46" s="150"/>
      <c r="I46" s="150"/>
      <c r="J46" s="57">
        <f t="shared" si="0"/>
        <v>45</v>
      </c>
      <c r="L46" s="39"/>
      <c r="N46" s="69"/>
    </row>
    <row r="47" spans="1:14" ht="18" customHeight="1" thickBot="1">
      <c r="A47" s="71">
        <v>37</v>
      </c>
      <c r="B47" s="170">
        <v>2032303486</v>
      </c>
      <c r="C47" s="170" t="s">
        <v>144</v>
      </c>
      <c r="D47" s="170">
        <v>9</v>
      </c>
      <c r="E47" s="170">
        <v>12</v>
      </c>
      <c r="F47" s="170">
        <v>11</v>
      </c>
      <c r="G47" s="171">
        <v>11</v>
      </c>
      <c r="H47" s="150"/>
      <c r="I47" s="150"/>
      <c r="J47" s="57">
        <f t="shared" si="0"/>
        <v>43</v>
      </c>
      <c r="L47" s="39"/>
      <c r="N47" s="69"/>
    </row>
    <row r="48" spans="1:14" ht="18" customHeight="1" thickBot="1">
      <c r="A48" s="71">
        <v>38</v>
      </c>
      <c r="B48" s="170">
        <v>2032303487</v>
      </c>
      <c r="C48" s="170" t="s">
        <v>145</v>
      </c>
      <c r="D48" s="170">
        <v>9</v>
      </c>
      <c r="E48" s="170">
        <v>13</v>
      </c>
      <c r="F48" s="170">
        <v>12</v>
      </c>
      <c r="G48" s="171">
        <v>11</v>
      </c>
      <c r="H48" s="150"/>
      <c r="I48" s="150"/>
      <c r="J48" s="57">
        <f t="shared" si="0"/>
        <v>45</v>
      </c>
      <c r="L48" s="39"/>
      <c r="N48" s="69"/>
    </row>
    <row r="49" spans="1:14" ht="18" customHeight="1" thickBot="1">
      <c r="A49" s="71">
        <v>39</v>
      </c>
      <c r="B49" s="170">
        <v>2032303488</v>
      </c>
      <c r="C49" s="170" t="s">
        <v>146</v>
      </c>
      <c r="D49" s="170">
        <v>9</v>
      </c>
      <c r="E49" s="170">
        <v>12</v>
      </c>
      <c r="F49" s="170">
        <v>14</v>
      </c>
      <c r="G49" s="171">
        <v>14</v>
      </c>
      <c r="H49" s="150"/>
      <c r="I49" s="150"/>
      <c r="J49" s="57">
        <f t="shared" si="0"/>
        <v>49</v>
      </c>
      <c r="L49" s="39"/>
      <c r="N49" s="69"/>
    </row>
    <row r="50" spans="1:14" ht="18" customHeight="1" thickBot="1">
      <c r="A50" s="71">
        <v>40</v>
      </c>
      <c r="B50" s="170">
        <v>2032303489</v>
      </c>
      <c r="C50" s="170" t="s">
        <v>147</v>
      </c>
      <c r="D50" s="170">
        <v>10</v>
      </c>
      <c r="E50" s="170">
        <v>14</v>
      </c>
      <c r="F50" s="170">
        <v>12</v>
      </c>
      <c r="G50" s="171">
        <v>13</v>
      </c>
      <c r="H50" s="150"/>
      <c r="I50" s="150"/>
      <c r="J50" s="57">
        <f t="shared" si="0"/>
        <v>49</v>
      </c>
      <c r="L50" s="39"/>
      <c r="N50" s="69"/>
    </row>
    <row r="51" spans="1:14" ht="18" customHeight="1" thickBot="1">
      <c r="A51" s="71">
        <v>41</v>
      </c>
      <c r="B51" s="170">
        <v>2032303490</v>
      </c>
      <c r="C51" s="170" t="s">
        <v>148</v>
      </c>
      <c r="D51" s="170">
        <v>9</v>
      </c>
      <c r="E51" s="170">
        <v>15</v>
      </c>
      <c r="F51" s="170">
        <v>11</v>
      </c>
      <c r="G51" s="171">
        <v>10</v>
      </c>
      <c r="H51" s="150"/>
      <c r="I51" s="150"/>
      <c r="J51" s="57">
        <f t="shared" si="0"/>
        <v>45</v>
      </c>
      <c r="L51" s="39"/>
      <c r="N51" s="69"/>
    </row>
    <row r="52" spans="1:14" ht="18" customHeight="1" thickBot="1">
      <c r="A52" s="71">
        <v>42</v>
      </c>
      <c r="B52" s="170">
        <v>2032303491</v>
      </c>
      <c r="C52" s="170" t="s">
        <v>149</v>
      </c>
      <c r="D52" s="170">
        <v>9</v>
      </c>
      <c r="E52" s="170">
        <v>15</v>
      </c>
      <c r="F52" s="170">
        <v>8</v>
      </c>
      <c r="G52" s="171">
        <v>8</v>
      </c>
      <c r="H52" s="150"/>
      <c r="I52" s="150"/>
      <c r="J52" s="57">
        <f t="shared" si="0"/>
        <v>40</v>
      </c>
      <c r="L52" s="39"/>
      <c r="N52" s="69"/>
    </row>
    <row r="53" spans="1:14" ht="18" customHeight="1" thickBot="1">
      <c r="A53" s="71">
        <v>43</v>
      </c>
      <c r="B53" s="170">
        <v>2032303492</v>
      </c>
      <c r="C53" s="170" t="s">
        <v>150</v>
      </c>
      <c r="D53" s="170">
        <v>9</v>
      </c>
      <c r="E53" s="170">
        <v>13</v>
      </c>
      <c r="F53" s="170">
        <v>12</v>
      </c>
      <c r="G53" s="171">
        <v>13</v>
      </c>
      <c r="H53" s="150"/>
      <c r="I53" s="150"/>
      <c r="J53" s="57">
        <f t="shared" si="0"/>
        <v>47</v>
      </c>
      <c r="L53" s="39"/>
      <c r="N53" s="69"/>
    </row>
    <row r="54" spans="1:14" ht="18" customHeight="1" thickBot="1">
      <c r="A54" s="71">
        <v>44</v>
      </c>
      <c r="B54" s="170">
        <v>2032303493</v>
      </c>
      <c r="C54" s="170" t="s">
        <v>151</v>
      </c>
      <c r="D54" s="170">
        <v>9</v>
      </c>
      <c r="E54" s="170">
        <v>13</v>
      </c>
      <c r="F54" s="170">
        <v>12</v>
      </c>
      <c r="G54" s="171">
        <v>12</v>
      </c>
      <c r="H54" s="150"/>
      <c r="I54" s="150"/>
      <c r="J54" s="57">
        <f t="shared" si="0"/>
        <v>46</v>
      </c>
      <c r="L54" s="39"/>
      <c r="N54" s="69"/>
    </row>
    <row r="55" spans="1:14" ht="18" customHeight="1" thickBot="1">
      <c r="A55" s="71">
        <v>45</v>
      </c>
      <c r="B55" s="170">
        <v>2032303494</v>
      </c>
      <c r="C55" s="170" t="s">
        <v>152</v>
      </c>
      <c r="D55" s="170">
        <v>10</v>
      </c>
      <c r="E55" s="170">
        <v>14</v>
      </c>
      <c r="F55" s="170">
        <v>11</v>
      </c>
      <c r="G55" s="171">
        <v>10</v>
      </c>
      <c r="H55" s="150"/>
      <c r="I55" s="150"/>
      <c r="J55" s="57">
        <f t="shared" si="0"/>
        <v>45</v>
      </c>
      <c r="L55" s="39"/>
      <c r="N55" s="69"/>
    </row>
    <row r="56" spans="1:14" ht="18" customHeight="1" thickBot="1">
      <c r="A56" s="71">
        <v>46</v>
      </c>
      <c r="B56" s="170">
        <v>2032303495</v>
      </c>
      <c r="C56" s="170" t="s">
        <v>153</v>
      </c>
      <c r="D56" s="170">
        <v>10</v>
      </c>
      <c r="E56" s="170">
        <v>12</v>
      </c>
      <c r="F56" s="170">
        <v>14</v>
      </c>
      <c r="G56" s="171">
        <v>14</v>
      </c>
      <c r="H56" s="150"/>
      <c r="I56" s="150"/>
      <c r="J56" s="57">
        <f t="shared" ref="J56:J118" si="1">IF(F56&lt;&gt;"AB",SUM(D56:I56),"AB")</f>
        <v>50</v>
      </c>
      <c r="L56" s="39"/>
      <c r="N56" s="69"/>
    </row>
    <row r="57" spans="1:14" ht="18" customHeight="1" thickBot="1">
      <c r="A57" s="71">
        <v>47</v>
      </c>
      <c r="B57" s="170">
        <v>2032303496</v>
      </c>
      <c r="C57" s="170" t="s">
        <v>154</v>
      </c>
      <c r="D57" s="170">
        <v>10</v>
      </c>
      <c r="E57" s="170">
        <v>14</v>
      </c>
      <c r="F57" s="170">
        <v>10</v>
      </c>
      <c r="G57" s="171">
        <v>9</v>
      </c>
      <c r="H57" s="150"/>
      <c r="I57" s="150"/>
      <c r="J57" s="57">
        <f t="shared" si="1"/>
        <v>43</v>
      </c>
      <c r="L57" s="39"/>
      <c r="N57" s="69"/>
    </row>
    <row r="58" spans="1:14" ht="18" customHeight="1" thickBot="1">
      <c r="A58" s="71">
        <v>48</v>
      </c>
      <c r="B58" s="170">
        <v>2032303497</v>
      </c>
      <c r="C58" s="170" t="s">
        <v>155</v>
      </c>
      <c r="D58" s="170">
        <v>9</v>
      </c>
      <c r="E58" s="170">
        <v>13</v>
      </c>
      <c r="F58" s="170">
        <v>14</v>
      </c>
      <c r="G58" s="171">
        <v>14</v>
      </c>
      <c r="H58" s="150"/>
      <c r="I58" s="150"/>
      <c r="J58" s="57">
        <f t="shared" si="1"/>
        <v>50</v>
      </c>
      <c r="L58" s="39"/>
      <c r="N58" s="69"/>
    </row>
    <row r="59" spans="1:14" ht="18" customHeight="1" thickBot="1">
      <c r="A59" s="71">
        <v>49</v>
      </c>
      <c r="B59" s="170">
        <v>2032303498</v>
      </c>
      <c r="C59" s="170" t="s">
        <v>156</v>
      </c>
      <c r="D59" s="170">
        <v>9</v>
      </c>
      <c r="E59" s="170">
        <v>13</v>
      </c>
      <c r="F59" s="170">
        <v>9</v>
      </c>
      <c r="G59" s="171">
        <v>9</v>
      </c>
      <c r="H59" s="150"/>
      <c r="I59" s="150"/>
      <c r="J59" s="57">
        <f t="shared" si="1"/>
        <v>40</v>
      </c>
      <c r="L59" s="39"/>
      <c r="N59" s="69"/>
    </row>
    <row r="60" spans="1:14" ht="18" customHeight="1" thickBot="1">
      <c r="A60" s="71">
        <v>50</v>
      </c>
      <c r="B60" s="170">
        <v>2032303499</v>
      </c>
      <c r="C60" s="170" t="s">
        <v>157</v>
      </c>
      <c r="D60" s="170">
        <v>9</v>
      </c>
      <c r="E60" s="170">
        <v>13</v>
      </c>
      <c r="F60" s="170">
        <v>13</v>
      </c>
      <c r="G60" s="171">
        <v>13</v>
      </c>
      <c r="H60" s="150"/>
      <c r="I60" s="150"/>
      <c r="J60" s="57">
        <f t="shared" si="1"/>
        <v>48</v>
      </c>
      <c r="L60" s="39"/>
      <c r="N60" s="69"/>
    </row>
    <row r="61" spans="1:14" ht="18" customHeight="1" thickBot="1">
      <c r="A61" s="71">
        <v>51</v>
      </c>
      <c r="B61" s="170">
        <v>2032303500</v>
      </c>
      <c r="C61" s="170" t="s">
        <v>158</v>
      </c>
      <c r="D61" s="170">
        <v>10</v>
      </c>
      <c r="E61" s="170">
        <v>15</v>
      </c>
      <c r="F61" s="170">
        <v>13</v>
      </c>
      <c r="G61" s="171">
        <v>12</v>
      </c>
      <c r="H61" s="150"/>
      <c r="I61" s="150"/>
      <c r="J61" s="57">
        <f t="shared" si="1"/>
        <v>50</v>
      </c>
      <c r="L61" s="39"/>
      <c r="N61" s="69"/>
    </row>
    <row r="62" spans="1:14" ht="18" customHeight="1" thickBot="1">
      <c r="A62" s="71">
        <v>52</v>
      </c>
      <c r="B62" s="170">
        <v>2032303501</v>
      </c>
      <c r="C62" s="170" t="s">
        <v>159</v>
      </c>
      <c r="D62" s="170">
        <v>9</v>
      </c>
      <c r="E62" s="170">
        <v>15</v>
      </c>
      <c r="F62" s="170">
        <v>12</v>
      </c>
      <c r="G62" s="171">
        <v>12</v>
      </c>
      <c r="H62" s="150"/>
      <c r="I62" s="150"/>
      <c r="J62" s="57">
        <f t="shared" si="1"/>
        <v>48</v>
      </c>
      <c r="L62" s="39"/>
      <c r="N62" s="69"/>
    </row>
    <row r="63" spans="1:14" ht="18" customHeight="1" thickBot="1">
      <c r="A63" s="71">
        <v>53</v>
      </c>
      <c r="B63" s="170">
        <v>2032303502</v>
      </c>
      <c r="C63" s="170" t="s">
        <v>160</v>
      </c>
      <c r="D63" s="170">
        <v>9</v>
      </c>
      <c r="E63" s="170">
        <v>14</v>
      </c>
      <c r="F63" s="170">
        <v>11</v>
      </c>
      <c r="G63" s="171">
        <v>10</v>
      </c>
      <c r="H63" s="150"/>
      <c r="I63" s="150"/>
      <c r="J63" s="57">
        <f t="shared" si="1"/>
        <v>44</v>
      </c>
      <c r="L63" s="39"/>
      <c r="N63" s="69"/>
    </row>
    <row r="64" spans="1:14" ht="18" customHeight="1" thickBot="1">
      <c r="A64" s="71">
        <v>54</v>
      </c>
      <c r="B64" s="170">
        <v>2032303503</v>
      </c>
      <c r="C64" s="170" t="s">
        <v>161</v>
      </c>
      <c r="D64" s="170">
        <v>9</v>
      </c>
      <c r="E64" s="170">
        <v>15</v>
      </c>
      <c r="F64" s="170">
        <v>13</v>
      </c>
      <c r="G64" s="171">
        <v>13</v>
      </c>
      <c r="H64" s="150"/>
      <c r="I64" s="150"/>
      <c r="J64" s="57">
        <f t="shared" si="1"/>
        <v>50</v>
      </c>
      <c r="L64" s="39"/>
      <c r="N64" s="69"/>
    </row>
    <row r="65" spans="1:14" ht="18" customHeight="1" thickBot="1">
      <c r="A65" s="71">
        <v>55</v>
      </c>
      <c r="B65" s="170">
        <v>2032303504</v>
      </c>
      <c r="C65" s="170" t="s">
        <v>162</v>
      </c>
      <c r="D65" s="170">
        <v>9</v>
      </c>
      <c r="E65" s="170">
        <v>12</v>
      </c>
      <c r="F65" s="170">
        <v>14</v>
      </c>
      <c r="G65" s="171">
        <v>13</v>
      </c>
      <c r="H65" s="150"/>
      <c r="I65" s="150"/>
      <c r="J65" s="57">
        <f t="shared" si="1"/>
        <v>48</v>
      </c>
      <c r="L65" s="39"/>
      <c r="N65" s="69"/>
    </row>
    <row r="66" spans="1:14" ht="18" customHeight="1" thickBot="1">
      <c r="A66" s="71">
        <v>56</v>
      </c>
      <c r="B66" s="170">
        <v>2032303506</v>
      </c>
      <c r="C66" s="170" t="s">
        <v>163</v>
      </c>
      <c r="D66" s="170">
        <v>10</v>
      </c>
      <c r="E66" s="170">
        <v>13</v>
      </c>
      <c r="F66" s="170">
        <v>11</v>
      </c>
      <c r="G66" s="171">
        <v>11</v>
      </c>
      <c r="H66" s="150"/>
      <c r="I66" s="150"/>
      <c r="J66" s="57">
        <f t="shared" si="1"/>
        <v>45</v>
      </c>
      <c r="L66" s="39"/>
      <c r="N66" s="69"/>
    </row>
    <row r="67" spans="1:14" ht="18" customHeight="1" thickBot="1">
      <c r="A67" s="71">
        <v>57</v>
      </c>
      <c r="B67" s="170">
        <v>2032303507</v>
      </c>
      <c r="C67" s="170" t="s">
        <v>164</v>
      </c>
      <c r="D67" s="170">
        <v>9</v>
      </c>
      <c r="E67" s="170">
        <v>14</v>
      </c>
      <c r="F67" s="170">
        <v>11</v>
      </c>
      <c r="G67" s="171">
        <v>11</v>
      </c>
      <c r="H67" s="150"/>
      <c r="I67" s="150"/>
      <c r="J67" s="57">
        <f t="shared" si="1"/>
        <v>45</v>
      </c>
      <c r="L67" s="39"/>
      <c r="N67" s="69"/>
    </row>
    <row r="68" spans="1:14" ht="18" customHeight="1" thickBot="1">
      <c r="A68" s="71">
        <v>58</v>
      </c>
      <c r="B68" s="170">
        <v>2032303508</v>
      </c>
      <c r="C68" s="170" t="s">
        <v>165</v>
      </c>
      <c r="D68" s="170">
        <v>9</v>
      </c>
      <c r="E68" s="170">
        <v>15</v>
      </c>
      <c r="F68" s="170">
        <v>9</v>
      </c>
      <c r="G68" s="171">
        <v>8</v>
      </c>
      <c r="H68" s="150"/>
      <c r="I68" s="150"/>
      <c r="J68" s="57">
        <f t="shared" si="1"/>
        <v>41</v>
      </c>
      <c r="L68" s="39"/>
      <c r="N68" s="69"/>
    </row>
    <row r="69" spans="1:14" ht="18" customHeight="1" thickBot="1">
      <c r="A69" s="71">
        <v>59</v>
      </c>
      <c r="B69" s="170">
        <v>2032303509</v>
      </c>
      <c r="C69" s="170" t="s">
        <v>166</v>
      </c>
      <c r="D69" s="170">
        <v>9</v>
      </c>
      <c r="E69" s="170">
        <v>13</v>
      </c>
      <c r="F69" s="170">
        <v>14</v>
      </c>
      <c r="G69" s="171">
        <v>14</v>
      </c>
      <c r="H69" s="150"/>
      <c r="I69" s="150"/>
      <c r="J69" s="57">
        <f t="shared" si="1"/>
        <v>50</v>
      </c>
      <c r="L69" s="39"/>
      <c r="N69" s="69"/>
    </row>
    <row r="70" spans="1:14" ht="18" customHeight="1" thickBot="1">
      <c r="A70" s="71">
        <v>60</v>
      </c>
      <c r="B70" s="170">
        <v>2032303510</v>
      </c>
      <c r="C70" s="170" t="s">
        <v>167</v>
      </c>
      <c r="D70" s="170">
        <v>9</v>
      </c>
      <c r="E70" s="170">
        <v>14</v>
      </c>
      <c r="F70" s="170">
        <v>9</v>
      </c>
      <c r="G70" s="171">
        <v>8</v>
      </c>
      <c r="H70" s="150"/>
      <c r="I70" s="150"/>
      <c r="J70" s="57">
        <f t="shared" si="1"/>
        <v>40</v>
      </c>
      <c r="L70" s="39"/>
      <c r="N70" s="69"/>
    </row>
    <row r="71" spans="1:14" ht="18" customHeight="1" thickBot="1">
      <c r="A71" s="71">
        <v>61</v>
      </c>
      <c r="B71" s="170">
        <v>2032303511</v>
      </c>
      <c r="C71" s="170" t="s">
        <v>168</v>
      </c>
      <c r="D71" s="170">
        <v>9</v>
      </c>
      <c r="E71" s="170">
        <v>15</v>
      </c>
      <c r="F71" s="170">
        <v>13</v>
      </c>
      <c r="G71" s="171">
        <v>12</v>
      </c>
      <c r="H71" s="150"/>
      <c r="I71" s="150"/>
      <c r="J71" s="57">
        <f t="shared" si="1"/>
        <v>49</v>
      </c>
      <c r="L71" s="39"/>
      <c r="N71" s="69"/>
    </row>
    <row r="72" spans="1:14" ht="18" customHeight="1" thickBot="1">
      <c r="A72" s="71">
        <v>62</v>
      </c>
      <c r="B72" s="170">
        <v>2032303512</v>
      </c>
      <c r="C72" s="170" t="s">
        <v>169</v>
      </c>
      <c r="D72" s="170">
        <v>10</v>
      </c>
      <c r="E72" s="170">
        <v>14</v>
      </c>
      <c r="F72" s="170">
        <v>9</v>
      </c>
      <c r="G72" s="171">
        <v>9</v>
      </c>
      <c r="H72" s="150"/>
      <c r="I72" s="150"/>
      <c r="J72" s="57">
        <f t="shared" si="1"/>
        <v>42</v>
      </c>
      <c r="L72" s="39"/>
      <c r="N72" s="69"/>
    </row>
    <row r="73" spans="1:14" ht="18" customHeight="1" thickBot="1">
      <c r="A73" s="71">
        <v>63</v>
      </c>
      <c r="B73" s="170">
        <v>2032303513</v>
      </c>
      <c r="C73" s="170" t="s">
        <v>170</v>
      </c>
      <c r="D73" s="170">
        <v>9</v>
      </c>
      <c r="E73" s="170">
        <v>12</v>
      </c>
      <c r="F73" s="170">
        <v>15</v>
      </c>
      <c r="G73" s="171">
        <v>14</v>
      </c>
      <c r="H73" s="150"/>
      <c r="I73" s="150"/>
      <c r="J73" s="57">
        <f t="shared" si="1"/>
        <v>50</v>
      </c>
      <c r="L73" s="39"/>
      <c r="N73" s="69"/>
    </row>
    <row r="74" spans="1:14" ht="18" customHeight="1" thickBot="1">
      <c r="A74" s="71">
        <v>64</v>
      </c>
      <c r="B74" s="170">
        <v>2032303514</v>
      </c>
      <c r="C74" s="170" t="s">
        <v>171</v>
      </c>
      <c r="D74" s="170">
        <v>9</v>
      </c>
      <c r="E74" s="170">
        <v>12</v>
      </c>
      <c r="F74" s="170">
        <v>13</v>
      </c>
      <c r="G74" s="171">
        <v>13</v>
      </c>
      <c r="H74" s="150"/>
      <c r="I74" s="150"/>
      <c r="J74" s="57">
        <f t="shared" si="1"/>
        <v>47</v>
      </c>
      <c r="L74" s="39"/>
      <c r="N74" s="69"/>
    </row>
    <row r="75" spans="1:14" ht="18" customHeight="1" thickBot="1">
      <c r="A75" s="71">
        <v>65</v>
      </c>
      <c r="B75" s="170">
        <v>2032303515</v>
      </c>
      <c r="C75" s="170" t="s">
        <v>172</v>
      </c>
      <c r="D75" s="170">
        <v>10</v>
      </c>
      <c r="E75" s="170">
        <v>14</v>
      </c>
      <c r="F75" s="170">
        <v>9</v>
      </c>
      <c r="G75" s="171">
        <v>8</v>
      </c>
      <c r="H75" s="150"/>
      <c r="I75" s="150"/>
      <c r="J75" s="57">
        <f t="shared" si="1"/>
        <v>41</v>
      </c>
      <c r="L75" s="39"/>
      <c r="N75" s="69"/>
    </row>
    <row r="76" spans="1:14" ht="18" customHeight="1" thickBot="1">
      <c r="A76" s="71">
        <v>66</v>
      </c>
      <c r="B76" s="170">
        <v>2032303516</v>
      </c>
      <c r="C76" s="170" t="s">
        <v>173</v>
      </c>
      <c r="D76" s="170">
        <v>9</v>
      </c>
      <c r="E76" s="170">
        <v>14</v>
      </c>
      <c r="F76" s="170">
        <v>10</v>
      </c>
      <c r="G76" s="171">
        <v>11</v>
      </c>
      <c r="H76" s="150"/>
      <c r="I76" s="150"/>
      <c r="J76" s="57">
        <f t="shared" si="1"/>
        <v>44</v>
      </c>
      <c r="L76" s="39"/>
      <c r="N76" s="69"/>
    </row>
    <row r="77" spans="1:14" ht="18" customHeight="1" thickBot="1">
      <c r="A77" s="71">
        <v>67</v>
      </c>
      <c r="B77" s="170">
        <v>2032303517</v>
      </c>
      <c r="C77" s="170" t="s">
        <v>174</v>
      </c>
      <c r="D77" s="170">
        <v>9</v>
      </c>
      <c r="E77" s="170">
        <v>13</v>
      </c>
      <c r="F77" s="170">
        <v>9</v>
      </c>
      <c r="G77" s="171">
        <v>9</v>
      </c>
      <c r="H77" s="150"/>
      <c r="I77" s="150"/>
      <c r="J77" s="57">
        <f t="shared" si="1"/>
        <v>40</v>
      </c>
      <c r="L77" s="39"/>
      <c r="N77" s="69"/>
    </row>
    <row r="78" spans="1:14" ht="18" customHeight="1" thickBot="1">
      <c r="A78" s="71">
        <v>68</v>
      </c>
      <c r="B78" s="170">
        <v>2032303518</v>
      </c>
      <c r="C78" s="170" t="s">
        <v>175</v>
      </c>
      <c r="D78" s="170">
        <v>9</v>
      </c>
      <c r="E78" s="170">
        <v>14</v>
      </c>
      <c r="F78" s="170">
        <v>14</v>
      </c>
      <c r="G78" s="171">
        <v>13</v>
      </c>
      <c r="H78" s="150"/>
      <c r="I78" s="150"/>
      <c r="J78" s="57">
        <f t="shared" si="1"/>
        <v>50</v>
      </c>
      <c r="L78" s="39"/>
      <c r="N78" s="69"/>
    </row>
    <row r="79" spans="1:14" ht="18" customHeight="1" thickBot="1">
      <c r="A79" s="71">
        <v>69</v>
      </c>
      <c r="B79" s="170">
        <v>2032303519</v>
      </c>
      <c r="C79" s="170" t="s">
        <v>176</v>
      </c>
      <c r="D79" s="170">
        <v>10</v>
      </c>
      <c r="E79" s="170">
        <v>12</v>
      </c>
      <c r="F79" s="170">
        <v>13</v>
      </c>
      <c r="G79" s="171">
        <v>14</v>
      </c>
      <c r="H79" s="150"/>
      <c r="I79" s="150"/>
      <c r="J79" s="57">
        <f t="shared" si="1"/>
        <v>49</v>
      </c>
      <c r="L79" s="39"/>
      <c r="N79" s="69"/>
    </row>
    <row r="80" spans="1:14" ht="18" customHeight="1" thickBot="1">
      <c r="A80" s="71">
        <v>70</v>
      </c>
      <c r="B80" s="170">
        <v>2032303520</v>
      </c>
      <c r="C80" s="170" t="s">
        <v>177</v>
      </c>
      <c r="D80" s="170">
        <v>9</v>
      </c>
      <c r="E80" s="170">
        <v>12</v>
      </c>
      <c r="F80" s="170">
        <v>12</v>
      </c>
      <c r="G80" s="171">
        <v>12</v>
      </c>
      <c r="H80" s="150"/>
      <c r="I80" s="150"/>
      <c r="J80" s="57">
        <f t="shared" si="1"/>
        <v>45</v>
      </c>
      <c r="L80" s="39"/>
      <c r="N80" s="69"/>
    </row>
    <row r="81" spans="1:14" ht="18" customHeight="1" thickBot="1">
      <c r="A81" s="71">
        <v>71</v>
      </c>
      <c r="B81" s="170">
        <v>2032303521</v>
      </c>
      <c r="C81" s="170" t="s">
        <v>178</v>
      </c>
      <c r="D81" s="170">
        <v>9</v>
      </c>
      <c r="E81" s="170">
        <v>12</v>
      </c>
      <c r="F81" s="170">
        <v>12</v>
      </c>
      <c r="G81" s="171">
        <v>12</v>
      </c>
      <c r="H81" s="150"/>
      <c r="I81" s="150"/>
      <c r="J81" s="57">
        <f t="shared" si="1"/>
        <v>45</v>
      </c>
      <c r="L81" s="39"/>
      <c r="N81" s="69"/>
    </row>
    <row r="82" spans="1:14" ht="18" customHeight="1" thickBot="1">
      <c r="A82" s="71">
        <v>72</v>
      </c>
      <c r="B82" s="170">
        <v>2032303522</v>
      </c>
      <c r="C82" s="170" t="s">
        <v>179</v>
      </c>
      <c r="D82" s="170">
        <v>9</v>
      </c>
      <c r="E82" s="170">
        <v>15</v>
      </c>
      <c r="F82" s="170">
        <v>11</v>
      </c>
      <c r="G82" s="171">
        <v>10</v>
      </c>
      <c r="H82" s="150"/>
      <c r="I82" s="150"/>
      <c r="J82" s="57">
        <f t="shared" si="1"/>
        <v>45</v>
      </c>
      <c r="L82" s="39"/>
      <c r="N82" s="69"/>
    </row>
    <row r="83" spans="1:14" ht="18" customHeight="1" thickBot="1">
      <c r="A83" s="71">
        <v>73</v>
      </c>
      <c r="B83" s="170">
        <v>2032303523</v>
      </c>
      <c r="C83" s="170" t="s">
        <v>180</v>
      </c>
      <c r="D83" s="170">
        <v>9</v>
      </c>
      <c r="E83" s="170">
        <v>12</v>
      </c>
      <c r="F83" s="170">
        <v>15</v>
      </c>
      <c r="G83" s="171">
        <v>14</v>
      </c>
      <c r="H83" s="150"/>
      <c r="I83" s="150"/>
      <c r="J83" s="57">
        <f t="shared" si="1"/>
        <v>50</v>
      </c>
      <c r="L83" s="39"/>
      <c r="N83" s="69"/>
    </row>
    <row r="84" spans="1:14" ht="18" customHeight="1" thickBot="1">
      <c r="A84" s="71">
        <v>74</v>
      </c>
      <c r="B84" s="170">
        <v>2032303524</v>
      </c>
      <c r="C84" s="170" t="s">
        <v>181</v>
      </c>
      <c r="D84" s="170">
        <v>9</v>
      </c>
      <c r="E84" s="170">
        <v>12</v>
      </c>
      <c r="F84" s="170">
        <v>13</v>
      </c>
      <c r="G84" s="171">
        <v>13</v>
      </c>
      <c r="H84" s="150"/>
      <c r="I84" s="150"/>
      <c r="J84" s="57">
        <f t="shared" si="1"/>
        <v>47</v>
      </c>
      <c r="L84" s="39"/>
      <c r="N84" s="69"/>
    </row>
    <row r="85" spans="1:14" ht="18" customHeight="1" thickBot="1">
      <c r="A85" s="71">
        <v>75</v>
      </c>
      <c r="B85" s="170">
        <v>2032303525</v>
      </c>
      <c r="C85" s="170" t="s">
        <v>182</v>
      </c>
      <c r="D85" s="170">
        <v>10</v>
      </c>
      <c r="E85" s="170">
        <v>15</v>
      </c>
      <c r="F85" s="170">
        <v>10</v>
      </c>
      <c r="G85" s="171">
        <v>10</v>
      </c>
      <c r="H85" s="150"/>
      <c r="I85" s="150"/>
      <c r="J85" s="57">
        <f t="shared" si="1"/>
        <v>45</v>
      </c>
      <c r="L85" s="39"/>
      <c r="N85" s="69"/>
    </row>
    <row r="86" spans="1:14" ht="18" customHeight="1" thickBot="1">
      <c r="A86" s="71">
        <v>76</v>
      </c>
      <c r="B86" s="170">
        <v>2032303526</v>
      </c>
      <c r="C86" s="170" t="s">
        <v>183</v>
      </c>
      <c r="D86" s="170">
        <v>10</v>
      </c>
      <c r="E86" s="170">
        <v>12</v>
      </c>
      <c r="F86" s="170">
        <v>12</v>
      </c>
      <c r="G86" s="171">
        <v>11</v>
      </c>
      <c r="H86" s="150"/>
      <c r="I86" s="150"/>
      <c r="J86" s="57">
        <f t="shared" si="1"/>
        <v>45</v>
      </c>
      <c r="L86" s="39"/>
      <c r="N86" s="69"/>
    </row>
    <row r="87" spans="1:14" ht="18" customHeight="1" thickBot="1">
      <c r="A87" s="71">
        <v>77</v>
      </c>
      <c r="B87" s="170">
        <v>2032303527</v>
      </c>
      <c r="C87" s="170" t="s">
        <v>184</v>
      </c>
      <c r="D87" s="170">
        <v>9</v>
      </c>
      <c r="E87" s="170">
        <v>12</v>
      </c>
      <c r="F87" s="170">
        <v>13</v>
      </c>
      <c r="G87" s="171">
        <v>12</v>
      </c>
      <c r="H87" s="150"/>
      <c r="I87" s="150"/>
      <c r="J87" s="57">
        <f t="shared" si="1"/>
        <v>46</v>
      </c>
      <c r="L87" s="39"/>
      <c r="N87" s="69"/>
    </row>
    <row r="88" spans="1:14" ht="18" customHeight="1" thickBot="1">
      <c r="A88" s="71">
        <v>78</v>
      </c>
      <c r="B88" s="170">
        <v>2032303528</v>
      </c>
      <c r="C88" s="170" t="s">
        <v>185</v>
      </c>
      <c r="D88" s="170">
        <v>10</v>
      </c>
      <c r="E88" s="170">
        <v>13</v>
      </c>
      <c r="F88" s="170">
        <v>11</v>
      </c>
      <c r="G88" s="171">
        <v>10</v>
      </c>
      <c r="H88" s="150"/>
      <c r="I88" s="150"/>
      <c r="J88" s="57">
        <f t="shared" si="1"/>
        <v>44</v>
      </c>
      <c r="L88" s="39"/>
      <c r="N88" s="69"/>
    </row>
    <row r="89" spans="1:14" ht="18" customHeight="1" thickBot="1">
      <c r="A89" s="71">
        <v>79</v>
      </c>
      <c r="B89" s="170">
        <v>2032303529</v>
      </c>
      <c r="C89" s="170" t="s">
        <v>186</v>
      </c>
      <c r="D89" s="170">
        <v>9</v>
      </c>
      <c r="E89" s="170">
        <v>12</v>
      </c>
      <c r="F89" s="170">
        <v>13</v>
      </c>
      <c r="G89" s="171">
        <v>13</v>
      </c>
      <c r="H89" s="150"/>
      <c r="I89" s="150"/>
      <c r="J89" s="57">
        <f t="shared" si="1"/>
        <v>47</v>
      </c>
      <c r="L89" s="39"/>
      <c r="N89" s="69"/>
    </row>
    <row r="90" spans="1:14" ht="18" customHeight="1" thickBot="1">
      <c r="A90" s="71">
        <v>80</v>
      </c>
      <c r="B90" s="170">
        <v>2032303530</v>
      </c>
      <c r="C90" s="170" t="s">
        <v>187</v>
      </c>
      <c r="D90" s="170">
        <v>10</v>
      </c>
      <c r="E90" s="170">
        <v>14</v>
      </c>
      <c r="F90" s="170">
        <v>12</v>
      </c>
      <c r="G90" s="171">
        <v>12</v>
      </c>
      <c r="H90" s="150"/>
      <c r="I90" s="150"/>
      <c r="J90" s="57">
        <f t="shared" si="1"/>
        <v>48</v>
      </c>
      <c r="L90" s="39"/>
      <c r="N90" s="69"/>
    </row>
    <row r="91" spans="1:14" ht="18" customHeight="1" thickBot="1">
      <c r="A91" s="71">
        <v>81</v>
      </c>
      <c r="B91" s="170">
        <v>2032303531</v>
      </c>
      <c r="C91" s="170" t="s">
        <v>188</v>
      </c>
      <c r="D91" s="170">
        <v>10</v>
      </c>
      <c r="E91" s="170">
        <v>13</v>
      </c>
      <c r="F91" s="170">
        <v>11</v>
      </c>
      <c r="G91" s="171">
        <v>11</v>
      </c>
      <c r="H91" s="150"/>
      <c r="I91" s="150"/>
      <c r="J91" s="57">
        <f t="shared" si="1"/>
        <v>45</v>
      </c>
      <c r="L91" s="39"/>
      <c r="N91" s="69"/>
    </row>
    <row r="92" spans="1:14" ht="18" customHeight="1" thickBot="1">
      <c r="A92" s="71">
        <v>82</v>
      </c>
      <c r="B92" s="170">
        <v>2032303532</v>
      </c>
      <c r="C92" s="170" t="s">
        <v>189</v>
      </c>
      <c r="D92" s="170">
        <v>9</v>
      </c>
      <c r="E92" s="170">
        <v>12</v>
      </c>
      <c r="F92" s="170">
        <v>13</v>
      </c>
      <c r="G92" s="171">
        <v>12</v>
      </c>
      <c r="H92" s="150"/>
      <c r="I92" s="150"/>
      <c r="J92" s="57">
        <f t="shared" si="1"/>
        <v>46</v>
      </c>
      <c r="L92" s="39"/>
      <c r="N92" s="69"/>
    </row>
    <row r="93" spans="1:14" ht="18" customHeight="1" thickBot="1">
      <c r="A93" s="71">
        <v>83</v>
      </c>
      <c r="B93" s="170">
        <v>2032303533</v>
      </c>
      <c r="C93" s="170" t="s">
        <v>190</v>
      </c>
      <c r="D93" s="170">
        <v>9</v>
      </c>
      <c r="E93" s="170">
        <v>12</v>
      </c>
      <c r="F93" s="170">
        <v>11</v>
      </c>
      <c r="G93" s="171">
        <v>11</v>
      </c>
      <c r="H93" s="150"/>
      <c r="I93" s="150"/>
      <c r="J93" s="57">
        <f t="shared" si="1"/>
        <v>43</v>
      </c>
      <c r="L93" s="39"/>
      <c r="N93" s="69"/>
    </row>
    <row r="94" spans="1:14" ht="18" customHeight="1" thickBot="1">
      <c r="A94" s="71">
        <v>84</v>
      </c>
      <c r="B94" s="170">
        <v>2032303534</v>
      </c>
      <c r="C94" s="170" t="s">
        <v>191</v>
      </c>
      <c r="D94" s="170">
        <v>9</v>
      </c>
      <c r="E94" s="170">
        <v>12</v>
      </c>
      <c r="F94" s="170">
        <v>11</v>
      </c>
      <c r="G94" s="171">
        <v>11</v>
      </c>
      <c r="H94" s="150"/>
      <c r="I94" s="150"/>
      <c r="J94" s="57">
        <f t="shared" si="1"/>
        <v>43</v>
      </c>
      <c r="L94" s="39"/>
      <c r="N94" s="69"/>
    </row>
    <row r="95" spans="1:14" ht="18" customHeight="1" thickBot="1">
      <c r="A95" s="71">
        <v>85</v>
      </c>
      <c r="B95" s="170">
        <v>2032303535</v>
      </c>
      <c r="C95" s="170" t="s">
        <v>192</v>
      </c>
      <c r="D95" s="170">
        <v>9</v>
      </c>
      <c r="E95" s="170">
        <v>12</v>
      </c>
      <c r="F95" s="170">
        <v>12</v>
      </c>
      <c r="G95" s="171">
        <v>12</v>
      </c>
      <c r="H95" s="150"/>
      <c r="I95" s="150"/>
      <c r="J95" s="57">
        <f t="shared" si="1"/>
        <v>45</v>
      </c>
      <c r="L95" s="39"/>
      <c r="N95" s="69"/>
    </row>
    <row r="96" spans="1:14" ht="18" customHeight="1" thickBot="1">
      <c r="A96" s="71">
        <v>86</v>
      </c>
      <c r="B96" s="170">
        <v>2032303536</v>
      </c>
      <c r="C96" s="170" t="s">
        <v>193</v>
      </c>
      <c r="D96" s="170">
        <v>9</v>
      </c>
      <c r="E96" s="170">
        <v>15</v>
      </c>
      <c r="F96" s="170">
        <v>9</v>
      </c>
      <c r="G96" s="171">
        <v>9</v>
      </c>
      <c r="H96" s="150"/>
      <c r="I96" s="150"/>
      <c r="J96" s="57">
        <f t="shared" si="1"/>
        <v>42</v>
      </c>
      <c r="L96" s="39"/>
      <c r="N96" s="69"/>
    </row>
    <row r="97" spans="1:14" ht="18" customHeight="1" thickBot="1">
      <c r="A97" s="71">
        <v>87</v>
      </c>
      <c r="B97" s="170">
        <v>2032303537</v>
      </c>
      <c r="C97" s="170" t="s">
        <v>194</v>
      </c>
      <c r="D97" s="170">
        <v>9</v>
      </c>
      <c r="E97" s="170">
        <v>15</v>
      </c>
      <c r="F97" s="170">
        <v>13</v>
      </c>
      <c r="G97" s="171">
        <v>13</v>
      </c>
      <c r="H97" s="150"/>
      <c r="I97" s="150"/>
      <c r="J97" s="57">
        <f t="shared" si="1"/>
        <v>50</v>
      </c>
      <c r="L97" s="39"/>
      <c r="N97" s="69"/>
    </row>
    <row r="98" spans="1:14" ht="18" customHeight="1" thickBot="1">
      <c r="A98" s="71">
        <v>88</v>
      </c>
      <c r="B98" s="170">
        <v>2032303538</v>
      </c>
      <c r="C98" s="170" t="s">
        <v>195</v>
      </c>
      <c r="D98" s="170">
        <v>10</v>
      </c>
      <c r="E98" s="170">
        <v>13</v>
      </c>
      <c r="F98" s="170">
        <v>10</v>
      </c>
      <c r="G98" s="171">
        <v>9</v>
      </c>
      <c r="H98" s="150"/>
      <c r="I98" s="150"/>
      <c r="J98" s="57">
        <f t="shared" si="1"/>
        <v>42</v>
      </c>
      <c r="L98" s="39"/>
      <c r="N98" s="69"/>
    </row>
    <row r="99" spans="1:14" ht="18" customHeight="1" thickBot="1">
      <c r="A99" s="71">
        <v>89</v>
      </c>
      <c r="B99" s="170">
        <v>2032303539</v>
      </c>
      <c r="C99" s="170" t="s">
        <v>196</v>
      </c>
      <c r="D99" s="170">
        <v>9</v>
      </c>
      <c r="E99" s="170">
        <v>15</v>
      </c>
      <c r="F99" s="170">
        <v>9</v>
      </c>
      <c r="G99" s="171">
        <v>8</v>
      </c>
      <c r="H99" s="150"/>
      <c r="I99" s="150"/>
      <c r="J99" s="57">
        <f t="shared" si="1"/>
        <v>41</v>
      </c>
      <c r="L99" s="39"/>
      <c r="N99" s="69"/>
    </row>
    <row r="100" spans="1:14" ht="18" customHeight="1" thickBot="1">
      <c r="A100" s="71">
        <v>90</v>
      </c>
      <c r="B100" s="170">
        <v>2032303540</v>
      </c>
      <c r="C100" s="170" t="s">
        <v>197</v>
      </c>
      <c r="D100" s="170">
        <v>9</v>
      </c>
      <c r="E100" s="170">
        <v>12</v>
      </c>
      <c r="F100" s="170">
        <v>12</v>
      </c>
      <c r="G100" s="171">
        <v>12</v>
      </c>
      <c r="H100" s="150"/>
      <c r="I100" s="150"/>
      <c r="J100" s="57">
        <f t="shared" si="1"/>
        <v>45</v>
      </c>
      <c r="L100" s="39"/>
      <c r="N100" s="69"/>
    </row>
    <row r="101" spans="1:14" ht="18" customHeight="1" thickBot="1">
      <c r="A101" s="71">
        <v>91</v>
      </c>
      <c r="B101" s="170">
        <v>2032303541</v>
      </c>
      <c r="C101" s="170" t="s">
        <v>198</v>
      </c>
      <c r="D101" s="170">
        <v>9</v>
      </c>
      <c r="E101" s="170">
        <v>15</v>
      </c>
      <c r="F101" s="170">
        <v>9</v>
      </c>
      <c r="G101" s="171">
        <v>8</v>
      </c>
      <c r="H101" s="150"/>
      <c r="I101" s="150"/>
      <c r="J101" s="57">
        <f t="shared" si="1"/>
        <v>41</v>
      </c>
      <c r="L101" s="39"/>
      <c r="N101" s="69"/>
    </row>
    <row r="102" spans="1:14" ht="18" customHeight="1" thickBot="1">
      <c r="A102" s="71">
        <v>92</v>
      </c>
      <c r="B102" s="170">
        <v>2032303542</v>
      </c>
      <c r="C102" s="170" t="s">
        <v>199</v>
      </c>
      <c r="D102" s="170">
        <v>10</v>
      </c>
      <c r="E102" s="170">
        <v>12</v>
      </c>
      <c r="F102" s="170">
        <v>10</v>
      </c>
      <c r="G102" s="171">
        <v>10</v>
      </c>
      <c r="H102" s="150"/>
      <c r="I102" s="150"/>
      <c r="J102" s="57">
        <f t="shared" si="1"/>
        <v>42</v>
      </c>
      <c r="L102" s="39"/>
      <c r="N102" s="69"/>
    </row>
    <row r="103" spans="1:14" ht="18" customHeight="1" thickBot="1">
      <c r="A103" s="71">
        <v>93</v>
      </c>
      <c r="B103" s="170">
        <v>2032303543</v>
      </c>
      <c r="C103" s="170" t="s">
        <v>200</v>
      </c>
      <c r="D103" s="170">
        <v>10</v>
      </c>
      <c r="E103" s="170">
        <v>15</v>
      </c>
      <c r="F103" s="170">
        <v>11</v>
      </c>
      <c r="G103" s="171">
        <v>10</v>
      </c>
      <c r="H103" s="150"/>
      <c r="I103" s="150"/>
      <c r="J103" s="57">
        <f t="shared" si="1"/>
        <v>46</v>
      </c>
      <c r="L103" s="39"/>
      <c r="N103" s="69"/>
    </row>
    <row r="104" spans="1:14" ht="18" customHeight="1" thickBot="1">
      <c r="A104" s="71">
        <v>94</v>
      </c>
      <c r="B104" s="170">
        <v>2032303544</v>
      </c>
      <c r="C104" s="170" t="s">
        <v>201</v>
      </c>
      <c r="D104" s="170">
        <v>9</v>
      </c>
      <c r="E104" s="170">
        <v>12</v>
      </c>
      <c r="F104" s="170">
        <v>15</v>
      </c>
      <c r="G104" s="171">
        <v>14</v>
      </c>
      <c r="H104" s="150"/>
      <c r="I104" s="150"/>
      <c r="J104" s="57">
        <f t="shared" si="1"/>
        <v>50</v>
      </c>
      <c r="L104" s="39"/>
      <c r="N104" s="69"/>
    </row>
    <row r="105" spans="1:14" ht="18" customHeight="1" thickBot="1">
      <c r="A105" s="71">
        <v>95</v>
      </c>
      <c r="B105" s="170">
        <v>2032303545</v>
      </c>
      <c r="C105" s="170" t="s">
        <v>202</v>
      </c>
      <c r="D105" s="170">
        <v>10</v>
      </c>
      <c r="E105" s="170">
        <v>15</v>
      </c>
      <c r="F105" s="170">
        <v>11</v>
      </c>
      <c r="G105" s="171">
        <v>10</v>
      </c>
      <c r="H105" s="150"/>
      <c r="I105" s="150"/>
      <c r="J105" s="57">
        <f t="shared" si="1"/>
        <v>46</v>
      </c>
      <c r="L105" s="39"/>
      <c r="N105" s="69"/>
    </row>
    <row r="106" spans="1:14" ht="18" customHeight="1" thickBot="1">
      <c r="A106" s="71">
        <v>96</v>
      </c>
      <c r="B106" s="170">
        <v>2032303546</v>
      </c>
      <c r="C106" s="170" t="s">
        <v>203</v>
      </c>
      <c r="D106" s="170">
        <v>9</v>
      </c>
      <c r="E106" s="170">
        <v>12</v>
      </c>
      <c r="F106" s="170">
        <v>10</v>
      </c>
      <c r="G106" s="171">
        <v>9</v>
      </c>
      <c r="H106" s="150"/>
      <c r="I106" s="150"/>
      <c r="J106" s="57">
        <f t="shared" si="1"/>
        <v>40</v>
      </c>
      <c r="L106" s="39"/>
      <c r="N106" s="69"/>
    </row>
    <row r="107" spans="1:14" ht="18" customHeight="1" thickBot="1">
      <c r="A107" s="71">
        <v>97</v>
      </c>
      <c r="B107" s="170">
        <v>2032303547</v>
      </c>
      <c r="C107" s="170" t="s">
        <v>204</v>
      </c>
      <c r="D107" s="170">
        <v>9</v>
      </c>
      <c r="E107" s="170">
        <v>14</v>
      </c>
      <c r="F107" s="170">
        <v>10</v>
      </c>
      <c r="G107" s="171">
        <v>9</v>
      </c>
      <c r="H107" s="150"/>
      <c r="I107" s="150"/>
      <c r="J107" s="57">
        <f t="shared" si="1"/>
        <v>42</v>
      </c>
      <c r="L107" s="39"/>
      <c r="N107" s="69"/>
    </row>
    <row r="108" spans="1:14" ht="18" customHeight="1" thickBot="1">
      <c r="A108" s="71">
        <v>98</v>
      </c>
      <c r="B108" s="170">
        <v>2032303548</v>
      </c>
      <c r="C108" s="170" t="s">
        <v>205</v>
      </c>
      <c r="D108" s="170">
        <v>10</v>
      </c>
      <c r="E108" s="170">
        <v>14</v>
      </c>
      <c r="F108" s="170">
        <v>12</v>
      </c>
      <c r="G108" s="171">
        <v>11</v>
      </c>
      <c r="H108" s="150"/>
      <c r="I108" s="150"/>
      <c r="J108" s="57">
        <f t="shared" si="1"/>
        <v>47</v>
      </c>
      <c r="L108" s="39"/>
      <c r="N108" s="69"/>
    </row>
    <row r="109" spans="1:14" ht="18" customHeight="1" thickBot="1">
      <c r="A109" s="71">
        <v>99</v>
      </c>
      <c r="B109" s="170">
        <v>2032303549</v>
      </c>
      <c r="C109" s="170" t="s">
        <v>206</v>
      </c>
      <c r="D109" s="170">
        <v>10</v>
      </c>
      <c r="E109" s="170">
        <v>15</v>
      </c>
      <c r="F109" s="170">
        <v>10</v>
      </c>
      <c r="G109" s="171">
        <v>10</v>
      </c>
      <c r="H109" s="150"/>
      <c r="I109" s="150"/>
      <c r="J109" s="57">
        <f t="shared" si="1"/>
        <v>45</v>
      </c>
      <c r="L109" s="39"/>
      <c r="N109" s="69"/>
    </row>
    <row r="110" spans="1:14" ht="18" customHeight="1" thickBot="1">
      <c r="A110" s="71">
        <v>100</v>
      </c>
      <c r="B110" s="170">
        <v>2032303550</v>
      </c>
      <c r="C110" s="170" t="s">
        <v>207</v>
      </c>
      <c r="D110" s="170">
        <v>10</v>
      </c>
      <c r="E110" s="170">
        <v>13</v>
      </c>
      <c r="F110" s="170">
        <v>9</v>
      </c>
      <c r="G110" s="171">
        <v>8</v>
      </c>
      <c r="H110" s="150"/>
      <c r="I110" s="150"/>
      <c r="J110" s="57">
        <f t="shared" si="1"/>
        <v>40</v>
      </c>
      <c r="L110" s="39"/>
      <c r="N110" s="69"/>
    </row>
    <row r="111" spans="1:14" ht="18" customHeight="1" thickBot="1">
      <c r="A111" s="71">
        <v>101</v>
      </c>
      <c r="B111" s="170">
        <v>2032303551</v>
      </c>
      <c r="C111" s="170" t="s">
        <v>208</v>
      </c>
      <c r="D111" s="170">
        <v>0</v>
      </c>
      <c r="E111" s="170">
        <v>0</v>
      </c>
      <c r="F111" s="170">
        <v>0</v>
      </c>
      <c r="G111" s="171">
        <v>0</v>
      </c>
      <c r="H111" s="150"/>
      <c r="I111" s="150"/>
      <c r="J111" s="57">
        <f t="shared" si="1"/>
        <v>0</v>
      </c>
      <c r="L111" s="39"/>
      <c r="N111" s="69"/>
    </row>
    <row r="112" spans="1:14" ht="18" customHeight="1" thickBot="1">
      <c r="A112" s="71">
        <v>102</v>
      </c>
      <c r="B112" s="170">
        <v>2032303552</v>
      </c>
      <c r="C112" s="170" t="s">
        <v>209</v>
      </c>
      <c r="D112" s="170">
        <v>0</v>
      </c>
      <c r="E112" s="170">
        <v>0</v>
      </c>
      <c r="F112" s="170">
        <v>0</v>
      </c>
      <c r="G112" s="171">
        <v>0</v>
      </c>
      <c r="H112" s="150"/>
      <c r="I112" s="150"/>
      <c r="J112" s="57">
        <f t="shared" si="1"/>
        <v>0</v>
      </c>
      <c r="L112" s="39"/>
      <c r="N112" s="69"/>
    </row>
    <row r="113" spans="1:15" ht="18" customHeight="1" thickBot="1">
      <c r="A113" s="71">
        <v>103</v>
      </c>
      <c r="B113" s="170">
        <v>2032303553</v>
      </c>
      <c r="C113" s="170" t="s">
        <v>210</v>
      </c>
      <c r="D113" s="170">
        <v>0</v>
      </c>
      <c r="E113" s="170">
        <v>0</v>
      </c>
      <c r="F113" s="170">
        <v>0</v>
      </c>
      <c r="G113" s="171">
        <v>0</v>
      </c>
      <c r="H113" s="150"/>
      <c r="I113" s="150"/>
      <c r="J113" s="57">
        <f t="shared" si="1"/>
        <v>0</v>
      </c>
      <c r="L113" s="39"/>
      <c r="N113" s="69"/>
    </row>
    <row r="114" spans="1:15" ht="18" customHeight="1" thickBot="1">
      <c r="A114" s="71">
        <v>104</v>
      </c>
      <c r="B114" s="170">
        <v>2032303554</v>
      </c>
      <c r="C114" s="170" t="s">
        <v>211</v>
      </c>
      <c r="D114" s="170">
        <v>0</v>
      </c>
      <c r="E114" s="170">
        <v>0</v>
      </c>
      <c r="F114" s="170">
        <v>0</v>
      </c>
      <c r="G114" s="171">
        <v>0</v>
      </c>
      <c r="H114" s="150"/>
      <c r="I114" s="150"/>
      <c r="J114" s="57">
        <f t="shared" si="1"/>
        <v>0</v>
      </c>
      <c r="L114" s="39"/>
      <c r="N114" s="69"/>
    </row>
    <row r="115" spans="1:15" ht="18" customHeight="1" thickBot="1">
      <c r="A115" s="71">
        <v>105</v>
      </c>
      <c r="B115" s="170">
        <v>2032303555</v>
      </c>
      <c r="C115" s="170" t="s">
        <v>212</v>
      </c>
      <c r="D115" s="170">
        <v>0</v>
      </c>
      <c r="E115" s="170">
        <v>0</v>
      </c>
      <c r="F115" s="170">
        <v>0</v>
      </c>
      <c r="G115" s="171">
        <v>0</v>
      </c>
      <c r="H115" s="150"/>
      <c r="I115" s="150"/>
      <c r="J115" s="57">
        <f t="shared" si="1"/>
        <v>0</v>
      </c>
      <c r="L115" s="39"/>
      <c r="N115" s="69"/>
    </row>
    <row r="116" spans="1:15" ht="18" customHeight="1" thickBot="1">
      <c r="A116" s="71">
        <v>106</v>
      </c>
      <c r="B116" s="170">
        <v>2032303556</v>
      </c>
      <c r="C116" s="170" t="s">
        <v>213</v>
      </c>
      <c r="D116" s="170">
        <v>9</v>
      </c>
      <c r="E116" s="170">
        <v>14</v>
      </c>
      <c r="F116" s="170">
        <v>9</v>
      </c>
      <c r="G116" s="171">
        <v>8</v>
      </c>
      <c r="H116" s="150"/>
      <c r="I116" s="150"/>
      <c r="J116" s="57">
        <f t="shared" si="1"/>
        <v>40</v>
      </c>
      <c r="L116" s="39"/>
      <c r="N116" s="69"/>
    </row>
    <row r="117" spans="1:15" ht="18" customHeight="1" thickBot="1">
      <c r="A117" s="71">
        <v>107</v>
      </c>
      <c r="B117" s="170">
        <v>2032303557</v>
      </c>
      <c r="C117" s="170" t="s">
        <v>214</v>
      </c>
      <c r="D117" s="170">
        <v>10</v>
      </c>
      <c r="E117" s="170">
        <v>15</v>
      </c>
      <c r="F117" s="170">
        <v>13</v>
      </c>
      <c r="G117" s="171">
        <v>12</v>
      </c>
      <c r="H117" s="150"/>
      <c r="I117" s="150"/>
      <c r="J117" s="57">
        <f t="shared" si="1"/>
        <v>50</v>
      </c>
      <c r="L117" s="39"/>
      <c r="N117" s="69"/>
    </row>
    <row r="118" spans="1:15" ht="18" customHeight="1">
      <c r="A118" s="71">
        <v>108</v>
      </c>
      <c r="B118" s="172">
        <v>2032303558</v>
      </c>
      <c r="C118" s="172" t="s">
        <v>215</v>
      </c>
      <c r="D118" s="172">
        <v>9</v>
      </c>
      <c r="E118" s="172">
        <v>15</v>
      </c>
      <c r="F118" s="172">
        <v>8</v>
      </c>
      <c r="G118" s="173">
        <v>8</v>
      </c>
      <c r="H118" s="150"/>
      <c r="I118" s="150"/>
      <c r="J118" s="57">
        <f t="shared" si="1"/>
        <v>40</v>
      </c>
      <c r="L118" s="39"/>
      <c r="N118" s="69"/>
    </row>
    <row r="119" spans="1:15" ht="15.75" customHeight="1">
      <c r="A119" s="258" t="s">
        <v>105</v>
      </c>
      <c r="B119" s="258"/>
      <c r="C119" s="149">
        <f>COUNT(A11:A118)</f>
        <v>108</v>
      </c>
      <c r="D119" s="176"/>
      <c r="E119" s="176"/>
      <c r="F119" s="176"/>
      <c r="G119" s="176"/>
      <c r="H119" s="176"/>
    </row>
    <row r="120" spans="1:15" ht="15.75" customHeight="1">
      <c r="A120" s="4"/>
      <c r="C120" s="5"/>
    </row>
    <row r="121" spans="1:15" ht="15.75" customHeight="1">
      <c r="A121" s="38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</row>
    <row r="122" spans="1:15" ht="15.75" customHeight="1">
      <c r="A122" s="38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</row>
    <row r="123" spans="1:15" ht="15.75" customHeight="1">
      <c r="A123" t="str">
        <f>Faculty</f>
        <v>Anuja Mali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ht="15.75" customHeight="1">
      <c r="A124" t="str">
        <f>SubjectDetails!E17</f>
        <v>Subject Faculty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ht="15.75" customHeight="1">
      <c r="A125" s="83"/>
      <c r="B125" s="83"/>
      <c r="C125" s="84"/>
      <c r="D125" s="84"/>
      <c r="E125" s="218"/>
      <c r="F125" s="218"/>
      <c r="J125" s="50"/>
      <c r="K125" s="83"/>
      <c r="L125"/>
      <c r="M125" s="83"/>
      <c r="O125"/>
    </row>
    <row r="126" spans="1:15" ht="15.75" customHeight="1">
      <c r="A126" s="83"/>
      <c r="B126" s="83"/>
      <c r="C126" s="84"/>
      <c r="D126" s="84"/>
      <c r="E126" s="218"/>
      <c r="F126" s="218"/>
      <c r="J126" s="50"/>
      <c r="K126" s="83"/>
      <c r="L126"/>
      <c r="M126" s="83"/>
    </row>
    <row r="127" spans="1:15" s="37" customFormat="1">
      <c r="A127" s="215" t="str">
        <f>SubjectDetails!A24</f>
        <v>Dr. Ravi Chourasiya</v>
      </c>
      <c r="B127" s="215"/>
      <c r="C127" s="215"/>
      <c r="D127" s="218" t="str">
        <f>SubjectDetails!E24</f>
        <v>Dr. Ashwini Chavan</v>
      </c>
      <c r="E127" s="218"/>
      <c r="F127" s="218"/>
      <c r="G127" s="218"/>
      <c r="H127"/>
      <c r="I127" s="216" t="str">
        <f>SubjectDetails!H24</f>
        <v>Dr. Priyanka Singh</v>
      </c>
      <c r="J127" s="216"/>
      <c r="K127" s="83"/>
      <c r="L127"/>
      <c r="M127" s="83"/>
      <c r="N127" s="50"/>
      <c r="O127"/>
    </row>
    <row r="128" spans="1:15" s="37" customFormat="1">
      <c r="A128" s="215" t="str">
        <f>SubjectDetails!A25</f>
        <v>(College Examination Officer)</v>
      </c>
      <c r="B128" s="215"/>
      <c r="C128" s="215"/>
      <c r="D128" s="218" t="str">
        <f>SubjectDetails!E25</f>
        <v>HOD (MCA)</v>
      </c>
      <c r="E128" s="218"/>
      <c r="F128" s="218"/>
      <c r="G128" s="218"/>
      <c r="H128"/>
      <c r="I128" s="216" t="str">
        <f>SubjectDetails!H25</f>
        <v>Director</v>
      </c>
      <c r="J128" s="216"/>
      <c r="K128" s="83"/>
      <c r="L128"/>
      <c r="M128" s="83"/>
      <c r="N128" s="50"/>
      <c r="O128" s="7"/>
    </row>
    <row r="129" spans="1:15" ht="15.75" customHeight="1">
      <c r="A129" s="38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</row>
  </sheetData>
  <sortState ref="A11:H37">
    <sortCondition ref="B11:B37"/>
  </sortState>
  <mergeCells count="22">
    <mergeCell ref="A119:B119"/>
    <mergeCell ref="J9:J10"/>
    <mergeCell ref="A1:J1"/>
    <mergeCell ref="A2:J2"/>
    <mergeCell ref="A3:J3"/>
    <mergeCell ref="A4:J4"/>
    <mergeCell ref="A5:J5"/>
    <mergeCell ref="A6:B6"/>
    <mergeCell ref="J7:J8"/>
    <mergeCell ref="D7:I7"/>
    <mergeCell ref="D6:J6"/>
    <mergeCell ref="C7:C8"/>
    <mergeCell ref="A7:A10"/>
    <mergeCell ref="B7:B10"/>
    <mergeCell ref="A128:C128"/>
    <mergeCell ref="I128:J128"/>
    <mergeCell ref="D127:G127"/>
    <mergeCell ref="D128:G128"/>
    <mergeCell ref="E125:F125"/>
    <mergeCell ref="E126:F126"/>
    <mergeCell ref="A127:C127"/>
    <mergeCell ref="I127:J127"/>
  </mergeCell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topLeftCell="A2" workbookViewId="0">
      <selection activeCell="D9" sqref="D9:G10"/>
    </sheetView>
  </sheetViews>
  <sheetFormatPr defaultColWidth="12.7109375" defaultRowHeight="15.75" customHeight="1"/>
  <cols>
    <col min="1" max="1" width="9.28515625" style="1" customWidth="1"/>
    <col min="2" max="2" width="15.7109375" style="1" customWidth="1"/>
    <col min="3" max="3" width="44.28515625" style="54" bestFit="1" customWidth="1"/>
    <col min="4" max="11" width="7.7109375" style="54" customWidth="1"/>
    <col min="12" max="12" width="15.28515625" style="55" customWidth="1"/>
    <col min="13" max="16384" width="12.7109375" style="7"/>
  </cols>
  <sheetData>
    <row r="1" spans="1:12" customFormat="1" ht="24.6" customHeight="1">
      <c r="A1" s="226" t="s">
        <v>73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</row>
    <row r="2" spans="1:12" customFormat="1" ht="21" customHeight="1">
      <c r="A2" s="228" t="s">
        <v>74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</row>
    <row r="3" spans="1:12" customFormat="1" ht="13.9" customHeight="1">
      <c r="A3" s="230" t="s">
        <v>75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</row>
    <row r="4" spans="1:12" customFormat="1" ht="13.9" customHeight="1" thickBot="1">
      <c r="A4" s="261" t="s">
        <v>9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</row>
    <row r="5" spans="1:12" ht="30.4" customHeight="1">
      <c r="A5" s="263" t="s">
        <v>5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5"/>
    </row>
    <row r="6" spans="1:12" ht="32.25" customHeight="1">
      <c r="A6" s="276" t="str">
        <f>CONCATENATE(Class," ", spl)</f>
        <v xml:space="preserve">MCA I SEM I AY 2023-24 </v>
      </c>
      <c r="B6" s="277"/>
      <c r="C6" s="116" t="str">
        <f>CONCATENATE("Name of Faculty: ", Faculty)</f>
        <v>Name of Faculty: Anuja Mali</v>
      </c>
      <c r="D6" s="276" t="str">
        <f>CONCATENATE("Course Name: ", Sub_Code)</f>
        <v>Course Name: Lab IT11L</v>
      </c>
      <c r="E6" s="279"/>
      <c r="F6" s="279"/>
      <c r="G6" s="279"/>
      <c r="H6" s="279"/>
      <c r="I6" s="279"/>
      <c r="J6" s="279"/>
      <c r="K6" s="279"/>
      <c r="L6" s="277"/>
    </row>
    <row r="7" spans="1:12" ht="21" customHeight="1">
      <c r="A7" s="281" t="s">
        <v>0</v>
      </c>
      <c r="B7" s="281" t="s">
        <v>6</v>
      </c>
      <c r="C7" s="272" t="s">
        <v>1</v>
      </c>
      <c r="D7" s="280" t="s">
        <v>228</v>
      </c>
      <c r="E7" s="280"/>
      <c r="F7" s="280"/>
      <c r="G7" s="280"/>
      <c r="H7" s="280"/>
      <c r="I7" s="280"/>
      <c r="J7" s="280"/>
      <c r="K7" s="280"/>
      <c r="L7" s="278" t="s">
        <v>49</v>
      </c>
    </row>
    <row r="8" spans="1:12" s="39" customFormat="1" ht="19.5" customHeight="1">
      <c r="A8" s="282"/>
      <c r="B8" s="282"/>
      <c r="C8" s="273"/>
      <c r="D8" s="121" t="s">
        <v>99</v>
      </c>
      <c r="E8" s="121" t="s">
        <v>219</v>
      </c>
      <c r="F8" s="121" t="s">
        <v>220</v>
      </c>
      <c r="G8" s="121" t="s">
        <v>221</v>
      </c>
      <c r="H8" s="121"/>
      <c r="I8" s="121"/>
      <c r="J8" s="121"/>
      <c r="K8" s="121"/>
      <c r="L8" s="278"/>
    </row>
    <row r="9" spans="1:12" s="39" customFormat="1" ht="20.25">
      <c r="A9" s="282"/>
      <c r="B9" s="282"/>
      <c r="C9" s="85" t="s">
        <v>72</v>
      </c>
      <c r="D9" s="122">
        <v>5</v>
      </c>
      <c r="E9" s="122">
        <v>5</v>
      </c>
      <c r="F9" s="122">
        <v>5</v>
      </c>
      <c r="G9" s="122">
        <v>5</v>
      </c>
      <c r="H9" s="122"/>
      <c r="I9" s="122"/>
      <c r="J9" s="122"/>
      <c r="K9" s="122"/>
      <c r="L9" s="259">
        <f>D9+E9+F9+G9+H9+I9+J9+K9</f>
        <v>20</v>
      </c>
    </row>
    <row r="10" spans="1:12" s="39" customFormat="1" ht="21" thickBot="1">
      <c r="A10" s="283"/>
      <c r="B10" s="284"/>
      <c r="C10" s="85" t="s">
        <v>100</v>
      </c>
      <c r="D10" s="120" t="s">
        <v>2</v>
      </c>
      <c r="E10" s="120" t="s">
        <v>3</v>
      </c>
      <c r="F10" s="120" t="s">
        <v>4</v>
      </c>
      <c r="G10" s="120" t="s">
        <v>10</v>
      </c>
      <c r="H10" s="120"/>
      <c r="I10" s="120"/>
      <c r="J10" s="120"/>
      <c r="K10" s="120"/>
      <c r="L10" s="260"/>
    </row>
    <row r="11" spans="1:12" s="39" customFormat="1" ht="18" customHeight="1" thickBot="1">
      <c r="A11" s="71">
        <v>1</v>
      </c>
      <c r="B11" s="150">
        <v>2032303524</v>
      </c>
      <c r="C11" s="151" t="s">
        <v>181</v>
      </c>
      <c r="D11" s="170">
        <v>5</v>
      </c>
      <c r="E11" s="170">
        <v>5</v>
      </c>
      <c r="F11" s="170">
        <v>5</v>
      </c>
      <c r="G11" s="171">
        <v>5</v>
      </c>
      <c r="H11" s="171"/>
      <c r="I11" s="170"/>
      <c r="J11" s="170"/>
      <c r="K11" s="171"/>
      <c r="L11" s="35">
        <f>IF(E11&lt;&gt;"AB",SUM(D11:K11),"AB")</f>
        <v>20</v>
      </c>
    </row>
    <row r="12" spans="1:12" ht="18" customHeight="1" thickBot="1">
      <c r="A12" s="71">
        <v>2</v>
      </c>
      <c r="B12" s="150">
        <v>2032303491</v>
      </c>
      <c r="C12" s="151" t="s">
        <v>149</v>
      </c>
      <c r="D12" s="170">
        <v>5</v>
      </c>
      <c r="E12" s="170">
        <v>5</v>
      </c>
      <c r="F12" s="170">
        <v>5</v>
      </c>
      <c r="G12" s="171">
        <v>5</v>
      </c>
      <c r="H12" s="171"/>
      <c r="I12" s="170"/>
      <c r="J12" s="170"/>
      <c r="K12" s="171"/>
      <c r="L12" s="35">
        <f t="shared" ref="L12:L75" si="0">IF(E12&lt;&gt;"AB",SUM(D12:K12),"AB")</f>
        <v>20</v>
      </c>
    </row>
    <row r="13" spans="1:12" ht="18" customHeight="1" thickBot="1">
      <c r="A13" s="71">
        <v>3</v>
      </c>
      <c r="B13" s="150">
        <v>2032303500</v>
      </c>
      <c r="C13" s="151" t="s">
        <v>158</v>
      </c>
      <c r="D13" s="170">
        <v>5</v>
      </c>
      <c r="E13" s="170">
        <v>5</v>
      </c>
      <c r="F13" s="170">
        <v>5</v>
      </c>
      <c r="G13" s="171">
        <v>5</v>
      </c>
      <c r="H13" s="171"/>
      <c r="I13" s="170"/>
      <c r="J13" s="170"/>
      <c r="K13" s="171"/>
      <c r="L13" s="35">
        <f t="shared" si="0"/>
        <v>20</v>
      </c>
    </row>
    <row r="14" spans="1:12" ht="18" customHeight="1" thickBot="1">
      <c r="A14" s="71">
        <v>4</v>
      </c>
      <c r="B14" s="150">
        <v>2032303484</v>
      </c>
      <c r="C14" s="151" t="s">
        <v>142</v>
      </c>
      <c r="D14" s="170">
        <v>5</v>
      </c>
      <c r="E14" s="170">
        <v>5</v>
      </c>
      <c r="F14" s="170">
        <v>5</v>
      </c>
      <c r="G14" s="171">
        <v>5</v>
      </c>
      <c r="H14" s="171"/>
      <c r="I14" s="170"/>
      <c r="J14" s="170"/>
      <c r="K14" s="171"/>
      <c r="L14" s="35">
        <f t="shared" si="0"/>
        <v>20</v>
      </c>
    </row>
    <row r="15" spans="1:12" ht="18" customHeight="1" thickBot="1">
      <c r="A15" s="71">
        <v>5</v>
      </c>
      <c r="B15" s="150">
        <v>2032303481</v>
      </c>
      <c r="C15" s="151" t="s">
        <v>139</v>
      </c>
      <c r="D15" s="170">
        <v>5</v>
      </c>
      <c r="E15" s="170">
        <v>5</v>
      </c>
      <c r="F15" s="170">
        <v>5</v>
      </c>
      <c r="G15" s="171">
        <v>5</v>
      </c>
      <c r="H15" s="171"/>
      <c r="I15" s="170"/>
      <c r="J15" s="170"/>
      <c r="K15" s="171"/>
      <c r="L15" s="35">
        <f t="shared" si="0"/>
        <v>20</v>
      </c>
    </row>
    <row r="16" spans="1:12" ht="18" customHeight="1" thickBot="1">
      <c r="A16" s="71">
        <v>6</v>
      </c>
      <c r="B16" s="150">
        <v>2032303483</v>
      </c>
      <c r="C16" s="151" t="s">
        <v>141</v>
      </c>
      <c r="D16" s="170">
        <v>5</v>
      </c>
      <c r="E16" s="170">
        <v>5</v>
      </c>
      <c r="F16" s="170">
        <v>5</v>
      </c>
      <c r="G16" s="171">
        <v>5</v>
      </c>
      <c r="H16" s="171"/>
      <c r="I16" s="170"/>
      <c r="J16" s="170"/>
      <c r="K16" s="171"/>
      <c r="L16" s="35">
        <f t="shared" si="0"/>
        <v>20</v>
      </c>
    </row>
    <row r="17" spans="1:12" ht="18" customHeight="1" thickBot="1">
      <c r="A17" s="71">
        <v>7</v>
      </c>
      <c r="B17" s="150">
        <v>2032303463</v>
      </c>
      <c r="C17" s="151" t="s">
        <v>121</v>
      </c>
      <c r="D17" s="170">
        <v>5</v>
      </c>
      <c r="E17" s="170">
        <v>5</v>
      </c>
      <c r="F17" s="170">
        <v>5</v>
      </c>
      <c r="G17" s="171">
        <v>5</v>
      </c>
      <c r="H17" s="171"/>
      <c r="I17" s="170"/>
      <c r="J17" s="170"/>
      <c r="K17" s="171"/>
      <c r="L17" s="35">
        <f t="shared" si="0"/>
        <v>20</v>
      </c>
    </row>
    <row r="18" spans="1:12" ht="18" customHeight="1" thickBot="1">
      <c r="A18" s="71">
        <v>8</v>
      </c>
      <c r="B18" s="150">
        <v>2032303487</v>
      </c>
      <c r="C18" s="151" t="s">
        <v>145</v>
      </c>
      <c r="D18" s="170">
        <v>5</v>
      </c>
      <c r="E18" s="170">
        <v>5</v>
      </c>
      <c r="F18" s="170">
        <v>5</v>
      </c>
      <c r="G18" s="171">
        <v>5</v>
      </c>
      <c r="H18" s="171"/>
      <c r="I18" s="170"/>
      <c r="J18" s="170"/>
      <c r="K18" s="171"/>
      <c r="L18" s="35">
        <f t="shared" si="0"/>
        <v>20</v>
      </c>
    </row>
    <row r="19" spans="1:12" ht="18" customHeight="1" thickBot="1">
      <c r="A19" s="71">
        <v>9</v>
      </c>
      <c r="B19" s="150">
        <v>2032303455</v>
      </c>
      <c r="C19" s="151" t="s">
        <v>113</v>
      </c>
      <c r="D19" s="170">
        <v>5</v>
      </c>
      <c r="E19" s="170">
        <v>5</v>
      </c>
      <c r="F19" s="170">
        <v>5</v>
      </c>
      <c r="G19" s="171">
        <v>5</v>
      </c>
      <c r="H19" s="171"/>
      <c r="I19" s="170"/>
      <c r="J19" s="170"/>
      <c r="K19" s="171"/>
      <c r="L19" s="35">
        <f t="shared" si="0"/>
        <v>20</v>
      </c>
    </row>
    <row r="20" spans="1:12" ht="18" customHeight="1" thickBot="1">
      <c r="A20" s="71">
        <v>10</v>
      </c>
      <c r="B20" s="150">
        <v>2032303516</v>
      </c>
      <c r="C20" s="151" t="s">
        <v>173</v>
      </c>
      <c r="D20" s="170">
        <v>5</v>
      </c>
      <c r="E20" s="170">
        <v>5</v>
      </c>
      <c r="F20" s="170">
        <v>5</v>
      </c>
      <c r="G20" s="171">
        <v>5</v>
      </c>
      <c r="H20" s="171"/>
      <c r="I20" s="170"/>
      <c r="J20" s="170"/>
      <c r="K20" s="171"/>
      <c r="L20" s="35">
        <f t="shared" si="0"/>
        <v>20</v>
      </c>
    </row>
    <row r="21" spans="1:12" ht="18" customHeight="1" thickBot="1">
      <c r="A21" s="71">
        <v>11</v>
      </c>
      <c r="B21" s="150">
        <v>2032303515</v>
      </c>
      <c r="C21" s="151" t="s">
        <v>172</v>
      </c>
      <c r="D21" s="170">
        <v>5</v>
      </c>
      <c r="E21" s="170">
        <v>5</v>
      </c>
      <c r="F21" s="170">
        <v>5</v>
      </c>
      <c r="G21" s="171">
        <v>5</v>
      </c>
      <c r="H21" s="171"/>
      <c r="I21" s="170"/>
      <c r="J21" s="170"/>
      <c r="K21" s="171"/>
      <c r="L21" s="35">
        <f t="shared" si="0"/>
        <v>20</v>
      </c>
    </row>
    <row r="22" spans="1:12" ht="18" customHeight="1" thickBot="1">
      <c r="A22" s="71">
        <v>12</v>
      </c>
      <c r="B22" s="150">
        <v>2032303502</v>
      </c>
      <c r="C22" s="151" t="s">
        <v>160</v>
      </c>
      <c r="D22" s="170">
        <v>5</v>
      </c>
      <c r="E22" s="170">
        <v>5</v>
      </c>
      <c r="F22" s="170">
        <v>5</v>
      </c>
      <c r="G22" s="171">
        <v>5</v>
      </c>
      <c r="H22" s="171"/>
      <c r="I22" s="170"/>
      <c r="J22" s="170"/>
      <c r="K22" s="171"/>
      <c r="L22" s="35">
        <f t="shared" si="0"/>
        <v>20</v>
      </c>
    </row>
    <row r="23" spans="1:12" ht="18" customHeight="1" thickBot="1">
      <c r="A23" s="71">
        <v>13</v>
      </c>
      <c r="B23" s="150">
        <v>2032303513</v>
      </c>
      <c r="C23" s="151" t="s">
        <v>170</v>
      </c>
      <c r="D23" s="170">
        <v>5</v>
      </c>
      <c r="E23" s="170">
        <v>5</v>
      </c>
      <c r="F23" s="170">
        <v>5</v>
      </c>
      <c r="G23" s="171">
        <v>5</v>
      </c>
      <c r="H23" s="171"/>
      <c r="I23" s="170"/>
      <c r="J23" s="170"/>
      <c r="K23" s="171"/>
      <c r="L23" s="35">
        <f t="shared" si="0"/>
        <v>20</v>
      </c>
    </row>
    <row r="24" spans="1:12" ht="18" customHeight="1" thickBot="1">
      <c r="A24" s="71">
        <v>14</v>
      </c>
      <c r="B24" s="150">
        <v>2032303538</v>
      </c>
      <c r="C24" s="151" t="s">
        <v>195</v>
      </c>
      <c r="D24" s="170">
        <v>5</v>
      </c>
      <c r="E24" s="170">
        <v>5</v>
      </c>
      <c r="F24" s="170">
        <v>5</v>
      </c>
      <c r="G24" s="171">
        <v>5</v>
      </c>
      <c r="H24" s="171"/>
      <c r="I24" s="170"/>
      <c r="J24" s="170"/>
      <c r="K24" s="171"/>
      <c r="L24" s="35">
        <f t="shared" si="0"/>
        <v>20</v>
      </c>
    </row>
    <row r="25" spans="1:12" ht="18" customHeight="1" thickBot="1">
      <c r="A25" s="71">
        <v>15</v>
      </c>
      <c r="B25" s="150">
        <v>2032303478</v>
      </c>
      <c r="C25" s="151" t="s">
        <v>136</v>
      </c>
      <c r="D25" s="170">
        <v>5</v>
      </c>
      <c r="E25" s="170">
        <v>5</v>
      </c>
      <c r="F25" s="170">
        <v>5</v>
      </c>
      <c r="G25" s="171">
        <v>5</v>
      </c>
      <c r="H25" s="171"/>
      <c r="I25" s="170"/>
      <c r="J25" s="170"/>
      <c r="K25" s="171"/>
      <c r="L25" s="35">
        <f t="shared" si="0"/>
        <v>20</v>
      </c>
    </row>
    <row r="26" spans="1:12" ht="18" customHeight="1" thickBot="1">
      <c r="A26" s="71">
        <v>16</v>
      </c>
      <c r="B26" s="150">
        <v>2032303464</v>
      </c>
      <c r="C26" s="151" t="s">
        <v>122</v>
      </c>
      <c r="D26" s="170">
        <v>5</v>
      </c>
      <c r="E26" s="170">
        <v>5</v>
      </c>
      <c r="F26" s="170">
        <v>5</v>
      </c>
      <c r="G26" s="171">
        <v>5</v>
      </c>
      <c r="H26" s="171"/>
      <c r="I26" s="170"/>
      <c r="J26" s="170"/>
      <c r="K26" s="171"/>
      <c r="L26" s="35">
        <f t="shared" si="0"/>
        <v>20</v>
      </c>
    </row>
    <row r="27" spans="1:12" ht="18" customHeight="1" thickBot="1">
      <c r="A27" s="71">
        <v>17</v>
      </c>
      <c r="B27" s="150">
        <v>2032303528</v>
      </c>
      <c r="C27" s="151" t="s">
        <v>185</v>
      </c>
      <c r="D27" s="170">
        <v>5</v>
      </c>
      <c r="E27" s="170">
        <v>5</v>
      </c>
      <c r="F27" s="170">
        <v>5</v>
      </c>
      <c r="G27" s="171">
        <v>5</v>
      </c>
      <c r="H27" s="171"/>
      <c r="I27" s="170"/>
      <c r="J27" s="170"/>
      <c r="K27" s="171"/>
      <c r="L27" s="35">
        <f t="shared" si="0"/>
        <v>20</v>
      </c>
    </row>
    <row r="28" spans="1:12" ht="18" customHeight="1" thickBot="1">
      <c r="A28" s="71">
        <v>18</v>
      </c>
      <c r="B28" s="150">
        <v>2032303476</v>
      </c>
      <c r="C28" s="151" t="s">
        <v>134</v>
      </c>
      <c r="D28" s="170">
        <v>5</v>
      </c>
      <c r="E28" s="170">
        <v>5</v>
      </c>
      <c r="F28" s="170">
        <v>5</v>
      </c>
      <c r="G28" s="171">
        <v>5</v>
      </c>
      <c r="H28" s="171"/>
      <c r="I28" s="170"/>
      <c r="J28" s="170"/>
      <c r="K28" s="171"/>
      <c r="L28" s="35">
        <f t="shared" si="0"/>
        <v>20</v>
      </c>
    </row>
    <row r="29" spans="1:12" ht="18" customHeight="1" thickBot="1">
      <c r="A29" s="71">
        <v>19</v>
      </c>
      <c r="B29" s="150">
        <v>2032303509</v>
      </c>
      <c r="C29" s="151" t="s">
        <v>166</v>
      </c>
      <c r="D29" s="170">
        <v>5</v>
      </c>
      <c r="E29" s="170">
        <v>5</v>
      </c>
      <c r="F29" s="170">
        <v>5</v>
      </c>
      <c r="G29" s="171">
        <v>5</v>
      </c>
      <c r="H29" s="171"/>
      <c r="I29" s="170"/>
      <c r="J29" s="170"/>
      <c r="K29" s="171"/>
      <c r="L29" s="35">
        <f t="shared" si="0"/>
        <v>20</v>
      </c>
    </row>
    <row r="30" spans="1:12" ht="18" customHeight="1" thickBot="1">
      <c r="A30" s="71">
        <v>20</v>
      </c>
      <c r="B30" s="150">
        <v>2032303535</v>
      </c>
      <c r="C30" s="151" t="s">
        <v>192</v>
      </c>
      <c r="D30" s="170">
        <v>5</v>
      </c>
      <c r="E30" s="170">
        <v>5</v>
      </c>
      <c r="F30" s="170">
        <v>5</v>
      </c>
      <c r="G30" s="171">
        <v>5</v>
      </c>
      <c r="H30" s="171"/>
      <c r="I30" s="170"/>
      <c r="J30" s="170"/>
      <c r="K30" s="171"/>
      <c r="L30" s="35">
        <f t="shared" si="0"/>
        <v>20</v>
      </c>
    </row>
    <row r="31" spans="1:12" ht="18" customHeight="1" thickBot="1">
      <c r="A31" s="71">
        <v>21</v>
      </c>
      <c r="B31" s="150">
        <v>2032303548</v>
      </c>
      <c r="C31" s="151" t="s">
        <v>205</v>
      </c>
      <c r="D31" s="170">
        <v>5</v>
      </c>
      <c r="E31" s="170">
        <v>5</v>
      </c>
      <c r="F31" s="170">
        <v>5</v>
      </c>
      <c r="G31" s="171">
        <v>5</v>
      </c>
      <c r="H31" s="171"/>
      <c r="I31" s="170"/>
      <c r="J31" s="170"/>
      <c r="K31" s="171"/>
      <c r="L31" s="35">
        <f t="shared" si="0"/>
        <v>20</v>
      </c>
    </row>
    <row r="32" spans="1:12" ht="18" customHeight="1" thickBot="1">
      <c r="A32" s="71">
        <v>22</v>
      </c>
      <c r="B32" s="150">
        <v>2032303503</v>
      </c>
      <c r="C32" s="151" t="s">
        <v>161</v>
      </c>
      <c r="D32" s="170">
        <v>5</v>
      </c>
      <c r="E32" s="170">
        <v>5</v>
      </c>
      <c r="F32" s="170">
        <v>5</v>
      </c>
      <c r="G32" s="171">
        <v>5</v>
      </c>
      <c r="H32" s="171"/>
      <c r="I32" s="170"/>
      <c r="J32" s="170"/>
      <c r="K32" s="171"/>
      <c r="L32" s="35">
        <f t="shared" si="0"/>
        <v>20</v>
      </c>
    </row>
    <row r="33" spans="1:12" ht="18" customHeight="1" thickBot="1">
      <c r="A33" s="71">
        <v>23</v>
      </c>
      <c r="B33" s="150">
        <v>2032303495</v>
      </c>
      <c r="C33" s="151" t="s">
        <v>153</v>
      </c>
      <c r="D33" s="170">
        <v>5</v>
      </c>
      <c r="E33" s="170">
        <v>5</v>
      </c>
      <c r="F33" s="170">
        <v>5</v>
      </c>
      <c r="G33" s="171">
        <v>5</v>
      </c>
      <c r="H33" s="171"/>
      <c r="I33" s="170"/>
      <c r="J33" s="170"/>
      <c r="K33" s="171"/>
      <c r="L33" s="35">
        <f t="shared" si="0"/>
        <v>20</v>
      </c>
    </row>
    <row r="34" spans="1:12" ht="18" customHeight="1" thickBot="1">
      <c r="A34" s="71">
        <v>24</v>
      </c>
      <c r="B34" s="150">
        <v>2032303482</v>
      </c>
      <c r="C34" s="151" t="s">
        <v>140</v>
      </c>
      <c r="D34" s="170">
        <v>5</v>
      </c>
      <c r="E34" s="170">
        <v>5</v>
      </c>
      <c r="F34" s="170">
        <v>5</v>
      </c>
      <c r="G34" s="171">
        <v>5</v>
      </c>
      <c r="H34" s="171"/>
      <c r="I34" s="170"/>
      <c r="J34" s="170"/>
      <c r="K34" s="171"/>
      <c r="L34" s="35">
        <f t="shared" si="0"/>
        <v>20</v>
      </c>
    </row>
    <row r="35" spans="1:12" ht="18" customHeight="1" thickBot="1">
      <c r="A35" s="71">
        <v>25</v>
      </c>
      <c r="B35" s="150">
        <v>2032303508</v>
      </c>
      <c r="C35" s="151" t="s">
        <v>165</v>
      </c>
      <c r="D35" s="170">
        <v>5</v>
      </c>
      <c r="E35" s="170">
        <v>5</v>
      </c>
      <c r="F35" s="170">
        <v>5</v>
      </c>
      <c r="G35" s="171">
        <v>5</v>
      </c>
      <c r="H35" s="171"/>
      <c r="I35" s="170"/>
      <c r="J35" s="170"/>
      <c r="K35" s="171"/>
      <c r="L35" s="35">
        <f t="shared" si="0"/>
        <v>20</v>
      </c>
    </row>
    <row r="36" spans="1:12" ht="18" customHeight="1" thickBot="1">
      <c r="A36" s="71">
        <v>26</v>
      </c>
      <c r="B36" s="150">
        <v>2032303472</v>
      </c>
      <c r="C36" s="151" t="s">
        <v>130</v>
      </c>
      <c r="D36" s="170">
        <v>5</v>
      </c>
      <c r="E36" s="170">
        <v>5</v>
      </c>
      <c r="F36" s="170">
        <v>5</v>
      </c>
      <c r="G36" s="171">
        <v>5</v>
      </c>
      <c r="H36" s="171"/>
      <c r="I36" s="170"/>
      <c r="J36" s="170"/>
      <c r="K36" s="171"/>
      <c r="L36" s="35">
        <f t="shared" si="0"/>
        <v>20</v>
      </c>
    </row>
    <row r="37" spans="1:12" ht="18" customHeight="1" thickBot="1">
      <c r="A37" s="71">
        <v>27</v>
      </c>
      <c r="B37" s="150">
        <v>2032303549</v>
      </c>
      <c r="C37" s="151" t="s">
        <v>206</v>
      </c>
      <c r="D37" s="170">
        <v>5</v>
      </c>
      <c r="E37" s="170">
        <v>5</v>
      </c>
      <c r="F37" s="170">
        <v>5</v>
      </c>
      <c r="G37" s="171">
        <v>5</v>
      </c>
      <c r="H37" s="171"/>
      <c r="I37" s="170"/>
      <c r="J37" s="170"/>
      <c r="K37" s="171"/>
      <c r="L37" s="35">
        <f t="shared" si="0"/>
        <v>20</v>
      </c>
    </row>
    <row r="38" spans="1:12" ht="18" customHeight="1" thickBot="1">
      <c r="A38" s="71">
        <v>28</v>
      </c>
      <c r="B38" s="150">
        <v>2032303479</v>
      </c>
      <c r="C38" s="151" t="s">
        <v>137</v>
      </c>
      <c r="D38" s="170">
        <v>5</v>
      </c>
      <c r="E38" s="170">
        <v>5</v>
      </c>
      <c r="F38" s="170">
        <v>5</v>
      </c>
      <c r="G38" s="171">
        <v>5</v>
      </c>
      <c r="H38" s="171"/>
      <c r="I38" s="170"/>
      <c r="J38" s="170"/>
      <c r="K38" s="171"/>
      <c r="L38" s="35">
        <f t="shared" si="0"/>
        <v>20</v>
      </c>
    </row>
    <row r="39" spans="1:12" ht="18" customHeight="1" thickBot="1">
      <c r="A39" s="71">
        <v>29</v>
      </c>
      <c r="B39" s="150">
        <v>2032303519</v>
      </c>
      <c r="C39" s="151" t="s">
        <v>176</v>
      </c>
      <c r="D39" s="170">
        <v>5</v>
      </c>
      <c r="E39" s="170">
        <v>5</v>
      </c>
      <c r="F39" s="170">
        <v>5</v>
      </c>
      <c r="G39" s="171">
        <v>5</v>
      </c>
      <c r="H39" s="171"/>
      <c r="I39" s="170"/>
      <c r="J39" s="170"/>
      <c r="K39" s="171"/>
      <c r="L39" s="35">
        <f t="shared" si="0"/>
        <v>20</v>
      </c>
    </row>
    <row r="40" spans="1:12" ht="18" customHeight="1" thickBot="1">
      <c r="A40" s="71">
        <v>30</v>
      </c>
      <c r="B40" s="150">
        <v>2032303497</v>
      </c>
      <c r="C40" s="151" t="s">
        <v>155</v>
      </c>
      <c r="D40" s="170">
        <v>5</v>
      </c>
      <c r="E40" s="170">
        <v>5</v>
      </c>
      <c r="F40" s="170">
        <v>5</v>
      </c>
      <c r="G40" s="171">
        <v>5</v>
      </c>
      <c r="H40" s="171"/>
      <c r="I40" s="170"/>
      <c r="J40" s="170"/>
      <c r="K40" s="171"/>
      <c r="L40" s="35">
        <f t="shared" si="0"/>
        <v>20</v>
      </c>
    </row>
    <row r="41" spans="1:12" ht="18" customHeight="1" thickBot="1">
      <c r="A41" s="71">
        <v>31</v>
      </c>
      <c r="B41" s="150">
        <v>2032303539</v>
      </c>
      <c r="C41" s="151" t="s">
        <v>196</v>
      </c>
      <c r="D41" s="170">
        <v>5</v>
      </c>
      <c r="E41" s="170">
        <v>5</v>
      </c>
      <c r="F41" s="170">
        <v>5</v>
      </c>
      <c r="G41" s="171">
        <v>5</v>
      </c>
      <c r="H41" s="171"/>
      <c r="I41" s="170"/>
      <c r="J41" s="170"/>
      <c r="K41" s="171"/>
      <c r="L41" s="35">
        <f t="shared" si="0"/>
        <v>20</v>
      </c>
    </row>
    <row r="42" spans="1:12" ht="18" customHeight="1" thickBot="1">
      <c r="A42" s="71">
        <v>32</v>
      </c>
      <c r="B42" s="150">
        <v>2032303486</v>
      </c>
      <c r="C42" s="151" t="s">
        <v>144</v>
      </c>
      <c r="D42" s="170">
        <v>5</v>
      </c>
      <c r="E42" s="170">
        <v>5</v>
      </c>
      <c r="F42" s="170">
        <v>5</v>
      </c>
      <c r="G42" s="171">
        <v>5</v>
      </c>
      <c r="H42" s="171"/>
      <c r="I42" s="170"/>
      <c r="J42" s="170"/>
      <c r="K42" s="171"/>
      <c r="L42" s="35">
        <f t="shared" si="0"/>
        <v>20</v>
      </c>
    </row>
    <row r="43" spans="1:12" ht="18" customHeight="1" thickBot="1">
      <c r="A43" s="71">
        <v>33</v>
      </c>
      <c r="B43" s="150">
        <v>2032303469</v>
      </c>
      <c r="C43" s="151" t="s">
        <v>127</v>
      </c>
      <c r="D43" s="170">
        <v>5</v>
      </c>
      <c r="E43" s="170">
        <v>5</v>
      </c>
      <c r="F43" s="170">
        <v>5</v>
      </c>
      <c r="G43" s="171">
        <v>5</v>
      </c>
      <c r="H43" s="171"/>
      <c r="I43" s="170"/>
      <c r="J43" s="170"/>
      <c r="K43" s="171"/>
      <c r="L43" s="35">
        <f t="shared" si="0"/>
        <v>20</v>
      </c>
    </row>
    <row r="44" spans="1:12" ht="18" customHeight="1" thickBot="1">
      <c r="A44" s="71">
        <v>34</v>
      </c>
      <c r="B44" s="150">
        <v>2032303462</v>
      </c>
      <c r="C44" s="151" t="s">
        <v>120</v>
      </c>
      <c r="D44" s="170">
        <v>5</v>
      </c>
      <c r="E44" s="170">
        <v>5</v>
      </c>
      <c r="F44" s="170">
        <v>5</v>
      </c>
      <c r="G44" s="171">
        <v>5</v>
      </c>
      <c r="H44" s="171"/>
      <c r="I44" s="170"/>
      <c r="J44" s="170"/>
      <c r="K44" s="171"/>
      <c r="L44" s="35">
        <f t="shared" si="0"/>
        <v>20</v>
      </c>
    </row>
    <row r="45" spans="1:12" ht="18" customHeight="1" thickBot="1">
      <c r="A45" s="71">
        <v>35</v>
      </c>
      <c r="B45" s="150">
        <v>2032303529</v>
      </c>
      <c r="C45" s="151" t="s">
        <v>186</v>
      </c>
      <c r="D45" s="170">
        <v>5</v>
      </c>
      <c r="E45" s="170">
        <v>5</v>
      </c>
      <c r="F45" s="170">
        <v>5</v>
      </c>
      <c r="G45" s="171">
        <v>5</v>
      </c>
      <c r="H45" s="171"/>
      <c r="I45" s="170"/>
      <c r="J45" s="170"/>
      <c r="K45" s="171"/>
      <c r="L45" s="35">
        <f t="shared" si="0"/>
        <v>20</v>
      </c>
    </row>
    <row r="46" spans="1:12" ht="18" customHeight="1" thickBot="1">
      <c r="A46" s="71">
        <v>36</v>
      </c>
      <c r="B46" s="150">
        <v>2032303556</v>
      </c>
      <c r="C46" s="151" t="s">
        <v>213</v>
      </c>
      <c r="D46" s="170">
        <v>5</v>
      </c>
      <c r="E46" s="170">
        <v>5</v>
      </c>
      <c r="F46" s="170">
        <v>5</v>
      </c>
      <c r="G46" s="171">
        <v>5</v>
      </c>
      <c r="H46" s="171"/>
      <c r="I46" s="170"/>
      <c r="J46" s="170"/>
      <c r="K46" s="171"/>
      <c r="L46" s="35">
        <f t="shared" si="0"/>
        <v>20</v>
      </c>
    </row>
    <row r="47" spans="1:12" ht="18" customHeight="1" thickBot="1">
      <c r="A47" s="71">
        <v>37</v>
      </c>
      <c r="B47" s="150">
        <v>2032303480</v>
      </c>
      <c r="C47" s="151" t="s">
        <v>138</v>
      </c>
      <c r="D47" s="170">
        <v>5</v>
      </c>
      <c r="E47" s="170">
        <v>5</v>
      </c>
      <c r="F47" s="170">
        <v>5</v>
      </c>
      <c r="G47" s="171">
        <v>5</v>
      </c>
      <c r="H47" s="171"/>
      <c r="I47" s="170"/>
      <c r="J47" s="170"/>
      <c r="K47" s="171"/>
      <c r="L47" s="35">
        <f t="shared" si="0"/>
        <v>20</v>
      </c>
    </row>
    <row r="48" spans="1:12" ht="18" customHeight="1" thickBot="1">
      <c r="A48" s="71">
        <v>38</v>
      </c>
      <c r="B48" s="150">
        <v>2032303490</v>
      </c>
      <c r="C48" s="151" t="s">
        <v>148</v>
      </c>
      <c r="D48" s="170">
        <v>5</v>
      </c>
      <c r="E48" s="170">
        <v>5</v>
      </c>
      <c r="F48" s="170">
        <v>5</v>
      </c>
      <c r="G48" s="171">
        <v>5</v>
      </c>
      <c r="H48" s="171"/>
      <c r="I48" s="170"/>
      <c r="J48" s="170"/>
      <c r="K48" s="171"/>
      <c r="L48" s="35">
        <f t="shared" si="0"/>
        <v>20</v>
      </c>
    </row>
    <row r="49" spans="1:12" ht="18" customHeight="1" thickBot="1">
      <c r="A49" s="71">
        <v>39</v>
      </c>
      <c r="B49" s="150">
        <v>2032303492</v>
      </c>
      <c r="C49" s="151" t="s">
        <v>150</v>
      </c>
      <c r="D49" s="170">
        <v>5</v>
      </c>
      <c r="E49" s="170">
        <v>5</v>
      </c>
      <c r="F49" s="170">
        <v>5</v>
      </c>
      <c r="G49" s="171">
        <v>5</v>
      </c>
      <c r="H49" s="171"/>
      <c r="I49" s="170"/>
      <c r="J49" s="170"/>
      <c r="K49" s="171"/>
      <c r="L49" s="35">
        <f t="shared" si="0"/>
        <v>20</v>
      </c>
    </row>
    <row r="50" spans="1:12" ht="18" customHeight="1" thickBot="1">
      <c r="A50" s="71">
        <v>40</v>
      </c>
      <c r="B50" s="150">
        <v>2032303540</v>
      </c>
      <c r="C50" s="151" t="s">
        <v>197</v>
      </c>
      <c r="D50" s="170">
        <v>5</v>
      </c>
      <c r="E50" s="170">
        <v>5</v>
      </c>
      <c r="F50" s="170">
        <v>5</v>
      </c>
      <c r="G50" s="171">
        <v>5</v>
      </c>
      <c r="H50" s="171"/>
      <c r="I50" s="170"/>
      <c r="J50" s="170"/>
      <c r="K50" s="171"/>
      <c r="L50" s="35">
        <f t="shared" si="0"/>
        <v>20</v>
      </c>
    </row>
    <row r="51" spans="1:12" ht="18" customHeight="1" thickBot="1">
      <c r="A51" s="71">
        <v>41</v>
      </c>
      <c r="B51" s="150">
        <v>2032303465</v>
      </c>
      <c r="C51" s="151" t="s">
        <v>123</v>
      </c>
      <c r="D51" s="170">
        <v>5</v>
      </c>
      <c r="E51" s="170">
        <v>5</v>
      </c>
      <c r="F51" s="170">
        <v>5</v>
      </c>
      <c r="G51" s="171">
        <v>5</v>
      </c>
      <c r="H51" s="171"/>
      <c r="I51" s="170"/>
      <c r="J51" s="170"/>
      <c r="K51" s="171"/>
      <c r="L51" s="35">
        <f t="shared" si="0"/>
        <v>20</v>
      </c>
    </row>
    <row r="52" spans="1:12" ht="18" customHeight="1" thickBot="1">
      <c r="A52" s="71">
        <v>42</v>
      </c>
      <c r="B52" s="150">
        <v>2032303530</v>
      </c>
      <c r="C52" s="151" t="s">
        <v>187</v>
      </c>
      <c r="D52" s="170">
        <v>5</v>
      </c>
      <c r="E52" s="170">
        <v>5</v>
      </c>
      <c r="F52" s="170">
        <v>5</v>
      </c>
      <c r="G52" s="171">
        <v>5</v>
      </c>
      <c r="H52" s="171"/>
      <c r="I52" s="170"/>
      <c r="J52" s="170"/>
      <c r="K52" s="171"/>
      <c r="L52" s="35">
        <f t="shared" si="0"/>
        <v>20</v>
      </c>
    </row>
    <row r="53" spans="1:12" ht="18" customHeight="1" thickBot="1">
      <c r="A53" s="71">
        <v>43</v>
      </c>
      <c r="B53" s="150">
        <v>2032303542</v>
      </c>
      <c r="C53" s="151" t="s">
        <v>199</v>
      </c>
      <c r="D53" s="170">
        <v>5</v>
      </c>
      <c r="E53" s="170">
        <v>5</v>
      </c>
      <c r="F53" s="170">
        <v>5</v>
      </c>
      <c r="G53" s="171">
        <v>5</v>
      </c>
      <c r="H53" s="171"/>
      <c r="I53" s="170"/>
      <c r="J53" s="170"/>
      <c r="K53" s="171"/>
      <c r="L53" s="35">
        <f t="shared" si="0"/>
        <v>20</v>
      </c>
    </row>
    <row r="54" spans="1:12" ht="18" customHeight="1" thickBot="1">
      <c r="A54" s="71">
        <v>44</v>
      </c>
      <c r="B54" s="150">
        <v>2032303470</v>
      </c>
      <c r="C54" s="151" t="s">
        <v>128</v>
      </c>
      <c r="D54" s="170">
        <v>5</v>
      </c>
      <c r="E54" s="170">
        <v>5</v>
      </c>
      <c r="F54" s="170">
        <v>5</v>
      </c>
      <c r="G54" s="171">
        <v>5</v>
      </c>
      <c r="H54" s="171"/>
      <c r="I54" s="170"/>
      <c r="J54" s="170"/>
      <c r="K54" s="171"/>
      <c r="L54" s="35">
        <f t="shared" si="0"/>
        <v>20</v>
      </c>
    </row>
    <row r="55" spans="1:12" ht="18" customHeight="1" thickBot="1">
      <c r="A55" s="71">
        <v>45</v>
      </c>
      <c r="B55" s="150">
        <v>2032303494</v>
      </c>
      <c r="C55" s="151" t="s">
        <v>152</v>
      </c>
      <c r="D55" s="170">
        <v>5</v>
      </c>
      <c r="E55" s="170">
        <v>5</v>
      </c>
      <c r="F55" s="170">
        <v>5</v>
      </c>
      <c r="G55" s="171">
        <v>5</v>
      </c>
      <c r="H55" s="171"/>
      <c r="I55" s="170"/>
      <c r="J55" s="170"/>
      <c r="K55" s="171"/>
      <c r="L55" s="35">
        <f t="shared" si="0"/>
        <v>20</v>
      </c>
    </row>
    <row r="56" spans="1:12" ht="18" customHeight="1" thickBot="1">
      <c r="A56" s="71">
        <v>46</v>
      </c>
      <c r="B56" s="150">
        <v>2032303459</v>
      </c>
      <c r="C56" s="151" t="s">
        <v>117</v>
      </c>
      <c r="D56" s="170">
        <v>5</v>
      </c>
      <c r="E56" s="170">
        <v>5</v>
      </c>
      <c r="F56" s="170">
        <v>5</v>
      </c>
      <c r="G56" s="171">
        <v>5</v>
      </c>
      <c r="H56" s="171"/>
      <c r="I56" s="170"/>
      <c r="J56" s="170"/>
      <c r="K56" s="171"/>
      <c r="L56" s="35">
        <f t="shared" si="0"/>
        <v>20</v>
      </c>
    </row>
    <row r="57" spans="1:12" ht="18" customHeight="1" thickBot="1">
      <c r="A57" s="71">
        <v>47</v>
      </c>
      <c r="B57" s="150">
        <v>2032303534</v>
      </c>
      <c r="C57" s="151" t="s">
        <v>191</v>
      </c>
      <c r="D57" s="170">
        <v>5</v>
      </c>
      <c r="E57" s="170">
        <v>5</v>
      </c>
      <c r="F57" s="170">
        <v>5</v>
      </c>
      <c r="G57" s="171">
        <v>5</v>
      </c>
      <c r="H57" s="171"/>
      <c r="I57" s="170"/>
      <c r="J57" s="170"/>
      <c r="K57" s="171"/>
      <c r="L57" s="35">
        <f t="shared" si="0"/>
        <v>20</v>
      </c>
    </row>
    <row r="58" spans="1:12" ht="18" customHeight="1" thickBot="1">
      <c r="A58" s="71">
        <v>48</v>
      </c>
      <c r="B58" s="150">
        <v>2032303488</v>
      </c>
      <c r="C58" s="151" t="s">
        <v>146</v>
      </c>
      <c r="D58" s="170">
        <v>5</v>
      </c>
      <c r="E58" s="170">
        <v>5</v>
      </c>
      <c r="F58" s="170">
        <v>5</v>
      </c>
      <c r="G58" s="171">
        <v>5</v>
      </c>
      <c r="H58" s="171"/>
      <c r="I58" s="170"/>
      <c r="J58" s="170"/>
      <c r="K58" s="171"/>
      <c r="L58" s="35">
        <f t="shared" si="0"/>
        <v>20</v>
      </c>
    </row>
    <row r="59" spans="1:12" ht="18" customHeight="1" thickBot="1">
      <c r="A59" s="71">
        <v>49</v>
      </c>
      <c r="B59" s="150">
        <v>2032303523</v>
      </c>
      <c r="C59" s="151" t="s">
        <v>180</v>
      </c>
      <c r="D59" s="170">
        <v>5</v>
      </c>
      <c r="E59" s="170">
        <v>5</v>
      </c>
      <c r="F59" s="170">
        <v>5</v>
      </c>
      <c r="G59" s="171">
        <v>5</v>
      </c>
      <c r="H59" s="171"/>
      <c r="I59" s="170"/>
      <c r="J59" s="170"/>
      <c r="K59" s="171"/>
      <c r="L59" s="35">
        <f t="shared" si="0"/>
        <v>20</v>
      </c>
    </row>
    <row r="60" spans="1:12" ht="18" customHeight="1" thickBot="1">
      <c r="A60" s="71">
        <v>50</v>
      </c>
      <c r="B60" s="150">
        <v>2032303466</v>
      </c>
      <c r="C60" s="151" t="s">
        <v>124</v>
      </c>
      <c r="D60" s="170">
        <v>5</v>
      </c>
      <c r="E60" s="170">
        <v>5</v>
      </c>
      <c r="F60" s="170">
        <v>5</v>
      </c>
      <c r="G60" s="171">
        <v>5</v>
      </c>
      <c r="H60" s="171"/>
      <c r="I60" s="170"/>
      <c r="J60" s="170"/>
      <c r="K60" s="171"/>
      <c r="L60" s="35">
        <f t="shared" si="0"/>
        <v>20</v>
      </c>
    </row>
    <row r="61" spans="1:12" ht="18" customHeight="1" thickBot="1">
      <c r="A61" s="71">
        <v>51</v>
      </c>
      <c r="B61" s="150">
        <v>2032303522</v>
      </c>
      <c r="C61" s="151" t="s">
        <v>179</v>
      </c>
      <c r="D61" s="170">
        <v>5</v>
      </c>
      <c r="E61" s="170">
        <v>5</v>
      </c>
      <c r="F61" s="170">
        <v>5</v>
      </c>
      <c r="G61" s="171">
        <v>5</v>
      </c>
      <c r="H61" s="171"/>
      <c r="I61" s="170"/>
      <c r="J61" s="170"/>
      <c r="K61" s="171"/>
      <c r="L61" s="35">
        <f t="shared" si="0"/>
        <v>20</v>
      </c>
    </row>
    <row r="62" spans="1:12" ht="18" customHeight="1" thickBot="1">
      <c r="A62" s="71">
        <v>52</v>
      </c>
      <c r="B62" s="150">
        <v>2032303518</v>
      </c>
      <c r="C62" s="151" t="s">
        <v>175</v>
      </c>
      <c r="D62" s="170">
        <v>5</v>
      </c>
      <c r="E62" s="170">
        <v>5</v>
      </c>
      <c r="F62" s="170">
        <v>5</v>
      </c>
      <c r="G62" s="171">
        <v>5</v>
      </c>
      <c r="H62" s="171"/>
      <c r="I62" s="170"/>
      <c r="J62" s="170"/>
      <c r="K62" s="171"/>
      <c r="L62" s="35">
        <f t="shared" si="0"/>
        <v>20</v>
      </c>
    </row>
    <row r="63" spans="1:12" ht="18" customHeight="1" thickBot="1">
      <c r="A63" s="71">
        <v>53</v>
      </c>
      <c r="B63" s="150">
        <v>2032303485</v>
      </c>
      <c r="C63" s="151" t="s">
        <v>143</v>
      </c>
      <c r="D63" s="170">
        <v>5</v>
      </c>
      <c r="E63" s="170">
        <v>5</v>
      </c>
      <c r="F63" s="170">
        <v>5</v>
      </c>
      <c r="G63" s="171">
        <v>5</v>
      </c>
      <c r="H63" s="171"/>
      <c r="I63" s="170"/>
      <c r="J63" s="170"/>
      <c r="K63" s="171"/>
      <c r="L63" s="35">
        <f t="shared" si="0"/>
        <v>20</v>
      </c>
    </row>
    <row r="64" spans="1:12" ht="18" customHeight="1" thickBot="1">
      <c r="A64" s="71">
        <v>54</v>
      </c>
      <c r="B64" s="150">
        <v>2032303551</v>
      </c>
      <c r="C64" s="151" t="s">
        <v>208</v>
      </c>
      <c r="D64" s="170">
        <v>5</v>
      </c>
      <c r="E64" s="170">
        <v>5</v>
      </c>
      <c r="F64" s="170">
        <v>5</v>
      </c>
      <c r="G64" s="171">
        <v>5</v>
      </c>
      <c r="H64" s="171"/>
      <c r="I64" s="170"/>
      <c r="J64" s="170"/>
      <c r="K64" s="171"/>
      <c r="L64" s="35">
        <f t="shared" si="0"/>
        <v>20</v>
      </c>
    </row>
    <row r="65" spans="1:12" ht="18" customHeight="1" thickBot="1">
      <c r="A65" s="71">
        <v>55</v>
      </c>
      <c r="B65" s="150">
        <v>2032303453</v>
      </c>
      <c r="C65" s="151" t="s">
        <v>111</v>
      </c>
      <c r="D65" s="170">
        <v>5</v>
      </c>
      <c r="E65" s="170">
        <v>5</v>
      </c>
      <c r="F65" s="170">
        <v>5</v>
      </c>
      <c r="G65" s="171">
        <v>5</v>
      </c>
      <c r="H65" s="171"/>
      <c r="I65" s="170"/>
      <c r="J65" s="170"/>
      <c r="K65" s="171"/>
      <c r="L65" s="35">
        <f t="shared" si="0"/>
        <v>20</v>
      </c>
    </row>
    <row r="66" spans="1:12" ht="18" customHeight="1" thickBot="1">
      <c r="A66" s="71">
        <v>56</v>
      </c>
      <c r="B66" s="150">
        <v>2032303541</v>
      </c>
      <c r="C66" s="151" t="s">
        <v>198</v>
      </c>
      <c r="D66" s="170">
        <v>5</v>
      </c>
      <c r="E66" s="170">
        <v>5</v>
      </c>
      <c r="F66" s="170">
        <v>5</v>
      </c>
      <c r="G66" s="171">
        <v>5</v>
      </c>
      <c r="H66" s="171"/>
      <c r="I66" s="170"/>
      <c r="J66" s="170"/>
      <c r="K66" s="171"/>
      <c r="L66" s="35">
        <f t="shared" si="0"/>
        <v>20</v>
      </c>
    </row>
    <row r="67" spans="1:12" ht="18" customHeight="1" thickBot="1">
      <c r="A67" s="71">
        <v>57</v>
      </c>
      <c r="B67" s="150">
        <v>2032303473</v>
      </c>
      <c r="C67" s="151" t="s">
        <v>131</v>
      </c>
      <c r="D67" s="170">
        <v>5</v>
      </c>
      <c r="E67" s="170">
        <v>5</v>
      </c>
      <c r="F67" s="170">
        <v>5</v>
      </c>
      <c r="G67" s="171">
        <v>5</v>
      </c>
      <c r="H67" s="171"/>
      <c r="I67" s="170"/>
      <c r="J67" s="170"/>
      <c r="K67" s="171"/>
      <c r="L67" s="35">
        <f t="shared" si="0"/>
        <v>20</v>
      </c>
    </row>
    <row r="68" spans="1:12" ht="18" customHeight="1" thickBot="1">
      <c r="A68" s="71">
        <v>58</v>
      </c>
      <c r="B68" s="150">
        <v>2032303550</v>
      </c>
      <c r="C68" s="151" t="s">
        <v>207</v>
      </c>
      <c r="D68" s="170">
        <v>5</v>
      </c>
      <c r="E68" s="170">
        <v>5</v>
      </c>
      <c r="F68" s="170">
        <v>5</v>
      </c>
      <c r="G68" s="171">
        <v>5</v>
      </c>
      <c r="H68" s="171"/>
      <c r="I68" s="170"/>
      <c r="J68" s="170"/>
      <c r="K68" s="171"/>
      <c r="L68" s="35">
        <f t="shared" si="0"/>
        <v>20</v>
      </c>
    </row>
    <row r="69" spans="1:12" ht="18" customHeight="1" thickBot="1">
      <c r="A69" s="71">
        <v>59</v>
      </c>
      <c r="B69" s="150">
        <v>2032303496</v>
      </c>
      <c r="C69" s="151" t="s">
        <v>154</v>
      </c>
      <c r="D69" s="170">
        <v>5</v>
      </c>
      <c r="E69" s="170">
        <v>5</v>
      </c>
      <c r="F69" s="170">
        <v>5</v>
      </c>
      <c r="G69" s="171">
        <v>5</v>
      </c>
      <c r="H69" s="171"/>
      <c r="I69" s="170"/>
      <c r="J69" s="170"/>
      <c r="K69" s="171"/>
      <c r="L69" s="35">
        <f t="shared" si="0"/>
        <v>20</v>
      </c>
    </row>
    <row r="70" spans="1:12" ht="18" customHeight="1" thickBot="1">
      <c r="A70" s="71">
        <v>60</v>
      </c>
      <c r="B70" s="150">
        <v>2032303457</v>
      </c>
      <c r="C70" s="151" t="s">
        <v>115</v>
      </c>
      <c r="D70" s="170">
        <v>5</v>
      </c>
      <c r="E70" s="170">
        <v>5</v>
      </c>
      <c r="F70" s="170">
        <v>5</v>
      </c>
      <c r="G70" s="171">
        <v>5</v>
      </c>
      <c r="H70" s="171"/>
      <c r="I70" s="170"/>
      <c r="J70" s="170"/>
      <c r="K70" s="171"/>
      <c r="L70" s="35">
        <f t="shared" si="0"/>
        <v>20</v>
      </c>
    </row>
    <row r="71" spans="1:12" ht="18" customHeight="1" thickBot="1">
      <c r="A71" s="71">
        <v>61</v>
      </c>
      <c r="B71" s="150">
        <v>2032303499</v>
      </c>
      <c r="C71" s="151" t="s">
        <v>157</v>
      </c>
      <c r="D71" s="170">
        <v>5</v>
      </c>
      <c r="E71" s="170">
        <v>5</v>
      </c>
      <c r="F71" s="170">
        <v>5</v>
      </c>
      <c r="G71" s="171">
        <v>5</v>
      </c>
      <c r="H71" s="171"/>
      <c r="I71" s="170"/>
      <c r="J71" s="170"/>
      <c r="K71" s="171"/>
      <c r="L71" s="35">
        <f t="shared" si="0"/>
        <v>20</v>
      </c>
    </row>
    <row r="72" spans="1:12" ht="18" customHeight="1" thickBot="1">
      <c r="A72" s="71">
        <v>62</v>
      </c>
      <c r="B72" s="150">
        <v>2032303474</v>
      </c>
      <c r="C72" s="151" t="s">
        <v>132</v>
      </c>
      <c r="D72" s="170">
        <v>5</v>
      </c>
      <c r="E72" s="170">
        <v>5</v>
      </c>
      <c r="F72" s="170">
        <v>5</v>
      </c>
      <c r="G72" s="171">
        <v>5</v>
      </c>
      <c r="H72" s="171"/>
      <c r="I72" s="170"/>
      <c r="J72" s="170"/>
      <c r="K72" s="171"/>
      <c r="L72" s="35">
        <f t="shared" si="0"/>
        <v>20</v>
      </c>
    </row>
    <row r="73" spans="1:12" ht="18" customHeight="1" thickBot="1">
      <c r="A73" s="71">
        <v>63</v>
      </c>
      <c r="B73" s="150">
        <v>2032303547</v>
      </c>
      <c r="C73" s="151" t="s">
        <v>204</v>
      </c>
      <c r="D73" s="170">
        <v>5</v>
      </c>
      <c r="E73" s="170">
        <v>5</v>
      </c>
      <c r="F73" s="170">
        <v>5</v>
      </c>
      <c r="G73" s="171">
        <v>5</v>
      </c>
      <c r="H73" s="171"/>
      <c r="I73" s="170"/>
      <c r="J73" s="170"/>
      <c r="K73" s="171"/>
      <c r="L73" s="35">
        <f t="shared" si="0"/>
        <v>20</v>
      </c>
    </row>
    <row r="74" spans="1:12" ht="18" customHeight="1" thickBot="1">
      <c r="A74" s="71">
        <v>64</v>
      </c>
      <c r="B74" s="150">
        <v>2032303512</v>
      </c>
      <c r="C74" s="151" t="s">
        <v>169</v>
      </c>
      <c r="D74" s="170">
        <v>5</v>
      </c>
      <c r="E74" s="170">
        <v>5</v>
      </c>
      <c r="F74" s="170">
        <v>5</v>
      </c>
      <c r="G74" s="171">
        <v>5</v>
      </c>
      <c r="H74" s="171"/>
      <c r="I74" s="170"/>
      <c r="J74" s="170"/>
      <c r="K74" s="171"/>
      <c r="L74" s="35">
        <f t="shared" si="0"/>
        <v>20</v>
      </c>
    </row>
    <row r="75" spans="1:12" ht="18" customHeight="1" thickBot="1">
      <c r="A75" s="71">
        <v>65</v>
      </c>
      <c r="B75" s="150">
        <v>2032303458</v>
      </c>
      <c r="C75" s="151" t="s">
        <v>116</v>
      </c>
      <c r="D75" s="170">
        <v>5</v>
      </c>
      <c r="E75" s="170">
        <v>5</v>
      </c>
      <c r="F75" s="170">
        <v>5</v>
      </c>
      <c r="G75" s="171">
        <v>5</v>
      </c>
      <c r="H75" s="171"/>
      <c r="I75" s="170"/>
      <c r="J75" s="170"/>
      <c r="K75" s="171"/>
      <c r="L75" s="35">
        <f t="shared" si="0"/>
        <v>20</v>
      </c>
    </row>
    <row r="76" spans="1:12" ht="18" customHeight="1" thickBot="1">
      <c r="A76" s="71">
        <v>66</v>
      </c>
      <c r="B76" s="150">
        <v>2032303456</v>
      </c>
      <c r="C76" s="151" t="s">
        <v>114</v>
      </c>
      <c r="D76" s="170">
        <v>5</v>
      </c>
      <c r="E76" s="170">
        <v>5</v>
      </c>
      <c r="F76" s="170">
        <v>5</v>
      </c>
      <c r="G76" s="171">
        <v>5</v>
      </c>
      <c r="H76" s="171"/>
      <c r="I76" s="170"/>
      <c r="J76" s="170"/>
      <c r="K76" s="171"/>
      <c r="L76" s="35">
        <f t="shared" ref="L76:L118" si="1">IF(E76&lt;&gt;"AB",SUM(D76:K76),"AB")</f>
        <v>20</v>
      </c>
    </row>
    <row r="77" spans="1:12" ht="18" customHeight="1" thickBot="1">
      <c r="A77" s="71">
        <v>67</v>
      </c>
      <c r="B77" s="150">
        <v>2032303451</v>
      </c>
      <c r="C77" s="151" t="s">
        <v>109</v>
      </c>
      <c r="D77" s="170">
        <v>5</v>
      </c>
      <c r="E77" s="170">
        <v>5</v>
      </c>
      <c r="F77" s="170">
        <v>5</v>
      </c>
      <c r="G77" s="171">
        <v>5</v>
      </c>
      <c r="H77" s="171"/>
      <c r="I77" s="170"/>
      <c r="J77" s="170"/>
      <c r="K77" s="171"/>
      <c r="L77" s="35">
        <f t="shared" si="1"/>
        <v>20</v>
      </c>
    </row>
    <row r="78" spans="1:12" ht="18" customHeight="1" thickBot="1">
      <c r="A78" s="71">
        <v>68</v>
      </c>
      <c r="B78" s="150">
        <v>2032303511</v>
      </c>
      <c r="C78" s="151" t="s">
        <v>168</v>
      </c>
      <c r="D78" s="170">
        <v>5</v>
      </c>
      <c r="E78" s="170">
        <v>5</v>
      </c>
      <c r="F78" s="170">
        <v>5</v>
      </c>
      <c r="G78" s="171">
        <v>5</v>
      </c>
      <c r="H78" s="171"/>
      <c r="I78" s="170"/>
      <c r="J78" s="170"/>
      <c r="K78" s="171"/>
      <c r="L78" s="35">
        <f t="shared" si="1"/>
        <v>20</v>
      </c>
    </row>
    <row r="79" spans="1:12" ht="18" customHeight="1" thickBot="1">
      <c r="A79" s="71">
        <v>69</v>
      </c>
      <c r="B79" s="150">
        <v>2032303477</v>
      </c>
      <c r="C79" s="151" t="s">
        <v>135</v>
      </c>
      <c r="D79" s="170">
        <v>5</v>
      </c>
      <c r="E79" s="170">
        <v>5</v>
      </c>
      <c r="F79" s="170">
        <v>5</v>
      </c>
      <c r="G79" s="171">
        <v>5</v>
      </c>
      <c r="H79" s="171"/>
      <c r="I79" s="170"/>
      <c r="J79" s="170"/>
      <c r="K79" s="171"/>
      <c r="L79" s="35">
        <f t="shared" si="1"/>
        <v>20</v>
      </c>
    </row>
    <row r="80" spans="1:12" ht="18" customHeight="1" thickBot="1">
      <c r="A80" s="71">
        <v>70</v>
      </c>
      <c r="B80" s="150">
        <v>2032303536</v>
      </c>
      <c r="C80" s="151" t="s">
        <v>193</v>
      </c>
      <c r="D80" s="170">
        <v>5</v>
      </c>
      <c r="E80" s="170">
        <v>5</v>
      </c>
      <c r="F80" s="170">
        <v>5</v>
      </c>
      <c r="G80" s="171">
        <v>5</v>
      </c>
      <c r="H80" s="171"/>
      <c r="I80" s="170"/>
      <c r="J80" s="170"/>
      <c r="K80" s="171"/>
      <c r="L80" s="35">
        <f t="shared" si="1"/>
        <v>20</v>
      </c>
    </row>
    <row r="81" spans="1:12" ht="18" customHeight="1" thickBot="1">
      <c r="A81" s="71">
        <v>71</v>
      </c>
      <c r="B81" s="150">
        <v>2032303527</v>
      </c>
      <c r="C81" s="151" t="s">
        <v>184</v>
      </c>
      <c r="D81" s="170">
        <v>5</v>
      </c>
      <c r="E81" s="170">
        <v>5</v>
      </c>
      <c r="F81" s="170">
        <v>5</v>
      </c>
      <c r="G81" s="171">
        <v>5</v>
      </c>
      <c r="H81" s="171"/>
      <c r="I81" s="170"/>
      <c r="J81" s="170"/>
      <c r="K81" s="171"/>
      <c r="L81" s="35">
        <f t="shared" si="1"/>
        <v>20</v>
      </c>
    </row>
    <row r="82" spans="1:12" ht="18" customHeight="1" thickBot="1">
      <c r="A82" s="71">
        <v>72</v>
      </c>
      <c r="B82" s="150">
        <v>2032303525</v>
      </c>
      <c r="C82" s="151" t="s">
        <v>182</v>
      </c>
      <c r="D82" s="170">
        <v>5</v>
      </c>
      <c r="E82" s="170">
        <v>5</v>
      </c>
      <c r="F82" s="170">
        <v>5</v>
      </c>
      <c r="G82" s="171">
        <v>5</v>
      </c>
      <c r="H82" s="171"/>
      <c r="I82" s="170"/>
      <c r="J82" s="170"/>
      <c r="K82" s="171"/>
      <c r="L82" s="35">
        <f t="shared" si="1"/>
        <v>20</v>
      </c>
    </row>
    <row r="83" spans="1:12" ht="18" customHeight="1" thickBot="1">
      <c r="A83" s="71">
        <v>73</v>
      </c>
      <c r="B83" s="150">
        <v>2032303468</v>
      </c>
      <c r="C83" s="151" t="s">
        <v>126</v>
      </c>
      <c r="D83" s="170">
        <v>5</v>
      </c>
      <c r="E83" s="170">
        <v>5</v>
      </c>
      <c r="F83" s="170">
        <v>5</v>
      </c>
      <c r="G83" s="171">
        <v>5</v>
      </c>
      <c r="H83" s="171"/>
      <c r="I83" s="170"/>
      <c r="J83" s="170"/>
      <c r="K83" s="171"/>
      <c r="L83" s="35">
        <f t="shared" si="1"/>
        <v>20</v>
      </c>
    </row>
    <row r="84" spans="1:12" ht="18" customHeight="1" thickBot="1">
      <c r="A84" s="71">
        <v>74</v>
      </c>
      <c r="B84" s="150">
        <v>2032303504</v>
      </c>
      <c r="C84" s="151" t="s">
        <v>162</v>
      </c>
      <c r="D84" s="170">
        <v>5</v>
      </c>
      <c r="E84" s="170">
        <v>5</v>
      </c>
      <c r="F84" s="170">
        <v>5</v>
      </c>
      <c r="G84" s="171">
        <v>5</v>
      </c>
      <c r="H84" s="171"/>
      <c r="I84" s="170"/>
      <c r="J84" s="170"/>
      <c r="K84" s="171"/>
      <c r="L84" s="35">
        <f t="shared" si="1"/>
        <v>20</v>
      </c>
    </row>
    <row r="85" spans="1:12" ht="18" customHeight="1" thickBot="1">
      <c r="A85" s="71">
        <v>75</v>
      </c>
      <c r="B85" s="150">
        <v>2032303475</v>
      </c>
      <c r="C85" s="151" t="s">
        <v>133</v>
      </c>
      <c r="D85" s="170">
        <v>5</v>
      </c>
      <c r="E85" s="170">
        <v>5</v>
      </c>
      <c r="F85" s="170">
        <v>5</v>
      </c>
      <c r="G85" s="171">
        <v>5</v>
      </c>
      <c r="H85" s="171"/>
      <c r="I85" s="170"/>
      <c r="J85" s="170"/>
      <c r="K85" s="171"/>
      <c r="L85" s="35">
        <f t="shared" si="1"/>
        <v>20</v>
      </c>
    </row>
    <row r="86" spans="1:12" ht="18" customHeight="1" thickBot="1">
      <c r="A86" s="71">
        <v>76</v>
      </c>
      <c r="B86" s="150">
        <v>2032303517</v>
      </c>
      <c r="C86" s="151" t="s">
        <v>174</v>
      </c>
      <c r="D86" s="170">
        <v>5</v>
      </c>
      <c r="E86" s="170">
        <v>5</v>
      </c>
      <c r="F86" s="170">
        <v>5</v>
      </c>
      <c r="G86" s="171">
        <v>5</v>
      </c>
      <c r="H86" s="171"/>
      <c r="I86" s="170"/>
      <c r="J86" s="170"/>
      <c r="K86" s="171"/>
      <c r="L86" s="35">
        <f t="shared" si="1"/>
        <v>20</v>
      </c>
    </row>
    <row r="87" spans="1:12" ht="18" customHeight="1" thickBot="1">
      <c r="A87" s="71">
        <v>77</v>
      </c>
      <c r="B87" s="150">
        <v>2032303552</v>
      </c>
      <c r="C87" s="151" t="s">
        <v>209</v>
      </c>
      <c r="D87" s="170">
        <v>5</v>
      </c>
      <c r="E87" s="170">
        <v>5</v>
      </c>
      <c r="F87" s="170">
        <v>5</v>
      </c>
      <c r="G87" s="171">
        <v>5</v>
      </c>
      <c r="H87" s="171"/>
      <c r="I87" s="170"/>
      <c r="J87" s="170"/>
      <c r="K87" s="171"/>
      <c r="L87" s="35">
        <f t="shared" si="1"/>
        <v>20</v>
      </c>
    </row>
    <row r="88" spans="1:12" ht="18" customHeight="1" thickBot="1">
      <c r="A88" s="71">
        <v>78</v>
      </c>
      <c r="B88" s="150">
        <v>2032303498</v>
      </c>
      <c r="C88" s="151" t="s">
        <v>156</v>
      </c>
      <c r="D88" s="170">
        <v>5</v>
      </c>
      <c r="E88" s="170">
        <v>5</v>
      </c>
      <c r="F88" s="170">
        <v>5</v>
      </c>
      <c r="G88" s="171">
        <v>5</v>
      </c>
      <c r="H88" s="171"/>
      <c r="I88" s="170"/>
      <c r="J88" s="170"/>
      <c r="K88" s="171"/>
      <c r="L88" s="35">
        <f t="shared" si="1"/>
        <v>20</v>
      </c>
    </row>
    <row r="89" spans="1:12" ht="18" customHeight="1" thickBot="1">
      <c r="A89" s="71">
        <v>79</v>
      </c>
      <c r="B89" s="150">
        <v>2032303510</v>
      </c>
      <c r="C89" s="151" t="s">
        <v>167</v>
      </c>
      <c r="D89" s="170">
        <v>5</v>
      </c>
      <c r="E89" s="170">
        <v>5</v>
      </c>
      <c r="F89" s="170">
        <v>5</v>
      </c>
      <c r="G89" s="171">
        <v>5</v>
      </c>
      <c r="H89" s="171"/>
      <c r="I89" s="170"/>
      <c r="J89" s="170"/>
      <c r="K89" s="171"/>
      <c r="L89" s="35">
        <f t="shared" si="1"/>
        <v>20</v>
      </c>
    </row>
    <row r="90" spans="1:12" ht="18" customHeight="1" thickBot="1">
      <c r="A90" s="71">
        <v>80</v>
      </c>
      <c r="B90" s="150">
        <v>2032303532</v>
      </c>
      <c r="C90" s="151" t="s">
        <v>189</v>
      </c>
      <c r="D90" s="170">
        <v>5</v>
      </c>
      <c r="E90" s="170">
        <v>5</v>
      </c>
      <c r="F90" s="170">
        <v>5</v>
      </c>
      <c r="G90" s="171">
        <v>5</v>
      </c>
      <c r="H90" s="171"/>
      <c r="I90" s="170"/>
      <c r="J90" s="170"/>
      <c r="K90" s="171"/>
      <c r="L90" s="35">
        <f t="shared" si="1"/>
        <v>20</v>
      </c>
    </row>
    <row r="91" spans="1:12" ht="18" customHeight="1" thickBot="1">
      <c r="A91" s="71">
        <v>81</v>
      </c>
      <c r="B91" s="150">
        <v>2032303489</v>
      </c>
      <c r="C91" s="151" t="s">
        <v>147</v>
      </c>
      <c r="D91" s="170">
        <v>5</v>
      </c>
      <c r="E91" s="170">
        <v>5</v>
      </c>
      <c r="F91" s="170">
        <v>5</v>
      </c>
      <c r="G91" s="171">
        <v>5</v>
      </c>
      <c r="H91" s="171"/>
      <c r="I91" s="170"/>
      <c r="J91" s="170"/>
      <c r="K91" s="171"/>
      <c r="L91" s="35">
        <f t="shared" si="1"/>
        <v>20</v>
      </c>
    </row>
    <row r="92" spans="1:12" ht="18" customHeight="1" thickBot="1">
      <c r="A92" s="71">
        <v>82</v>
      </c>
      <c r="B92" s="150">
        <v>2032303520</v>
      </c>
      <c r="C92" s="151" t="s">
        <v>177</v>
      </c>
      <c r="D92" s="170">
        <v>5</v>
      </c>
      <c r="E92" s="170">
        <v>5</v>
      </c>
      <c r="F92" s="170">
        <v>5</v>
      </c>
      <c r="G92" s="171">
        <v>5</v>
      </c>
      <c r="H92" s="171"/>
      <c r="I92" s="170"/>
      <c r="J92" s="170"/>
      <c r="K92" s="171"/>
      <c r="L92" s="35">
        <f t="shared" si="1"/>
        <v>20</v>
      </c>
    </row>
    <row r="93" spans="1:12" ht="18" customHeight="1" thickBot="1">
      <c r="A93" s="71">
        <v>83</v>
      </c>
      <c r="B93" s="150">
        <v>2032303452</v>
      </c>
      <c r="C93" s="151" t="s">
        <v>110</v>
      </c>
      <c r="D93" s="170">
        <v>5</v>
      </c>
      <c r="E93" s="170">
        <v>5</v>
      </c>
      <c r="F93" s="170">
        <v>5</v>
      </c>
      <c r="G93" s="171">
        <v>5</v>
      </c>
      <c r="H93" s="171"/>
      <c r="I93" s="170"/>
      <c r="J93" s="170"/>
      <c r="K93" s="171"/>
      <c r="L93" s="35">
        <f t="shared" si="1"/>
        <v>20</v>
      </c>
    </row>
    <row r="94" spans="1:12" ht="18" customHeight="1" thickBot="1">
      <c r="A94" s="71">
        <v>84</v>
      </c>
      <c r="B94" s="150">
        <v>2032303493</v>
      </c>
      <c r="C94" s="151" t="s">
        <v>151</v>
      </c>
      <c r="D94" s="170">
        <v>5</v>
      </c>
      <c r="E94" s="170">
        <v>5</v>
      </c>
      <c r="F94" s="170">
        <v>5</v>
      </c>
      <c r="G94" s="171">
        <v>5</v>
      </c>
      <c r="H94" s="171"/>
      <c r="I94" s="170"/>
      <c r="J94" s="170"/>
      <c r="K94" s="171"/>
      <c r="L94" s="35">
        <f t="shared" si="1"/>
        <v>20</v>
      </c>
    </row>
    <row r="95" spans="1:12" ht="18" customHeight="1" thickBot="1">
      <c r="A95" s="71">
        <v>85</v>
      </c>
      <c r="B95" s="150">
        <v>2032303554</v>
      </c>
      <c r="C95" s="151" t="s">
        <v>211</v>
      </c>
      <c r="D95" s="170">
        <v>5</v>
      </c>
      <c r="E95" s="170">
        <v>5</v>
      </c>
      <c r="F95" s="170">
        <v>5</v>
      </c>
      <c r="G95" s="171">
        <v>5</v>
      </c>
      <c r="H95" s="171"/>
      <c r="I95" s="170"/>
      <c r="J95" s="170"/>
      <c r="K95" s="171"/>
      <c r="L95" s="35">
        <f t="shared" si="1"/>
        <v>20</v>
      </c>
    </row>
    <row r="96" spans="1:12" ht="18" customHeight="1" thickBot="1">
      <c r="A96" s="71">
        <v>86</v>
      </c>
      <c r="B96" s="150">
        <v>2032303507</v>
      </c>
      <c r="C96" s="151" t="s">
        <v>164</v>
      </c>
      <c r="D96" s="170">
        <v>5</v>
      </c>
      <c r="E96" s="170">
        <v>5</v>
      </c>
      <c r="F96" s="170">
        <v>5</v>
      </c>
      <c r="G96" s="171">
        <v>5</v>
      </c>
      <c r="H96" s="171"/>
      <c r="I96" s="170"/>
      <c r="J96" s="170"/>
      <c r="K96" s="171"/>
      <c r="L96" s="35">
        <f t="shared" si="1"/>
        <v>20</v>
      </c>
    </row>
    <row r="97" spans="1:12" ht="18" customHeight="1" thickBot="1">
      <c r="A97" s="71">
        <v>87</v>
      </c>
      <c r="B97" s="150">
        <v>2032303467</v>
      </c>
      <c r="C97" s="151" t="s">
        <v>125</v>
      </c>
      <c r="D97" s="170">
        <v>5</v>
      </c>
      <c r="E97" s="170">
        <v>5</v>
      </c>
      <c r="F97" s="170">
        <v>5</v>
      </c>
      <c r="G97" s="171">
        <v>5</v>
      </c>
      <c r="H97" s="171"/>
      <c r="I97" s="170"/>
      <c r="J97" s="170"/>
      <c r="K97" s="171"/>
      <c r="L97" s="35">
        <f t="shared" si="1"/>
        <v>20</v>
      </c>
    </row>
    <row r="98" spans="1:12" ht="18" customHeight="1" thickBot="1">
      <c r="A98" s="71">
        <v>88</v>
      </c>
      <c r="B98" s="150">
        <v>2032303544</v>
      </c>
      <c r="C98" s="151" t="s">
        <v>201</v>
      </c>
      <c r="D98" s="170">
        <v>5</v>
      </c>
      <c r="E98" s="170">
        <v>5</v>
      </c>
      <c r="F98" s="170">
        <v>5</v>
      </c>
      <c r="G98" s="171">
        <v>5</v>
      </c>
      <c r="H98" s="171"/>
      <c r="I98" s="170"/>
      <c r="J98" s="170"/>
      <c r="K98" s="171"/>
      <c r="L98" s="35">
        <f t="shared" si="1"/>
        <v>20</v>
      </c>
    </row>
    <row r="99" spans="1:12" ht="18" customHeight="1" thickBot="1">
      <c r="A99" s="71">
        <v>89</v>
      </c>
      <c r="B99" s="150">
        <v>2032303514</v>
      </c>
      <c r="C99" s="151" t="s">
        <v>171</v>
      </c>
      <c r="D99" s="170">
        <v>5</v>
      </c>
      <c r="E99" s="170">
        <v>5</v>
      </c>
      <c r="F99" s="170">
        <v>5</v>
      </c>
      <c r="G99" s="171">
        <v>5</v>
      </c>
      <c r="H99" s="171"/>
      <c r="I99" s="170"/>
      <c r="J99" s="170"/>
      <c r="K99" s="171"/>
      <c r="L99" s="35">
        <f t="shared" si="1"/>
        <v>20</v>
      </c>
    </row>
    <row r="100" spans="1:12" ht="18" customHeight="1" thickBot="1">
      <c r="A100" s="71">
        <v>90</v>
      </c>
      <c r="B100" s="150">
        <v>2032303501</v>
      </c>
      <c r="C100" s="151" t="s">
        <v>159</v>
      </c>
      <c r="D100" s="170">
        <v>5</v>
      </c>
      <c r="E100" s="170">
        <v>5</v>
      </c>
      <c r="F100" s="170">
        <v>5</v>
      </c>
      <c r="G100" s="171">
        <v>5</v>
      </c>
      <c r="H100" s="171"/>
      <c r="I100" s="170"/>
      <c r="J100" s="170"/>
      <c r="K100" s="171"/>
      <c r="L100" s="35">
        <f t="shared" si="1"/>
        <v>20</v>
      </c>
    </row>
    <row r="101" spans="1:12" ht="18" customHeight="1" thickBot="1">
      <c r="A101" s="71">
        <v>91</v>
      </c>
      <c r="B101" s="150">
        <v>2032303461</v>
      </c>
      <c r="C101" s="151" t="s">
        <v>119</v>
      </c>
      <c r="D101" s="170">
        <v>5</v>
      </c>
      <c r="E101" s="170">
        <v>5</v>
      </c>
      <c r="F101" s="170">
        <v>5</v>
      </c>
      <c r="G101" s="171">
        <v>5</v>
      </c>
      <c r="H101" s="171"/>
      <c r="I101" s="170"/>
      <c r="J101" s="170"/>
      <c r="K101" s="171"/>
      <c r="L101" s="35">
        <f t="shared" si="1"/>
        <v>20</v>
      </c>
    </row>
    <row r="102" spans="1:12" ht="18" customHeight="1" thickBot="1">
      <c r="A102" s="71">
        <v>92</v>
      </c>
      <c r="B102" s="150">
        <v>2032303305</v>
      </c>
      <c r="C102" s="151" t="s">
        <v>108</v>
      </c>
      <c r="D102" s="170">
        <v>5</v>
      </c>
      <c r="E102" s="170">
        <v>5</v>
      </c>
      <c r="F102" s="170">
        <v>5</v>
      </c>
      <c r="G102" s="171">
        <v>5</v>
      </c>
      <c r="H102" s="171"/>
      <c r="I102" s="170"/>
      <c r="J102" s="170"/>
      <c r="K102" s="171"/>
      <c r="L102" s="35">
        <f t="shared" si="1"/>
        <v>20</v>
      </c>
    </row>
    <row r="103" spans="1:12" ht="18" customHeight="1" thickBot="1">
      <c r="A103" s="71">
        <v>93</v>
      </c>
      <c r="B103" s="150">
        <v>2032303531</v>
      </c>
      <c r="C103" s="151" t="s">
        <v>188</v>
      </c>
      <c r="D103" s="170">
        <v>5</v>
      </c>
      <c r="E103" s="170">
        <v>5</v>
      </c>
      <c r="F103" s="170">
        <v>5</v>
      </c>
      <c r="G103" s="171">
        <v>5</v>
      </c>
      <c r="H103" s="171"/>
      <c r="I103" s="170"/>
      <c r="J103" s="170"/>
      <c r="K103" s="171"/>
      <c r="L103" s="35">
        <f t="shared" si="1"/>
        <v>20</v>
      </c>
    </row>
    <row r="104" spans="1:12" ht="18" customHeight="1" thickBot="1">
      <c r="A104" s="71">
        <v>94</v>
      </c>
      <c r="B104" s="150">
        <v>2032303460</v>
      </c>
      <c r="C104" s="151" t="s">
        <v>118</v>
      </c>
      <c r="D104" s="170">
        <v>5</v>
      </c>
      <c r="E104" s="170">
        <v>5</v>
      </c>
      <c r="F104" s="170">
        <v>5</v>
      </c>
      <c r="G104" s="171">
        <v>5</v>
      </c>
      <c r="H104" s="171"/>
      <c r="I104" s="170"/>
      <c r="J104" s="170"/>
      <c r="K104" s="171"/>
      <c r="L104" s="35">
        <f t="shared" si="1"/>
        <v>20</v>
      </c>
    </row>
    <row r="105" spans="1:12" ht="18" customHeight="1" thickBot="1">
      <c r="A105" s="71">
        <v>95</v>
      </c>
      <c r="B105" s="150">
        <v>2032303533</v>
      </c>
      <c r="C105" s="151" t="s">
        <v>190</v>
      </c>
      <c r="D105" s="170">
        <v>5</v>
      </c>
      <c r="E105" s="170">
        <v>5</v>
      </c>
      <c r="F105" s="170">
        <v>5</v>
      </c>
      <c r="G105" s="171">
        <v>5</v>
      </c>
      <c r="H105" s="171"/>
      <c r="I105" s="170"/>
      <c r="J105" s="170"/>
      <c r="K105" s="171"/>
      <c r="L105" s="35">
        <f t="shared" si="1"/>
        <v>20</v>
      </c>
    </row>
    <row r="106" spans="1:12" ht="18" customHeight="1" thickBot="1">
      <c r="A106" s="71">
        <v>96</v>
      </c>
      <c r="B106" s="150">
        <v>2032303471</v>
      </c>
      <c r="C106" s="151" t="s">
        <v>129</v>
      </c>
      <c r="D106" s="170">
        <v>5</v>
      </c>
      <c r="E106" s="170">
        <v>5</v>
      </c>
      <c r="F106" s="170">
        <v>5</v>
      </c>
      <c r="G106" s="171">
        <v>5</v>
      </c>
      <c r="H106" s="171"/>
      <c r="I106" s="170"/>
      <c r="J106" s="170"/>
      <c r="K106" s="171"/>
      <c r="L106" s="35">
        <f t="shared" si="1"/>
        <v>20</v>
      </c>
    </row>
    <row r="107" spans="1:12" ht="18" customHeight="1" thickBot="1">
      <c r="A107" s="71">
        <v>97</v>
      </c>
      <c r="B107" s="150">
        <v>2032303546</v>
      </c>
      <c r="C107" s="151" t="s">
        <v>203</v>
      </c>
      <c r="D107" s="170">
        <v>5</v>
      </c>
      <c r="E107" s="170">
        <v>5</v>
      </c>
      <c r="F107" s="170">
        <v>5</v>
      </c>
      <c r="G107" s="171">
        <v>5</v>
      </c>
      <c r="H107" s="171"/>
      <c r="I107" s="170"/>
      <c r="J107" s="170"/>
      <c r="K107" s="171"/>
      <c r="L107" s="35">
        <f t="shared" si="1"/>
        <v>20</v>
      </c>
    </row>
    <row r="108" spans="1:12" ht="18" customHeight="1" thickBot="1">
      <c r="A108" s="71">
        <v>98</v>
      </c>
      <c r="B108" s="150">
        <v>2032303454</v>
      </c>
      <c r="C108" s="151" t="s">
        <v>112</v>
      </c>
      <c r="D108" s="170">
        <v>5</v>
      </c>
      <c r="E108" s="170">
        <v>5</v>
      </c>
      <c r="F108" s="170">
        <v>5</v>
      </c>
      <c r="G108" s="171">
        <v>5</v>
      </c>
      <c r="H108" s="171"/>
      <c r="I108" s="170"/>
      <c r="J108" s="170"/>
      <c r="K108" s="171"/>
      <c r="L108" s="35">
        <f t="shared" si="1"/>
        <v>20</v>
      </c>
    </row>
    <row r="109" spans="1:12" ht="18" customHeight="1" thickBot="1">
      <c r="A109" s="71">
        <v>99</v>
      </c>
      <c r="B109" s="150">
        <v>2032303521</v>
      </c>
      <c r="C109" s="151" t="s">
        <v>178</v>
      </c>
      <c r="D109" s="170">
        <v>5</v>
      </c>
      <c r="E109" s="170">
        <v>5</v>
      </c>
      <c r="F109" s="170">
        <v>5</v>
      </c>
      <c r="G109" s="171">
        <v>5</v>
      </c>
      <c r="H109" s="171"/>
      <c r="I109" s="170"/>
      <c r="J109" s="170"/>
      <c r="K109" s="171"/>
      <c r="L109" s="35">
        <f t="shared" si="1"/>
        <v>20</v>
      </c>
    </row>
    <row r="110" spans="1:12" ht="18" customHeight="1" thickBot="1">
      <c r="A110" s="71">
        <v>100</v>
      </c>
      <c r="B110" s="150">
        <v>2032303545</v>
      </c>
      <c r="C110" s="151" t="s">
        <v>202</v>
      </c>
      <c r="D110" s="170">
        <v>5</v>
      </c>
      <c r="E110" s="170">
        <v>5</v>
      </c>
      <c r="F110" s="170">
        <v>5</v>
      </c>
      <c r="G110" s="171">
        <v>5</v>
      </c>
      <c r="H110" s="171"/>
      <c r="I110" s="170"/>
      <c r="J110" s="170"/>
      <c r="K110" s="171"/>
      <c r="L110" s="35">
        <f t="shared" si="1"/>
        <v>20</v>
      </c>
    </row>
    <row r="111" spans="1:12" ht="18" customHeight="1" thickBot="1">
      <c r="A111" s="71">
        <v>101</v>
      </c>
      <c r="B111" s="150">
        <v>2032303543</v>
      </c>
      <c r="C111" s="151" t="s">
        <v>200</v>
      </c>
      <c r="D111" s="170">
        <v>0</v>
      </c>
      <c r="E111" s="170">
        <v>0</v>
      </c>
      <c r="F111" s="170">
        <v>0</v>
      </c>
      <c r="G111" s="171">
        <v>0</v>
      </c>
      <c r="H111" s="171"/>
      <c r="I111" s="170"/>
      <c r="J111" s="170"/>
      <c r="K111" s="171"/>
      <c r="L111" s="35">
        <f t="shared" si="1"/>
        <v>0</v>
      </c>
    </row>
    <row r="112" spans="1:12" ht="18" customHeight="1" thickBot="1">
      <c r="A112" s="71">
        <v>102</v>
      </c>
      <c r="B112" s="150">
        <v>2032303526</v>
      </c>
      <c r="C112" s="151" t="s">
        <v>183</v>
      </c>
      <c r="D112" s="170">
        <v>0</v>
      </c>
      <c r="E112" s="170">
        <v>0</v>
      </c>
      <c r="F112" s="170">
        <v>0</v>
      </c>
      <c r="G112" s="171">
        <v>0</v>
      </c>
      <c r="H112" s="171"/>
      <c r="I112" s="170"/>
      <c r="J112" s="170"/>
      <c r="K112" s="171"/>
      <c r="L112" s="35">
        <f t="shared" si="1"/>
        <v>0</v>
      </c>
    </row>
    <row r="113" spans="1:12" ht="18" customHeight="1" thickBot="1">
      <c r="A113" s="71">
        <v>103</v>
      </c>
      <c r="B113" s="150">
        <v>2032303557</v>
      </c>
      <c r="C113" s="151" t="s">
        <v>214</v>
      </c>
      <c r="D113" s="170">
        <v>0</v>
      </c>
      <c r="E113" s="170">
        <v>0</v>
      </c>
      <c r="F113" s="170">
        <v>0</v>
      </c>
      <c r="G113" s="171">
        <v>0</v>
      </c>
      <c r="H113" s="171"/>
      <c r="I113" s="170"/>
      <c r="J113" s="170"/>
      <c r="K113" s="171"/>
      <c r="L113" s="35">
        <f t="shared" si="1"/>
        <v>0</v>
      </c>
    </row>
    <row r="114" spans="1:12" ht="18" customHeight="1" thickBot="1">
      <c r="A114" s="71">
        <v>104</v>
      </c>
      <c r="B114" s="150">
        <v>2032303506</v>
      </c>
      <c r="C114" s="151" t="s">
        <v>163</v>
      </c>
      <c r="D114" s="170">
        <v>0</v>
      </c>
      <c r="E114" s="170">
        <v>0</v>
      </c>
      <c r="F114" s="170">
        <v>0</v>
      </c>
      <c r="G114" s="171">
        <v>0</v>
      </c>
      <c r="H114" s="171"/>
      <c r="I114" s="170"/>
      <c r="J114" s="170"/>
      <c r="K114" s="171"/>
      <c r="L114" s="35">
        <f t="shared" si="1"/>
        <v>0</v>
      </c>
    </row>
    <row r="115" spans="1:12" ht="18" customHeight="1" thickBot="1">
      <c r="A115" s="71">
        <v>105</v>
      </c>
      <c r="B115" s="150">
        <v>2032303537</v>
      </c>
      <c r="C115" s="151" t="s">
        <v>194</v>
      </c>
      <c r="D115" s="170">
        <v>0</v>
      </c>
      <c r="E115" s="170">
        <v>0</v>
      </c>
      <c r="F115" s="170">
        <v>0</v>
      </c>
      <c r="G115" s="171">
        <v>0</v>
      </c>
      <c r="H115" s="171"/>
      <c r="I115" s="170"/>
      <c r="J115" s="170"/>
      <c r="K115" s="171"/>
      <c r="L115" s="35">
        <f t="shared" si="1"/>
        <v>0</v>
      </c>
    </row>
    <row r="116" spans="1:12" ht="18" customHeight="1" thickBot="1">
      <c r="A116" s="71">
        <v>106</v>
      </c>
      <c r="B116" s="150">
        <v>2032303558</v>
      </c>
      <c r="C116" s="151" t="s">
        <v>215</v>
      </c>
      <c r="D116" s="170">
        <v>5</v>
      </c>
      <c r="E116" s="170">
        <v>5</v>
      </c>
      <c r="F116" s="170">
        <v>5</v>
      </c>
      <c r="G116" s="171">
        <v>5</v>
      </c>
      <c r="H116" s="171"/>
      <c r="I116" s="170"/>
      <c r="J116" s="170"/>
      <c r="K116" s="171"/>
      <c r="L116" s="35">
        <f t="shared" si="1"/>
        <v>20</v>
      </c>
    </row>
    <row r="117" spans="1:12" ht="18" customHeight="1" thickBot="1">
      <c r="A117" s="71">
        <v>107</v>
      </c>
      <c r="B117" s="150">
        <v>2032303553</v>
      </c>
      <c r="C117" s="151" t="s">
        <v>210</v>
      </c>
      <c r="D117" s="170">
        <v>5</v>
      </c>
      <c r="E117" s="170">
        <v>5</v>
      </c>
      <c r="F117" s="170">
        <v>5</v>
      </c>
      <c r="G117" s="171">
        <v>5</v>
      </c>
      <c r="H117" s="171"/>
      <c r="I117" s="170"/>
      <c r="J117" s="170"/>
      <c r="K117" s="171"/>
      <c r="L117" s="35">
        <f t="shared" si="1"/>
        <v>20</v>
      </c>
    </row>
    <row r="118" spans="1:12" ht="18" customHeight="1">
      <c r="A118" s="71">
        <v>108</v>
      </c>
      <c r="B118" s="150">
        <v>2032303555</v>
      </c>
      <c r="C118" s="151" t="s">
        <v>212</v>
      </c>
      <c r="D118" s="172">
        <v>5</v>
      </c>
      <c r="E118" s="172">
        <v>5</v>
      </c>
      <c r="F118" s="172">
        <v>5</v>
      </c>
      <c r="G118" s="173">
        <v>5</v>
      </c>
      <c r="H118" s="173"/>
      <c r="I118" s="172"/>
      <c r="J118" s="172"/>
      <c r="K118" s="173"/>
      <c r="L118" s="35">
        <f t="shared" si="1"/>
        <v>20</v>
      </c>
    </row>
    <row r="119" spans="1:12" ht="15.75" customHeight="1">
      <c r="A119" s="4" t="s">
        <v>13</v>
      </c>
      <c r="C119" s="53">
        <f>COUNT(A11:A118)</f>
        <v>108</v>
      </c>
      <c r="G119" s="55"/>
      <c r="H119" s="174"/>
      <c r="I119" s="174"/>
      <c r="J119" s="174"/>
      <c r="K119" s="174"/>
    </row>
    <row r="120" spans="1:12" ht="15.75" customHeight="1">
      <c r="A120"/>
      <c r="B120"/>
      <c r="C120"/>
      <c r="D120"/>
      <c r="E120"/>
      <c r="F120"/>
      <c r="G120"/>
      <c r="H120" s="175"/>
      <c r="I120" s="175"/>
      <c r="J120" s="175"/>
      <c r="K120" s="175"/>
      <c r="L120"/>
    </row>
    <row r="121" spans="1:12" ht="15.75" customHeight="1">
      <c r="A121"/>
      <c r="C121"/>
      <c r="D121"/>
      <c r="E121"/>
      <c r="F121"/>
      <c r="G121"/>
      <c r="H121"/>
      <c r="I121"/>
      <c r="J121"/>
      <c r="K121"/>
      <c r="L121"/>
    </row>
    <row r="122" spans="1:12" ht="15.75" customHeight="1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ht="15.75" customHeight="1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ht="15.75" customHeight="1">
      <c r="A124"/>
      <c r="B124"/>
      <c r="C124" t="str">
        <f>Faculty</f>
        <v>Anuja Mali</v>
      </c>
      <c r="D124"/>
      <c r="E124"/>
      <c r="F124"/>
      <c r="G124"/>
      <c r="H124"/>
      <c r="I124"/>
      <c r="J124"/>
      <c r="K124"/>
      <c r="L124"/>
    </row>
    <row r="125" spans="1:12" ht="15.75" customHeight="1">
      <c r="A125" s="83"/>
      <c r="B125" s="83"/>
      <c r="C125" t="str">
        <f>SubjectDetails!E17</f>
        <v>Subject Faculty</v>
      </c>
      <c r="H125" s="2"/>
      <c r="I125" s="147"/>
      <c r="J125" s="147"/>
    </row>
    <row r="126" spans="1:12" ht="15.75" customHeight="1">
      <c r="A126" s="83"/>
      <c r="B126" s="83"/>
      <c r="C126" s="215"/>
      <c r="D126" s="215"/>
      <c r="E126" s="215"/>
      <c r="F126" s="218"/>
      <c r="G126" s="218"/>
      <c r="H126" s="2"/>
      <c r="I126" s="147"/>
      <c r="J126" s="147"/>
      <c r="L126" s="50"/>
    </row>
    <row r="127" spans="1:12" ht="15.75" customHeight="1">
      <c r="A127"/>
      <c r="B127"/>
      <c r="C127" s="84"/>
      <c r="D127" s="84"/>
      <c r="E127" s="84"/>
      <c r="F127" s="218"/>
      <c r="G127" s="218"/>
      <c r="H127"/>
      <c r="I127"/>
      <c r="J127"/>
      <c r="K127" s="2"/>
      <c r="L127" s="50"/>
    </row>
    <row r="128" spans="1:12" ht="15.75" customHeight="1">
      <c r="C128" s="1"/>
      <c r="D128" s="2"/>
      <c r="E128" s="2"/>
      <c r="F128" s="2"/>
      <c r="G128" s="2"/>
      <c r="H128" s="2"/>
      <c r="I128" s="147"/>
      <c r="J128" s="147"/>
      <c r="K128" s="2"/>
      <c r="L128" s="2"/>
    </row>
    <row r="129" spans="1:12" s="37" customFormat="1">
      <c r="A129" s="215" t="str">
        <f>SubjectDetails!A24</f>
        <v>Dr. Ravi Chourasiya</v>
      </c>
      <c r="B129" s="215"/>
      <c r="C129" s="215"/>
      <c r="D129" s="218" t="str">
        <f>SubjectDetails!E24</f>
        <v>Dr. Ashwini Chavan</v>
      </c>
      <c r="E129" s="218"/>
      <c r="F129" s="218"/>
      <c r="G129" s="218"/>
      <c r="H129"/>
      <c r="I129"/>
      <c r="J129"/>
      <c r="K129" s="216" t="str">
        <f>SubjectDetails!H24</f>
        <v>Dr. Priyanka Singh</v>
      </c>
      <c r="L129" s="216"/>
    </row>
    <row r="130" spans="1:12" s="37" customFormat="1">
      <c r="A130" s="215" t="str">
        <f>SubjectDetails!A25</f>
        <v>(College Examination Officer)</v>
      </c>
      <c r="B130" s="215"/>
      <c r="C130" s="215"/>
      <c r="D130" s="218" t="str">
        <f>SubjectDetails!E25</f>
        <v>HOD (MCA)</v>
      </c>
      <c r="E130" s="218"/>
      <c r="F130" s="218"/>
      <c r="G130" s="218"/>
      <c r="H130"/>
      <c r="I130"/>
      <c r="J130"/>
      <c r="K130" s="216" t="str">
        <f>SubjectDetails!H25</f>
        <v>Director</v>
      </c>
      <c r="L130" s="216"/>
    </row>
  </sheetData>
  <sortState ref="A11:I201">
    <sortCondition ref="B11:B201"/>
  </sortState>
  <mergeCells count="22">
    <mergeCell ref="A1:L1"/>
    <mergeCell ref="A2:L2"/>
    <mergeCell ref="A3:L3"/>
    <mergeCell ref="A4:L4"/>
    <mergeCell ref="A7:A10"/>
    <mergeCell ref="B7:B10"/>
    <mergeCell ref="L9:L10"/>
    <mergeCell ref="A5:L5"/>
    <mergeCell ref="A129:C129"/>
    <mergeCell ref="K129:L129"/>
    <mergeCell ref="A130:C130"/>
    <mergeCell ref="K130:L130"/>
    <mergeCell ref="D129:G129"/>
    <mergeCell ref="D130:G130"/>
    <mergeCell ref="C126:E126"/>
    <mergeCell ref="F126:G126"/>
    <mergeCell ref="F127:G127"/>
    <mergeCell ref="A6:B6"/>
    <mergeCell ref="L7:L8"/>
    <mergeCell ref="D6:L6"/>
    <mergeCell ref="D7:K7"/>
    <mergeCell ref="C7:C8"/>
  </mergeCells>
  <pageMargins left="0.7" right="0.7" top="0.75" bottom="0.75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1"/>
  <sheetViews>
    <sheetView workbookViewId="0">
      <selection activeCell="D9" sqref="D9:G10"/>
    </sheetView>
  </sheetViews>
  <sheetFormatPr defaultColWidth="12.7109375" defaultRowHeight="15.75" customHeight="1"/>
  <cols>
    <col min="1" max="1" width="9.28515625" style="1" customWidth="1"/>
    <col min="2" max="2" width="18.28515625" style="1" customWidth="1"/>
    <col min="3" max="3" width="44.28515625" style="54" bestFit="1" customWidth="1"/>
    <col min="4" max="13" width="7.7109375" style="54" customWidth="1"/>
    <col min="14" max="14" width="15.28515625" style="55" customWidth="1"/>
    <col min="15" max="16384" width="12.7109375" style="7"/>
  </cols>
  <sheetData>
    <row r="1" spans="1:14" ht="21" customHeight="1">
      <c r="A1" s="208" t="s">
        <v>73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</row>
    <row r="2" spans="1:14" ht="25.15" customHeight="1">
      <c r="A2" s="209" t="s">
        <v>74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</row>
    <row r="3" spans="1:14" ht="21.6" customHeight="1">
      <c r="A3" s="210" t="s">
        <v>75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</row>
    <row r="4" spans="1:14" ht="19.899999999999999" customHeight="1">
      <c r="A4" s="210" t="s">
        <v>9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</row>
    <row r="5" spans="1:14" s="39" customFormat="1" ht="32.450000000000003" customHeight="1">
      <c r="A5" s="286" t="s">
        <v>5</v>
      </c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8"/>
    </row>
    <row r="6" spans="1:14" s="39" customFormat="1" ht="36" customHeight="1">
      <c r="A6" s="289" t="str">
        <f>CONCATENATE(Class," ", spl)</f>
        <v xml:space="preserve">MCA I SEM I AY 2023-24 </v>
      </c>
      <c r="B6" s="289"/>
      <c r="C6" s="116" t="str">
        <f>CONCATENATE("Name of Faculty: ", Faculty)</f>
        <v>Name of Faculty: Anuja Mali</v>
      </c>
      <c r="D6" s="276" t="str">
        <f>CONCATENATE("Course Name: ", Sub_Code)</f>
        <v>Course Name: Lab IT11L</v>
      </c>
      <c r="E6" s="279"/>
      <c r="F6" s="279"/>
      <c r="G6" s="279"/>
      <c r="H6" s="279"/>
      <c r="I6" s="279"/>
      <c r="J6" s="279"/>
      <c r="K6" s="279"/>
      <c r="L6" s="279"/>
      <c r="M6" s="279"/>
      <c r="N6" s="277"/>
    </row>
    <row r="7" spans="1:14" ht="18" customHeight="1">
      <c r="A7" s="281" t="s">
        <v>0</v>
      </c>
      <c r="B7" s="281" t="s">
        <v>6</v>
      </c>
      <c r="C7" s="272" t="s">
        <v>1</v>
      </c>
      <c r="D7" s="280" t="s">
        <v>95</v>
      </c>
      <c r="E7" s="280"/>
      <c r="F7" s="280"/>
      <c r="G7" s="280"/>
      <c r="H7" s="280"/>
      <c r="I7" s="280"/>
      <c r="J7" s="280"/>
      <c r="K7" s="280"/>
      <c r="L7" s="280"/>
      <c r="M7" s="280"/>
      <c r="N7" s="278" t="s">
        <v>49</v>
      </c>
    </row>
    <row r="8" spans="1:14" ht="18" customHeight="1">
      <c r="A8" s="282"/>
      <c r="B8" s="282"/>
      <c r="C8" s="273"/>
      <c r="D8" s="121" t="s">
        <v>99</v>
      </c>
      <c r="E8" s="121" t="s">
        <v>219</v>
      </c>
      <c r="F8" s="121" t="s">
        <v>220</v>
      </c>
      <c r="G8" s="121" t="s">
        <v>221</v>
      </c>
      <c r="H8" s="121"/>
      <c r="I8" s="121"/>
      <c r="J8" s="121"/>
      <c r="K8" s="121"/>
      <c r="L8" s="121"/>
      <c r="M8" s="121"/>
      <c r="N8" s="278"/>
    </row>
    <row r="9" spans="1:14" ht="18" customHeight="1">
      <c r="A9" s="282"/>
      <c r="B9" s="282"/>
      <c r="C9" s="85" t="s">
        <v>72</v>
      </c>
      <c r="D9" s="122">
        <v>5</v>
      </c>
      <c r="E9" s="122">
        <v>5</v>
      </c>
      <c r="F9" s="122">
        <v>5</v>
      </c>
      <c r="G9" s="122">
        <v>5</v>
      </c>
      <c r="H9" s="122"/>
      <c r="I9" s="122"/>
      <c r="J9" s="122"/>
      <c r="K9" s="122"/>
      <c r="L9" s="122"/>
      <c r="M9" s="122"/>
      <c r="N9" s="259">
        <f>D9+E9+F9+G9+H9+I9+J9+K9+L9+M9</f>
        <v>20</v>
      </c>
    </row>
    <row r="10" spans="1:14" ht="18" customHeight="1" thickBot="1">
      <c r="A10" s="283"/>
      <c r="B10" s="284"/>
      <c r="C10" s="85" t="s">
        <v>100</v>
      </c>
      <c r="D10" s="120" t="s">
        <v>2</v>
      </c>
      <c r="E10" s="120" t="s">
        <v>3</v>
      </c>
      <c r="F10" s="120" t="s">
        <v>4</v>
      </c>
      <c r="G10" s="120" t="s">
        <v>10</v>
      </c>
      <c r="H10" s="120"/>
      <c r="I10" s="120"/>
      <c r="J10" s="120"/>
      <c r="K10" s="120"/>
      <c r="L10" s="120"/>
      <c r="M10" s="120"/>
      <c r="N10" s="260"/>
    </row>
    <row r="11" spans="1:14" ht="18" customHeight="1" thickBot="1">
      <c r="A11" s="117">
        <v>1</v>
      </c>
      <c r="B11" s="150">
        <v>22101</v>
      </c>
      <c r="C11" s="151" t="s">
        <v>108</v>
      </c>
      <c r="D11" s="170">
        <v>5</v>
      </c>
      <c r="E11" s="170">
        <v>5</v>
      </c>
      <c r="F11" s="170">
        <v>5</v>
      </c>
      <c r="G11" s="171">
        <v>5</v>
      </c>
      <c r="H11" s="171"/>
      <c r="I11" s="152"/>
      <c r="J11" s="152"/>
      <c r="K11" s="152"/>
      <c r="L11" s="152"/>
      <c r="M11" s="152"/>
      <c r="N11" s="35">
        <f t="shared" ref="N11:N74" si="0">IF(D11&lt;&gt;"AB",SUM(D11:M11),"AB")</f>
        <v>20</v>
      </c>
    </row>
    <row r="12" spans="1:14" ht="18" customHeight="1" thickBot="1">
      <c r="A12" s="117">
        <v>2</v>
      </c>
      <c r="B12" s="150">
        <v>22102</v>
      </c>
      <c r="C12" s="151" t="s">
        <v>109</v>
      </c>
      <c r="D12" s="170">
        <v>5</v>
      </c>
      <c r="E12" s="170">
        <v>5</v>
      </c>
      <c r="F12" s="170">
        <v>5</v>
      </c>
      <c r="G12" s="171">
        <v>5</v>
      </c>
      <c r="H12" s="171"/>
      <c r="I12" s="152"/>
      <c r="J12" s="152"/>
      <c r="K12" s="152"/>
      <c r="L12" s="152"/>
      <c r="M12" s="152"/>
      <c r="N12" s="35">
        <f t="shared" si="0"/>
        <v>20</v>
      </c>
    </row>
    <row r="13" spans="1:14" ht="18" customHeight="1" thickBot="1">
      <c r="A13" s="117">
        <v>3</v>
      </c>
      <c r="B13" s="150">
        <v>22103</v>
      </c>
      <c r="C13" s="151" t="s">
        <v>110</v>
      </c>
      <c r="D13" s="170">
        <v>5</v>
      </c>
      <c r="E13" s="170">
        <v>5</v>
      </c>
      <c r="F13" s="170">
        <v>5</v>
      </c>
      <c r="G13" s="171">
        <v>5</v>
      </c>
      <c r="H13" s="171"/>
      <c r="I13" s="152"/>
      <c r="J13" s="152"/>
      <c r="K13" s="152"/>
      <c r="L13" s="152"/>
      <c r="M13" s="152"/>
      <c r="N13" s="35">
        <f t="shared" si="0"/>
        <v>20</v>
      </c>
    </row>
    <row r="14" spans="1:14" ht="18" customHeight="1" thickBot="1">
      <c r="A14" s="117">
        <v>4</v>
      </c>
      <c r="B14" s="150">
        <v>22104</v>
      </c>
      <c r="C14" s="151" t="s">
        <v>111</v>
      </c>
      <c r="D14" s="170">
        <v>5</v>
      </c>
      <c r="E14" s="170">
        <v>5</v>
      </c>
      <c r="F14" s="170">
        <v>5</v>
      </c>
      <c r="G14" s="171">
        <v>5</v>
      </c>
      <c r="H14" s="171"/>
      <c r="I14" s="152"/>
      <c r="J14" s="152"/>
      <c r="K14" s="152"/>
      <c r="L14" s="152"/>
      <c r="M14" s="152"/>
      <c r="N14" s="35">
        <f t="shared" si="0"/>
        <v>20</v>
      </c>
    </row>
    <row r="15" spans="1:14" ht="18" customHeight="1" thickBot="1">
      <c r="A15" s="117">
        <v>5</v>
      </c>
      <c r="B15" s="150">
        <v>22105</v>
      </c>
      <c r="C15" s="151" t="s">
        <v>112</v>
      </c>
      <c r="D15" s="170">
        <v>5</v>
      </c>
      <c r="E15" s="170">
        <v>5</v>
      </c>
      <c r="F15" s="170">
        <v>5</v>
      </c>
      <c r="G15" s="171">
        <v>5</v>
      </c>
      <c r="H15" s="171"/>
      <c r="I15" s="152"/>
      <c r="J15" s="152"/>
      <c r="K15" s="152"/>
      <c r="L15" s="152"/>
      <c r="M15" s="152"/>
      <c r="N15" s="35">
        <f t="shared" si="0"/>
        <v>20</v>
      </c>
    </row>
    <row r="16" spans="1:14" ht="18" customHeight="1" thickBot="1">
      <c r="A16" s="117">
        <v>6</v>
      </c>
      <c r="B16" s="150">
        <v>22106</v>
      </c>
      <c r="C16" s="151" t="s">
        <v>113</v>
      </c>
      <c r="D16" s="170">
        <v>5</v>
      </c>
      <c r="E16" s="170">
        <v>5</v>
      </c>
      <c r="F16" s="170">
        <v>5</v>
      </c>
      <c r="G16" s="171">
        <v>5</v>
      </c>
      <c r="H16" s="171"/>
      <c r="I16" s="152"/>
      <c r="J16" s="152"/>
      <c r="K16" s="152"/>
      <c r="L16" s="152"/>
      <c r="M16" s="152"/>
      <c r="N16" s="35">
        <f t="shared" si="0"/>
        <v>20</v>
      </c>
    </row>
    <row r="17" spans="1:14" ht="18" customHeight="1" thickBot="1">
      <c r="A17" s="117">
        <v>7</v>
      </c>
      <c r="B17" s="150">
        <v>22107</v>
      </c>
      <c r="C17" s="151" t="s">
        <v>114</v>
      </c>
      <c r="D17" s="170">
        <v>5</v>
      </c>
      <c r="E17" s="170">
        <v>5</v>
      </c>
      <c r="F17" s="170">
        <v>5</v>
      </c>
      <c r="G17" s="171">
        <v>5</v>
      </c>
      <c r="H17" s="171"/>
      <c r="I17" s="152"/>
      <c r="J17" s="152"/>
      <c r="K17" s="152"/>
      <c r="L17" s="152"/>
      <c r="M17" s="152"/>
      <c r="N17" s="35">
        <f t="shared" si="0"/>
        <v>20</v>
      </c>
    </row>
    <row r="18" spans="1:14" ht="18" customHeight="1" thickBot="1">
      <c r="A18" s="117">
        <v>8</v>
      </c>
      <c r="B18" s="150">
        <v>22108</v>
      </c>
      <c r="C18" s="151" t="s">
        <v>115</v>
      </c>
      <c r="D18" s="170">
        <v>5</v>
      </c>
      <c r="E18" s="170">
        <v>5</v>
      </c>
      <c r="F18" s="170">
        <v>5</v>
      </c>
      <c r="G18" s="171">
        <v>5</v>
      </c>
      <c r="H18" s="171"/>
      <c r="I18" s="152"/>
      <c r="J18" s="152"/>
      <c r="K18" s="152"/>
      <c r="L18" s="152"/>
      <c r="M18" s="152"/>
      <c r="N18" s="35">
        <f t="shared" si="0"/>
        <v>20</v>
      </c>
    </row>
    <row r="19" spans="1:14" ht="18" customHeight="1" thickBot="1">
      <c r="A19" s="117">
        <v>9</v>
      </c>
      <c r="B19" s="150">
        <v>22109</v>
      </c>
      <c r="C19" s="151" t="s">
        <v>116</v>
      </c>
      <c r="D19" s="170">
        <v>5</v>
      </c>
      <c r="E19" s="170">
        <v>5</v>
      </c>
      <c r="F19" s="170">
        <v>5</v>
      </c>
      <c r="G19" s="171">
        <v>5</v>
      </c>
      <c r="H19" s="171"/>
      <c r="I19" s="152"/>
      <c r="J19" s="152"/>
      <c r="K19" s="152"/>
      <c r="L19" s="152"/>
      <c r="M19" s="152"/>
      <c r="N19" s="35">
        <f t="shared" si="0"/>
        <v>20</v>
      </c>
    </row>
    <row r="20" spans="1:14" ht="18" customHeight="1" thickBot="1">
      <c r="A20" s="117">
        <v>10</v>
      </c>
      <c r="B20" s="150">
        <v>22110</v>
      </c>
      <c r="C20" s="151" t="s">
        <v>117</v>
      </c>
      <c r="D20" s="170">
        <v>5</v>
      </c>
      <c r="E20" s="170">
        <v>5</v>
      </c>
      <c r="F20" s="170">
        <v>5</v>
      </c>
      <c r="G20" s="171">
        <v>5</v>
      </c>
      <c r="H20" s="171"/>
      <c r="I20" s="152"/>
      <c r="J20" s="152"/>
      <c r="K20" s="152"/>
      <c r="L20" s="152"/>
      <c r="M20" s="152"/>
      <c r="N20" s="35">
        <f t="shared" si="0"/>
        <v>20</v>
      </c>
    </row>
    <row r="21" spans="1:14" ht="18" customHeight="1" thickBot="1">
      <c r="A21" s="117">
        <v>11</v>
      </c>
      <c r="B21" s="150">
        <v>22111</v>
      </c>
      <c r="C21" s="151" t="s">
        <v>118</v>
      </c>
      <c r="D21" s="170">
        <v>5</v>
      </c>
      <c r="E21" s="170">
        <v>5</v>
      </c>
      <c r="F21" s="170">
        <v>5</v>
      </c>
      <c r="G21" s="171">
        <v>5</v>
      </c>
      <c r="H21" s="171"/>
      <c r="I21" s="152"/>
      <c r="J21" s="152"/>
      <c r="K21" s="152"/>
      <c r="L21" s="152"/>
      <c r="M21" s="152"/>
      <c r="N21" s="35">
        <f t="shared" si="0"/>
        <v>20</v>
      </c>
    </row>
    <row r="22" spans="1:14" ht="18" customHeight="1" thickBot="1">
      <c r="A22" s="117">
        <v>12</v>
      </c>
      <c r="B22" s="150">
        <v>22112</v>
      </c>
      <c r="C22" s="151" t="s">
        <v>119</v>
      </c>
      <c r="D22" s="170">
        <v>5</v>
      </c>
      <c r="E22" s="170">
        <v>5</v>
      </c>
      <c r="F22" s="170">
        <v>5</v>
      </c>
      <c r="G22" s="171">
        <v>5</v>
      </c>
      <c r="H22" s="171"/>
      <c r="I22" s="152"/>
      <c r="J22" s="152"/>
      <c r="K22" s="152"/>
      <c r="L22" s="152"/>
      <c r="M22" s="152"/>
      <c r="N22" s="35">
        <f t="shared" si="0"/>
        <v>20</v>
      </c>
    </row>
    <row r="23" spans="1:14" ht="18" customHeight="1" thickBot="1">
      <c r="A23" s="117">
        <v>13</v>
      </c>
      <c r="B23" s="150">
        <v>22113</v>
      </c>
      <c r="C23" s="151" t="s">
        <v>120</v>
      </c>
      <c r="D23" s="170">
        <v>5</v>
      </c>
      <c r="E23" s="170">
        <v>5</v>
      </c>
      <c r="F23" s="170">
        <v>5</v>
      </c>
      <c r="G23" s="171">
        <v>5</v>
      </c>
      <c r="H23" s="171"/>
      <c r="I23" s="152"/>
      <c r="J23" s="152"/>
      <c r="K23" s="152"/>
      <c r="L23" s="152"/>
      <c r="M23" s="152"/>
      <c r="N23" s="35">
        <f t="shared" si="0"/>
        <v>20</v>
      </c>
    </row>
    <row r="24" spans="1:14" ht="18" customHeight="1" thickBot="1">
      <c r="A24" s="117">
        <v>14</v>
      </c>
      <c r="B24" s="150">
        <v>22114</v>
      </c>
      <c r="C24" s="151" t="s">
        <v>121</v>
      </c>
      <c r="D24" s="170">
        <v>5</v>
      </c>
      <c r="E24" s="170">
        <v>5</v>
      </c>
      <c r="F24" s="170">
        <v>5</v>
      </c>
      <c r="G24" s="171">
        <v>5</v>
      </c>
      <c r="H24" s="171"/>
      <c r="I24" s="152"/>
      <c r="J24" s="152"/>
      <c r="K24" s="152"/>
      <c r="L24" s="152"/>
      <c r="M24" s="152"/>
      <c r="N24" s="35">
        <f t="shared" si="0"/>
        <v>20</v>
      </c>
    </row>
    <row r="25" spans="1:14" ht="18" customHeight="1" thickBot="1">
      <c r="A25" s="117">
        <v>15</v>
      </c>
      <c r="B25" s="150">
        <v>22115</v>
      </c>
      <c r="C25" s="151" t="s">
        <v>122</v>
      </c>
      <c r="D25" s="170">
        <v>5</v>
      </c>
      <c r="E25" s="170">
        <v>5</v>
      </c>
      <c r="F25" s="170">
        <v>5</v>
      </c>
      <c r="G25" s="171">
        <v>5</v>
      </c>
      <c r="H25" s="171"/>
      <c r="I25" s="152"/>
      <c r="J25" s="152"/>
      <c r="K25" s="152"/>
      <c r="L25" s="152"/>
      <c r="M25" s="152"/>
      <c r="N25" s="35">
        <f t="shared" si="0"/>
        <v>20</v>
      </c>
    </row>
    <row r="26" spans="1:14" ht="18" customHeight="1" thickBot="1">
      <c r="A26" s="117">
        <v>16</v>
      </c>
      <c r="B26" s="150">
        <v>22116</v>
      </c>
      <c r="C26" s="151" t="s">
        <v>123</v>
      </c>
      <c r="D26" s="170">
        <v>5</v>
      </c>
      <c r="E26" s="170">
        <v>5</v>
      </c>
      <c r="F26" s="170">
        <v>5</v>
      </c>
      <c r="G26" s="171">
        <v>5</v>
      </c>
      <c r="H26" s="171"/>
      <c r="I26" s="152"/>
      <c r="J26" s="152"/>
      <c r="K26" s="152"/>
      <c r="L26" s="152"/>
      <c r="M26" s="152"/>
      <c r="N26" s="35">
        <f t="shared" si="0"/>
        <v>20</v>
      </c>
    </row>
    <row r="27" spans="1:14" ht="18" customHeight="1" thickBot="1">
      <c r="A27" s="117">
        <v>17</v>
      </c>
      <c r="B27" s="150">
        <v>22117</v>
      </c>
      <c r="C27" s="151" t="s">
        <v>124</v>
      </c>
      <c r="D27" s="170">
        <v>5</v>
      </c>
      <c r="E27" s="170">
        <v>5</v>
      </c>
      <c r="F27" s="170">
        <v>5</v>
      </c>
      <c r="G27" s="171">
        <v>5</v>
      </c>
      <c r="H27" s="171"/>
      <c r="I27" s="152"/>
      <c r="J27" s="152"/>
      <c r="K27" s="152"/>
      <c r="L27" s="152"/>
      <c r="M27" s="152"/>
      <c r="N27" s="35">
        <f t="shared" si="0"/>
        <v>20</v>
      </c>
    </row>
    <row r="28" spans="1:14" ht="18" customHeight="1" thickBot="1">
      <c r="A28" s="117">
        <v>18</v>
      </c>
      <c r="B28" s="150">
        <v>22118</v>
      </c>
      <c r="C28" s="151" t="s">
        <v>125</v>
      </c>
      <c r="D28" s="170">
        <v>5</v>
      </c>
      <c r="E28" s="170">
        <v>5</v>
      </c>
      <c r="F28" s="170">
        <v>5</v>
      </c>
      <c r="G28" s="171">
        <v>5</v>
      </c>
      <c r="H28" s="171"/>
      <c r="I28" s="152"/>
      <c r="J28" s="152"/>
      <c r="K28" s="152"/>
      <c r="L28" s="152"/>
      <c r="M28" s="152"/>
      <c r="N28" s="35">
        <f t="shared" si="0"/>
        <v>20</v>
      </c>
    </row>
    <row r="29" spans="1:14" ht="18" customHeight="1" thickBot="1">
      <c r="A29" s="117">
        <v>19</v>
      </c>
      <c r="B29" s="150">
        <v>22119</v>
      </c>
      <c r="C29" s="151" t="s">
        <v>126</v>
      </c>
      <c r="D29" s="170">
        <v>5</v>
      </c>
      <c r="E29" s="170">
        <v>5</v>
      </c>
      <c r="F29" s="170">
        <v>5</v>
      </c>
      <c r="G29" s="171">
        <v>5</v>
      </c>
      <c r="H29" s="171"/>
      <c r="I29" s="152"/>
      <c r="J29" s="152"/>
      <c r="K29" s="152"/>
      <c r="L29" s="152"/>
      <c r="M29" s="152"/>
      <c r="N29" s="35">
        <f t="shared" si="0"/>
        <v>20</v>
      </c>
    </row>
    <row r="30" spans="1:14" ht="18" customHeight="1" thickBot="1">
      <c r="A30" s="117">
        <v>20</v>
      </c>
      <c r="B30" s="150">
        <v>22120</v>
      </c>
      <c r="C30" s="151" t="s">
        <v>127</v>
      </c>
      <c r="D30" s="170">
        <v>5</v>
      </c>
      <c r="E30" s="170">
        <v>5</v>
      </c>
      <c r="F30" s="170">
        <v>5</v>
      </c>
      <c r="G30" s="171">
        <v>5</v>
      </c>
      <c r="H30" s="171"/>
      <c r="I30" s="152"/>
      <c r="J30" s="152"/>
      <c r="K30" s="152"/>
      <c r="L30" s="152"/>
      <c r="M30" s="152"/>
      <c r="N30" s="35">
        <f t="shared" si="0"/>
        <v>20</v>
      </c>
    </row>
    <row r="31" spans="1:14" ht="18" customHeight="1" thickBot="1">
      <c r="A31" s="117">
        <v>21</v>
      </c>
      <c r="B31" s="150">
        <v>22121</v>
      </c>
      <c r="C31" s="151" t="s">
        <v>128</v>
      </c>
      <c r="D31" s="170">
        <v>5</v>
      </c>
      <c r="E31" s="170">
        <v>5</v>
      </c>
      <c r="F31" s="170">
        <v>5</v>
      </c>
      <c r="G31" s="171">
        <v>5</v>
      </c>
      <c r="H31" s="171"/>
      <c r="I31" s="152"/>
      <c r="J31" s="152"/>
      <c r="K31" s="152"/>
      <c r="L31" s="152"/>
      <c r="M31" s="152"/>
      <c r="N31" s="35">
        <f t="shared" si="0"/>
        <v>20</v>
      </c>
    </row>
    <row r="32" spans="1:14" ht="18" customHeight="1" thickBot="1">
      <c r="A32" s="117">
        <v>22</v>
      </c>
      <c r="B32" s="150">
        <v>22122</v>
      </c>
      <c r="C32" s="151" t="s">
        <v>129</v>
      </c>
      <c r="D32" s="170">
        <v>5</v>
      </c>
      <c r="E32" s="170">
        <v>5</v>
      </c>
      <c r="F32" s="170">
        <v>5</v>
      </c>
      <c r="G32" s="171">
        <v>5</v>
      </c>
      <c r="H32" s="171"/>
      <c r="I32" s="152"/>
      <c r="J32" s="152"/>
      <c r="K32" s="152"/>
      <c r="L32" s="152"/>
      <c r="M32" s="152"/>
      <c r="N32" s="35">
        <f t="shared" si="0"/>
        <v>20</v>
      </c>
    </row>
    <row r="33" spans="1:14" ht="18" customHeight="1" thickBot="1">
      <c r="A33" s="117">
        <v>23</v>
      </c>
      <c r="B33" s="150">
        <v>22123</v>
      </c>
      <c r="C33" s="151" t="s">
        <v>130</v>
      </c>
      <c r="D33" s="170">
        <v>5</v>
      </c>
      <c r="E33" s="170">
        <v>5</v>
      </c>
      <c r="F33" s="170">
        <v>5</v>
      </c>
      <c r="G33" s="171">
        <v>5</v>
      </c>
      <c r="H33" s="171"/>
      <c r="I33" s="152"/>
      <c r="J33" s="152"/>
      <c r="K33" s="152"/>
      <c r="L33" s="152"/>
      <c r="M33" s="152"/>
      <c r="N33" s="35">
        <f t="shared" si="0"/>
        <v>20</v>
      </c>
    </row>
    <row r="34" spans="1:14" ht="18" customHeight="1" thickBot="1">
      <c r="A34" s="117">
        <v>24</v>
      </c>
      <c r="B34" s="150">
        <v>22124</v>
      </c>
      <c r="C34" s="151" t="s">
        <v>131</v>
      </c>
      <c r="D34" s="170">
        <v>5</v>
      </c>
      <c r="E34" s="170">
        <v>5</v>
      </c>
      <c r="F34" s="170">
        <v>5</v>
      </c>
      <c r="G34" s="171">
        <v>5</v>
      </c>
      <c r="H34" s="171"/>
      <c r="I34" s="152"/>
      <c r="J34" s="152"/>
      <c r="K34" s="152"/>
      <c r="L34" s="152"/>
      <c r="M34" s="152"/>
      <c r="N34" s="35">
        <f t="shared" si="0"/>
        <v>20</v>
      </c>
    </row>
    <row r="35" spans="1:14" ht="18" customHeight="1" thickBot="1">
      <c r="A35" s="117">
        <v>25</v>
      </c>
      <c r="B35" s="150">
        <v>22125</v>
      </c>
      <c r="C35" s="151" t="s">
        <v>132</v>
      </c>
      <c r="D35" s="170">
        <v>5</v>
      </c>
      <c r="E35" s="170">
        <v>5</v>
      </c>
      <c r="F35" s="170">
        <v>5</v>
      </c>
      <c r="G35" s="171">
        <v>5</v>
      </c>
      <c r="H35" s="171"/>
      <c r="I35" s="152"/>
      <c r="J35" s="152"/>
      <c r="K35" s="152"/>
      <c r="L35" s="152"/>
      <c r="M35" s="152"/>
      <c r="N35" s="35">
        <f t="shared" si="0"/>
        <v>20</v>
      </c>
    </row>
    <row r="36" spans="1:14" ht="18" customHeight="1" thickBot="1">
      <c r="A36" s="117">
        <v>26</v>
      </c>
      <c r="B36" s="150">
        <v>22126</v>
      </c>
      <c r="C36" s="151" t="s">
        <v>133</v>
      </c>
      <c r="D36" s="170">
        <v>5</v>
      </c>
      <c r="E36" s="170">
        <v>5</v>
      </c>
      <c r="F36" s="170">
        <v>5</v>
      </c>
      <c r="G36" s="171">
        <v>5</v>
      </c>
      <c r="H36" s="171"/>
      <c r="I36" s="152"/>
      <c r="J36" s="152"/>
      <c r="K36" s="152"/>
      <c r="L36" s="152"/>
      <c r="M36" s="152"/>
      <c r="N36" s="35">
        <f t="shared" si="0"/>
        <v>20</v>
      </c>
    </row>
    <row r="37" spans="1:14" ht="18" customHeight="1" thickBot="1">
      <c r="A37" s="117">
        <v>27</v>
      </c>
      <c r="B37" s="150">
        <v>22127</v>
      </c>
      <c r="C37" s="151" t="s">
        <v>134</v>
      </c>
      <c r="D37" s="170">
        <v>5</v>
      </c>
      <c r="E37" s="170">
        <v>5</v>
      </c>
      <c r="F37" s="170">
        <v>5</v>
      </c>
      <c r="G37" s="171">
        <v>5</v>
      </c>
      <c r="H37" s="171"/>
      <c r="I37" s="152"/>
      <c r="J37" s="152"/>
      <c r="K37" s="152"/>
      <c r="L37" s="152"/>
      <c r="M37" s="152"/>
      <c r="N37" s="35">
        <f t="shared" si="0"/>
        <v>20</v>
      </c>
    </row>
    <row r="38" spans="1:14" ht="18" customHeight="1" thickBot="1">
      <c r="A38" s="117">
        <v>28</v>
      </c>
      <c r="B38" s="150">
        <v>22128</v>
      </c>
      <c r="C38" s="151" t="s">
        <v>135</v>
      </c>
      <c r="D38" s="170">
        <v>5</v>
      </c>
      <c r="E38" s="170">
        <v>5</v>
      </c>
      <c r="F38" s="170">
        <v>5</v>
      </c>
      <c r="G38" s="171">
        <v>5</v>
      </c>
      <c r="H38" s="171"/>
      <c r="I38" s="152"/>
      <c r="J38" s="152"/>
      <c r="K38" s="152"/>
      <c r="L38" s="152"/>
      <c r="M38" s="152"/>
      <c r="N38" s="35">
        <f t="shared" si="0"/>
        <v>20</v>
      </c>
    </row>
    <row r="39" spans="1:14" ht="18" customHeight="1" thickBot="1">
      <c r="A39" s="117">
        <v>29</v>
      </c>
      <c r="B39" s="150">
        <v>22129</v>
      </c>
      <c r="C39" s="151" t="s">
        <v>136</v>
      </c>
      <c r="D39" s="170">
        <v>5</v>
      </c>
      <c r="E39" s="170">
        <v>5</v>
      </c>
      <c r="F39" s="170">
        <v>5</v>
      </c>
      <c r="G39" s="171">
        <v>5</v>
      </c>
      <c r="H39" s="171"/>
      <c r="I39" s="152"/>
      <c r="J39" s="152"/>
      <c r="K39" s="152"/>
      <c r="L39" s="152"/>
      <c r="M39" s="152"/>
      <c r="N39" s="35">
        <f t="shared" si="0"/>
        <v>20</v>
      </c>
    </row>
    <row r="40" spans="1:14" ht="18" customHeight="1" thickBot="1">
      <c r="A40" s="117">
        <v>30</v>
      </c>
      <c r="B40" s="150">
        <v>22130</v>
      </c>
      <c r="C40" s="151" t="s">
        <v>137</v>
      </c>
      <c r="D40" s="170">
        <v>5</v>
      </c>
      <c r="E40" s="170">
        <v>5</v>
      </c>
      <c r="F40" s="170">
        <v>5</v>
      </c>
      <c r="G40" s="171">
        <v>5</v>
      </c>
      <c r="H40" s="171"/>
      <c r="I40" s="152"/>
      <c r="J40" s="152"/>
      <c r="K40" s="152"/>
      <c r="L40" s="152"/>
      <c r="M40" s="152"/>
      <c r="N40" s="35">
        <f t="shared" si="0"/>
        <v>20</v>
      </c>
    </row>
    <row r="41" spans="1:14" ht="18" customHeight="1" thickBot="1">
      <c r="A41" s="117">
        <v>31</v>
      </c>
      <c r="B41" s="150">
        <v>22131</v>
      </c>
      <c r="C41" s="151" t="s">
        <v>138</v>
      </c>
      <c r="D41" s="170">
        <v>5</v>
      </c>
      <c r="E41" s="170">
        <v>5</v>
      </c>
      <c r="F41" s="170">
        <v>5</v>
      </c>
      <c r="G41" s="171">
        <v>5</v>
      </c>
      <c r="H41" s="171"/>
      <c r="I41" s="152"/>
      <c r="J41" s="152"/>
      <c r="K41" s="152"/>
      <c r="L41" s="152"/>
      <c r="M41" s="152"/>
      <c r="N41" s="35">
        <f t="shared" si="0"/>
        <v>20</v>
      </c>
    </row>
    <row r="42" spans="1:14" ht="18" customHeight="1" thickBot="1">
      <c r="A42" s="117">
        <v>32</v>
      </c>
      <c r="B42" s="150">
        <v>22132</v>
      </c>
      <c r="C42" s="151" t="s">
        <v>139</v>
      </c>
      <c r="D42" s="170">
        <v>5</v>
      </c>
      <c r="E42" s="170">
        <v>5</v>
      </c>
      <c r="F42" s="170">
        <v>5</v>
      </c>
      <c r="G42" s="171">
        <v>5</v>
      </c>
      <c r="H42" s="171"/>
      <c r="I42" s="152"/>
      <c r="J42" s="152"/>
      <c r="K42" s="152"/>
      <c r="L42" s="152"/>
      <c r="M42" s="152"/>
      <c r="N42" s="35">
        <f t="shared" si="0"/>
        <v>20</v>
      </c>
    </row>
    <row r="43" spans="1:14" ht="18" customHeight="1" thickBot="1">
      <c r="A43" s="117">
        <v>33</v>
      </c>
      <c r="B43" s="150">
        <v>22133</v>
      </c>
      <c r="C43" s="151" t="s">
        <v>140</v>
      </c>
      <c r="D43" s="170">
        <v>5</v>
      </c>
      <c r="E43" s="170">
        <v>5</v>
      </c>
      <c r="F43" s="170">
        <v>5</v>
      </c>
      <c r="G43" s="171">
        <v>5</v>
      </c>
      <c r="H43" s="171"/>
      <c r="I43" s="152"/>
      <c r="J43" s="152"/>
      <c r="K43" s="152"/>
      <c r="L43" s="152"/>
      <c r="M43" s="152"/>
      <c r="N43" s="35">
        <f t="shared" si="0"/>
        <v>20</v>
      </c>
    </row>
    <row r="44" spans="1:14" ht="18" customHeight="1" thickBot="1">
      <c r="A44" s="117">
        <v>34</v>
      </c>
      <c r="B44" s="150">
        <v>22134</v>
      </c>
      <c r="C44" s="151" t="s">
        <v>141</v>
      </c>
      <c r="D44" s="170">
        <v>5</v>
      </c>
      <c r="E44" s="170">
        <v>5</v>
      </c>
      <c r="F44" s="170">
        <v>5</v>
      </c>
      <c r="G44" s="171">
        <v>5</v>
      </c>
      <c r="H44" s="171"/>
      <c r="I44" s="152"/>
      <c r="J44" s="152"/>
      <c r="K44" s="152"/>
      <c r="L44" s="152"/>
      <c r="M44" s="152"/>
      <c r="N44" s="35">
        <f t="shared" si="0"/>
        <v>20</v>
      </c>
    </row>
    <row r="45" spans="1:14" ht="18" customHeight="1" thickBot="1">
      <c r="A45" s="117">
        <v>35</v>
      </c>
      <c r="B45" s="150">
        <v>22135</v>
      </c>
      <c r="C45" s="151" t="s">
        <v>142</v>
      </c>
      <c r="D45" s="170">
        <v>5</v>
      </c>
      <c r="E45" s="170">
        <v>5</v>
      </c>
      <c r="F45" s="170">
        <v>5</v>
      </c>
      <c r="G45" s="171">
        <v>5</v>
      </c>
      <c r="H45" s="171"/>
      <c r="I45" s="152"/>
      <c r="J45" s="152"/>
      <c r="K45" s="152"/>
      <c r="L45" s="152"/>
      <c r="M45" s="152"/>
      <c r="N45" s="35">
        <f t="shared" si="0"/>
        <v>20</v>
      </c>
    </row>
    <row r="46" spans="1:14" ht="18" customHeight="1" thickBot="1">
      <c r="A46" s="117">
        <v>36</v>
      </c>
      <c r="B46" s="150">
        <v>22136</v>
      </c>
      <c r="C46" s="151" t="s">
        <v>143</v>
      </c>
      <c r="D46" s="170">
        <v>5</v>
      </c>
      <c r="E46" s="170">
        <v>5</v>
      </c>
      <c r="F46" s="170">
        <v>5</v>
      </c>
      <c r="G46" s="171">
        <v>5</v>
      </c>
      <c r="H46" s="171"/>
      <c r="I46" s="152"/>
      <c r="J46" s="152"/>
      <c r="K46" s="152"/>
      <c r="L46" s="152"/>
      <c r="M46" s="152"/>
      <c r="N46" s="35">
        <f t="shared" si="0"/>
        <v>20</v>
      </c>
    </row>
    <row r="47" spans="1:14" ht="18" customHeight="1" thickBot="1">
      <c r="A47" s="117">
        <v>37</v>
      </c>
      <c r="B47" s="150">
        <v>22137</v>
      </c>
      <c r="C47" s="151" t="s">
        <v>144</v>
      </c>
      <c r="D47" s="170">
        <v>5</v>
      </c>
      <c r="E47" s="170">
        <v>5</v>
      </c>
      <c r="F47" s="170">
        <v>5</v>
      </c>
      <c r="G47" s="171">
        <v>5</v>
      </c>
      <c r="H47" s="171"/>
      <c r="I47" s="152"/>
      <c r="J47" s="152"/>
      <c r="K47" s="152"/>
      <c r="L47" s="152"/>
      <c r="M47" s="152"/>
      <c r="N47" s="35">
        <f t="shared" si="0"/>
        <v>20</v>
      </c>
    </row>
    <row r="48" spans="1:14" ht="18" customHeight="1" thickBot="1">
      <c r="A48" s="117">
        <v>38</v>
      </c>
      <c r="B48" s="150">
        <v>22138</v>
      </c>
      <c r="C48" s="151" t="s">
        <v>145</v>
      </c>
      <c r="D48" s="170">
        <v>5</v>
      </c>
      <c r="E48" s="170">
        <v>5</v>
      </c>
      <c r="F48" s="170">
        <v>5</v>
      </c>
      <c r="G48" s="171">
        <v>5</v>
      </c>
      <c r="H48" s="171"/>
      <c r="I48" s="152"/>
      <c r="J48" s="152"/>
      <c r="K48" s="152"/>
      <c r="L48" s="152"/>
      <c r="M48" s="152"/>
      <c r="N48" s="35">
        <f t="shared" si="0"/>
        <v>20</v>
      </c>
    </row>
    <row r="49" spans="1:14" ht="18" customHeight="1" thickBot="1">
      <c r="A49" s="117">
        <v>39</v>
      </c>
      <c r="B49" s="150">
        <v>22139</v>
      </c>
      <c r="C49" s="151" t="s">
        <v>146</v>
      </c>
      <c r="D49" s="170">
        <v>5</v>
      </c>
      <c r="E49" s="170">
        <v>5</v>
      </c>
      <c r="F49" s="170">
        <v>5</v>
      </c>
      <c r="G49" s="171">
        <v>5</v>
      </c>
      <c r="H49" s="171"/>
      <c r="I49" s="152"/>
      <c r="J49" s="152"/>
      <c r="K49" s="152"/>
      <c r="L49" s="152"/>
      <c r="M49" s="152"/>
      <c r="N49" s="35">
        <f t="shared" si="0"/>
        <v>20</v>
      </c>
    </row>
    <row r="50" spans="1:14" ht="18" customHeight="1" thickBot="1">
      <c r="A50" s="117">
        <v>40</v>
      </c>
      <c r="B50" s="150">
        <v>22140</v>
      </c>
      <c r="C50" s="151" t="s">
        <v>147</v>
      </c>
      <c r="D50" s="170">
        <v>5</v>
      </c>
      <c r="E50" s="170">
        <v>5</v>
      </c>
      <c r="F50" s="170">
        <v>5</v>
      </c>
      <c r="G50" s="171">
        <v>5</v>
      </c>
      <c r="H50" s="171"/>
      <c r="I50" s="152"/>
      <c r="J50" s="152"/>
      <c r="K50" s="152"/>
      <c r="L50" s="152"/>
      <c r="M50" s="152"/>
      <c r="N50" s="35">
        <f t="shared" si="0"/>
        <v>20</v>
      </c>
    </row>
    <row r="51" spans="1:14" ht="18" customHeight="1" thickBot="1">
      <c r="A51" s="117">
        <v>41</v>
      </c>
      <c r="B51" s="150">
        <v>22141</v>
      </c>
      <c r="C51" s="151" t="s">
        <v>148</v>
      </c>
      <c r="D51" s="170">
        <v>5</v>
      </c>
      <c r="E51" s="170">
        <v>5</v>
      </c>
      <c r="F51" s="170">
        <v>5</v>
      </c>
      <c r="G51" s="171">
        <v>5</v>
      </c>
      <c r="H51" s="171"/>
      <c r="I51" s="152"/>
      <c r="J51" s="152"/>
      <c r="K51" s="152"/>
      <c r="L51" s="152"/>
      <c r="M51" s="152"/>
      <c r="N51" s="35">
        <f t="shared" si="0"/>
        <v>20</v>
      </c>
    </row>
    <row r="52" spans="1:14" ht="18" customHeight="1" thickBot="1">
      <c r="A52" s="117">
        <v>42</v>
      </c>
      <c r="B52" s="150">
        <v>22142</v>
      </c>
      <c r="C52" s="151" t="s">
        <v>149</v>
      </c>
      <c r="D52" s="170">
        <v>5</v>
      </c>
      <c r="E52" s="170">
        <v>5</v>
      </c>
      <c r="F52" s="170">
        <v>5</v>
      </c>
      <c r="G52" s="171">
        <v>5</v>
      </c>
      <c r="H52" s="171"/>
      <c r="I52" s="152"/>
      <c r="J52" s="152"/>
      <c r="K52" s="152"/>
      <c r="L52" s="152"/>
      <c r="M52" s="152"/>
      <c r="N52" s="35">
        <f t="shared" si="0"/>
        <v>20</v>
      </c>
    </row>
    <row r="53" spans="1:14" ht="18" customHeight="1" thickBot="1">
      <c r="A53" s="117">
        <v>43</v>
      </c>
      <c r="B53" s="150">
        <v>22143</v>
      </c>
      <c r="C53" s="151" t="s">
        <v>150</v>
      </c>
      <c r="D53" s="170">
        <v>5</v>
      </c>
      <c r="E53" s="170">
        <v>5</v>
      </c>
      <c r="F53" s="170">
        <v>5</v>
      </c>
      <c r="G53" s="171">
        <v>5</v>
      </c>
      <c r="H53" s="171"/>
      <c r="I53" s="152"/>
      <c r="J53" s="152"/>
      <c r="K53" s="152"/>
      <c r="L53" s="152"/>
      <c r="M53" s="152"/>
      <c r="N53" s="35">
        <f t="shared" si="0"/>
        <v>20</v>
      </c>
    </row>
    <row r="54" spans="1:14" ht="18" customHeight="1" thickBot="1">
      <c r="A54" s="117">
        <v>44</v>
      </c>
      <c r="B54" s="150">
        <v>22144</v>
      </c>
      <c r="C54" s="151" t="s">
        <v>151</v>
      </c>
      <c r="D54" s="170">
        <v>5</v>
      </c>
      <c r="E54" s="170">
        <v>5</v>
      </c>
      <c r="F54" s="170">
        <v>5</v>
      </c>
      <c r="G54" s="171">
        <v>5</v>
      </c>
      <c r="H54" s="171"/>
      <c r="I54" s="152"/>
      <c r="J54" s="152"/>
      <c r="K54" s="152"/>
      <c r="L54" s="152"/>
      <c r="M54" s="152"/>
      <c r="N54" s="35">
        <f t="shared" si="0"/>
        <v>20</v>
      </c>
    </row>
    <row r="55" spans="1:14" ht="18" customHeight="1" thickBot="1">
      <c r="A55" s="117">
        <v>45</v>
      </c>
      <c r="B55" s="150">
        <v>22145</v>
      </c>
      <c r="C55" s="151" t="s">
        <v>152</v>
      </c>
      <c r="D55" s="170">
        <v>5</v>
      </c>
      <c r="E55" s="170">
        <v>5</v>
      </c>
      <c r="F55" s="170">
        <v>5</v>
      </c>
      <c r="G55" s="171">
        <v>5</v>
      </c>
      <c r="H55" s="171"/>
      <c r="I55" s="152"/>
      <c r="J55" s="152"/>
      <c r="K55" s="152"/>
      <c r="L55" s="152"/>
      <c r="M55" s="152"/>
      <c r="N55" s="35">
        <f t="shared" si="0"/>
        <v>20</v>
      </c>
    </row>
    <row r="56" spans="1:14" ht="18" customHeight="1" thickBot="1">
      <c r="A56" s="117">
        <v>46</v>
      </c>
      <c r="B56" s="150">
        <v>22146</v>
      </c>
      <c r="C56" s="151" t="s">
        <v>153</v>
      </c>
      <c r="D56" s="170">
        <v>5</v>
      </c>
      <c r="E56" s="170">
        <v>5</v>
      </c>
      <c r="F56" s="170">
        <v>5</v>
      </c>
      <c r="G56" s="171">
        <v>5</v>
      </c>
      <c r="H56" s="171"/>
      <c r="I56" s="152"/>
      <c r="J56" s="152"/>
      <c r="K56" s="152"/>
      <c r="L56" s="152"/>
      <c r="M56" s="152"/>
      <c r="N56" s="35">
        <f t="shared" si="0"/>
        <v>20</v>
      </c>
    </row>
    <row r="57" spans="1:14" ht="18" customHeight="1" thickBot="1">
      <c r="A57" s="117">
        <v>47</v>
      </c>
      <c r="B57" s="150">
        <v>22147</v>
      </c>
      <c r="C57" s="151" t="s">
        <v>154</v>
      </c>
      <c r="D57" s="170">
        <v>5</v>
      </c>
      <c r="E57" s="170">
        <v>5</v>
      </c>
      <c r="F57" s="170">
        <v>5</v>
      </c>
      <c r="G57" s="171">
        <v>5</v>
      </c>
      <c r="H57" s="171"/>
      <c r="I57" s="152"/>
      <c r="J57" s="152"/>
      <c r="K57" s="152"/>
      <c r="L57" s="152"/>
      <c r="M57" s="152"/>
      <c r="N57" s="35">
        <f t="shared" si="0"/>
        <v>20</v>
      </c>
    </row>
    <row r="58" spans="1:14" ht="18" customHeight="1" thickBot="1">
      <c r="A58" s="117">
        <v>48</v>
      </c>
      <c r="B58" s="150">
        <v>22148</v>
      </c>
      <c r="C58" s="151" t="s">
        <v>155</v>
      </c>
      <c r="D58" s="170">
        <v>5</v>
      </c>
      <c r="E58" s="170">
        <v>5</v>
      </c>
      <c r="F58" s="170">
        <v>5</v>
      </c>
      <c r="G58" s="171">
        <v>5</v>
      </c>
      <c r="H58" s="171"/>
      <c r="I58" s="152"/>
      <c r="J58" s="152"/>
      <c r="K58" s="152"/>
      <c r="L58" s="152"/>
      <c r="M58" s="152"/>
      <c r="N58" s="35">
        <f t="shared" si="0"/>
        <v>20</v>
      </c>
    </row>
    <row r="59" spans="1:14" ht="18" customHeight="1" thickBot="1">
      <c r="A59" s="117">
        <v>49</v>
      </c>
      <c r="B59" s="150">
        <v>22149</v>
      </c>
      <c r="C59" s="151" t="s">
        <v>156</v>
      </c>
      <c r="D59" s="170">
        <v>5</v>
      </c>
      <c r="E59" s="170">
        <v>5</v>
      </c>
      <c r="F59" s="170">
        <v>5</v>
      </c>
      <c r="G59" s="171">
        <v>5</v>
      </c>
      <c r="H59" s="171"/>
      <c r="I59" s="152"/>
      <c r="J59" s="152"/>
      <c r="K59" s="152"/>
      <c r="L59" s="152"/>
      <c r="M59" s="152"/>
      <c r="N59" s="35">
        <f t="shared" si="0"/>
        <v>20</v>
      </c>
    </row>
    <row r="60" spans="1:14" ht="18" customHeight="1" thickBot="1">
      <c r="A60" s="117">
        <v>50</v>
      </c>
      <c r="B60" s="150">
        <v>22150</v>
      </c>
      <c r="C60" s="151" t="s">
        <v>157</v>
      </c>
      <c r="D60" s="170">
        <v>5</v>
      </c>
      <c r="E60" s="170">
        <v>5</v>
      </c>
      <c r="F60" s="170">
        <v>5</v>
      </c>
      <c r="G60" s="171">
        <v>5</v>
      </c>
      <c r="H60" s="171"/>
      <c r="I60" s="152"/>
      <c r="J60" s="152"/>
      <c r="K60" s="152"/>
      <c r="L60" s="152"/>
      <c r="M60" s="152"/>
      <c r="N60" s="35">
        <f t="shared" si="0"/>
        <v>20</v>
      </c>
    </row>
    <row r="61" spans="1:14" ht="18" customHeight="1" thickBot="1">
      <c r="A61" s="117">
        <v>51</v>
      </c>
      <c r="B61" s="150">
        <v>22151</v>
      </c>
      <c r="C61" s="151" t="s">
        <v>158</v>
      </c>
      <c r="D61" s="170">
        <v>5</v>
      </c>
      <c r="E61" s="170">
        <v>5</v>
      </c>
      <c r="F61" s="170">
        <v>5</v>
      </c>
      <c r="G61" s="171">
        <v>5</v>
      </c>
      <c r="H61" s="171"/>
      <c r="I61" s="152"/>
      <c r="J61" s="152"/>
      <c r="K61" s="152"/>
      <c r="L61" s="152"/>
      <c r="M61" s="152"/>
      <c r="N61" s="35">
        <f t="shared" si="0"/>
        <v>20</v>
      </c>
    </row>
    <row r="62" spans="1:14" ht="18" customHeight="1" thickBot="1">
      <c r="A62" s="117">
        <v>52</v>
      </c>
      <c r="B62" s="150">
        <v>22152</v>
      </c>
      <c r="C62" s="151" t="s">
        <v>159</v>
      </c>
      <c r="D62" s="170">
        <v>5</v>
      </c>
      <c r="E62" s="170">
        <v>5</v>
      </c>
      <c r="F62" s="170">
        <v>5</v>
      </c>
      <c r="G62" s="171">
        <v>5</v>
      </c>
      <c r="H62" s="171"/>
      <c r="I62" s="152"/>
      <c r="J62" s="152"/>
      <c r="K62" s="152"/>
      <c r="L62" s="152"/>
      <c r="M62" s="152"/>
      <c r="N62" s="35">
        <f t="shared" si="0"/>
        <v>20</v>
      </c>
    </row>
    <row r="63" spans="1:14" ht="18" customHeight="1" thickBot="1">
      <c r="A63" s="117">
        <v>53</v>
      </c>
      <c r="B63" s="150">
        <v>22153</v>
      </c>
      <c r="C63" s="151" t="s">
        <v>160</v>
      </c>
      <c r="D63" s="170">
        <v>5</v>
      </c>
      <c r="E63" s="170">
        <v>5</v>
      </c>
      <c r="F63" s="170">
        <v>5</v>
      </c>
      <c r="G63" s="171">
        <v>5</v>
      </c>
      <c r="H63" s="171"/>
      <c r="I63" s="152"/>
      <c r="J63" s="152"/>
      <c r="K63" s="152"/>
      <c r="L63" s="152"/>
      <c r="M63" s="152"/>
      <c r="N63" s="35">
        <f t="shared" si="0"/>
        <v>20</v>
      </c>
    </row>
    <row r="64" spans="1:14" ht="18" customHeight="1" thickBot="1">
      <c r="A64" s="117">
        <v>54</v>
      </c>
      <c r="B64" s="150">
        <v>22154</v>
      </c>
      <c r="C64" s="151" t="s">
        <v>161</v>
      </c>
      <c r="D64" s="170">
        <v>5</v>
      </c>
      <c r="E64" s="170">
        <v>5</v>
      </c>
      <c r="F64" s="170">
        <v>5</v>
      </c>
      <c r="G64" s="171">
        <v>5</v>
      </c>
      <c r="H64" s="171"/>
      <c r="I64" s="152"/>
      <c r="J64" s="152"/>
      <c r="K64" s="152"/>
      <c r="L64" s="152"/>
      <c r="M64" s="152"/>
      <c r="N64" s="35">
        <f t="shared" si="0"/>
        <v>20</v>
      </c>
    </row>
    <row r="65" spans="1:14" ht="18" customHeight="1" thickBot="1">
      <c r="A65" s="117">
        <v>55</v>
      </c>
      <c r="B65" s="150">
        <v>22155</v>
      </c>
      <c r="C65" s="151" t="s">
        <v>162</v>
      </c>
      <c r="D65" s="170">
        <v>5</v>
      </c>
      <c r="E65" s="170">
        <v>5</v>
      </c>
      <c r="F65" s="170">
        <v>5</v>
      </c>
      <c r="G65" s="171">
        <v>5</v>
      </c>
      <c r="H65" s="171"/>
      <c r="I65" s="152"/>
      <c r="J65" s="152"/>
      <c r="K65" s="152"/>
      <c r="L65" s="152"/>
      <c r="M65" s="152"/>
      <c r="N65" s="35">
        <f t="shared" si="0"/>
        <v>20</v>
      </c>
    </row>
    <row r="66" spans="1:14" ht="18" customHeight="1" thickBot="1">
      <c r="A66" s="117">
        <v>56</v>
      </c>
      <c r="B66" s="150">
        <v>22156</v>
      </c>
      <c r="C66" s="151" t="s">
        <v>163</v>
      </c>
      <c r="D66" s="170">
        <v>5</v>
      </c>
      <c r="E66" s="170">
        <v>5</v>
      </c>
      <c r="F66" s="170">
        <v>5</v>
      </c>
      <c r="G66" s="171">
        <v>5</v>
      </c>
      <c r="H66" s="171"/>
      <c r="I66" s="152"/>
      <c r="J66" s="152"/>
      <c r="K66" s="152"/>
      <c r="L66" s="152"/>
      <c r="M66" s="152"/>
      <c r="N66" s="35">
        <f t="shared" si="0"/>
        <v>20</v>
      </c>
    </row>
    <row r="67" spans="1:14" ht="18" customHeight="1" thickBot="1">
      <c r="A67" s="117">
        <v>57</v>
      </c>
      <c r="B67" s="150">
        <v>22157</v>
      </c>
      <c r="C67" s="151" t="s">
        <v>164</v>
      </c>
      <c r="D67" s="170">
        <v>5</v>
      </c>
      <c r="E67" s="170">
        <v>5</v>
      </c>
      <c r="F67" s="170">
        <v>5</v>
      </c>
      <c r="G67" s="171">
        <v>5</v>
      </c>
      <c r="H67" s="171"/>
      <c r="I67" s="152"/>
      <c r="J67" s="152"/>
      <c r="K67" s="152"/>
      <c r="L67" s="152"/>
      <c r="M67" s="152"/>
      <c r="N67" s="35">
        <f t="shared" si="0"/>
        <v>20</v>
      </c>
    </row>
    <row r="68" spans="1:14" ht="18" customHeight="1" thickBot="1">
      <c r="A68" s="117">
        <v>58</v>
      </c>
      <c r="B68" s="150">
        <v>22158</v>
      </c>
      <c r="C68" s="151" t="s">
        <v>165</v>
      </c>
      <c r="D68" s="170">
        <v>5</v>
      </c>
      <c r="E68" s="170">
        <v>5</v>
      </c>
      <c r="F68" s="170">
        <v>5</v>
      </c>
      <c r="G68" s="171">
        <v>5</v>
      </c>
      <c r="H68" s="171"/>
      <c r="I68" s="152"/>
      <c r="J68" s="152"/>
      <c r="K68" s="152"/>
      <c r="L68" s="152"/>
      <c r="M68" s="152"/>
      <c r="N68" s="35">
        <f t="shared" si="0"/>
        <v>20</v>
      </c>
    </row>
    <row r="69" spans="1:14" ht="18" customHeight="1" thickBot="1">
      <c r="A69" s="117">
        <v>59</v>
      </c>
      <c r="B69" s="150">
        <v>22159</v>
      </c>
      <c r="C69" s="151" t="s">
        <v>166</v>
      </c>
      <c r="D69" s="170">
        <v>5</v>
      </c>
      <c r="E69" s="170">
        <v>5</v>
      </c>
      <c r="F69" s="170">
        <v>5</v>
      </c>
      <c r="G69" s="171">
        <v>5</v>
      </c>
      <c r="H69" s="171"/>
      <c r="I69" s="152"/>
      <c r="J69" s="152"/>
      <c r="K69" s="152"/>
      <c r="L69" s="152"/>
      <c r="M69" s="152"/>
      <c r="N69" s="35">
        <f t="shared" si="0"/>
        <v>20</v>
      </c>
    </row>
    <row r="70" spans="1:14" ht="18" customHeight="1" thickBot="1">
      <c r="A70" s="117">
        <v>60</v>
      </c>
      <c r="B70" s="150">
        <v>22160</v>
      </c>
      <c r="C70" s="151" t="s">
        <v>167</v>
      </c>
      <c r="D70" s="170">
        <v>5</v>
      </c>
      <c r="E70" s="170">
        <v>5</v>
      </c>
      <c r="F70" s="170">
        <v>5</v>
      </c>
      <c r="G70" s="171">
        <v>5</v>
      </c>
      <c r="H70" s="171"/>
      <c r="I70" s="152"/>
      <c r="J70" s="152"/>
      <c r="K70" s="152"/>
      <c r="L70" s="152"/>
      <c r="M70" s="152"/>
      <c r="N70" s="35">
        <f t="shared" si="0"/>
        <v>20</v>
      </c>
    </row>
    <row r="71" spans="1:14" ht="18" customHeight="1" thickBot="1">
      <c r="A71" s="117">
        <v>61</v>
      </c>
      <c r="B71" s="150">
        <v>22161</v>
      </c>
      <c r="C71" s="151" t="s">
        <v>168</v>
      </c>
      <c r="D71" s="170">
        <v>5</v>
      </c>
      <c r="E71" s="170">
        <v>5</v>
      </c>
      <c r="F71" s="170">
        <v>5</v>
      </c>
      <c r="G71" s="171">
        <v>5</v>
      </c>
      <c r="H71" s="171"/>
      <c r="I71" s="152"/>
      <c r="J71" s="152"/>
      <c r="K71" s="152"/>
      <c r="L71" s="152"/>
      <c r="M71" s="152"/>
      <c r="N71" s="35">
        <f t="shared" si="0"/>
        <v>20</v>
      </c>
    </row>
    <row r="72" spans="1:14" ht="18" customHeight="1" thickBot="1">
      <c r="A72" s="117">
        <v>62</v>
      </c>
      <c r="B72" s="150">
        <v>22162</v>
      </c>
      <c r="C72" s="151" t="s">
        <v>169</v>
      </c>
      <c r="D72" s="170">
        <v>5</v>
      </c>
      <c r="E72" s="170">
        <v>5</v>
      </c>
      <c r="F72" s="170">
        <v>5</v>
      </c>
      <c r="G72" s="171">
        <v>5</v>
      </c>
      <c r="H72" s="171"/>
      <c r="I72" s="152"/>
      <c r="J72" s="152"/>
      <c r="K72" s="152"/>
      <c r="L72" s="152"/>
      <c r="M72" s="152"/>
      <c r="N72" s="35">
        <f t="shared" si="0"/>
        <v>20</v>
      </c>
    </row>
    <row r="73" spans="1:14" ht="18" customHeight="1" thickBot="1">
      <c r="A73" s="117">
        <v>63</v>
      </c>
      <c r="B73" s="150">
        <v>22163</v>
      </c>
      <c r="C73" s="151" t="s">
        <v>170</v>
      </c>
      <c r="D73" s="170">
        <v>5</v>
      </c>
      <c r="E73" s="170">
        <v>5</v>
      </c>
      <c r="F73" s="170">
        <v>5</v>
      </c>
      <c r="G73" s="171">
        <v>5</v>
      </c>
      <c r="H73" s="171"/>
      <c r="I73" s="152"/>
      <c r="J73" s="152"/>
      <c r="K73" s="152"/>
      <c r="L73" s="152"/>
      <c r="M73" s="152"/>
      <c r="N73" s="35">
        <f t="shared" si="0"/>
        <v>20</v>
      </c>
    </row>
    <row r="74" spans="1:14" ht="18" customHeight="1" thickBot="1">
      <c r="A74" s="117">
        <v>64</v>
      </c>
      <c r="B74" s="150">
        <v>22164</v>
      </c>
      <c r="C74" s="151" t="s">
        <v>171</v>
      </c>
      <c r="D74" s="170">
        <v>5</v>
      </c>
      <c r="E74" s="170">
        <v>5</v>
      </c>
      <c r="F74" s="170">
        <v>5</v>
      </c>
      <c r="G74" s="171">
        <v>5</v>
      </c>
      <c r="H74" s="171"/>
      <c r="I74" s="152"/>
      <c r="J74" s="152"/>
      <c r="K74" s="152"/>
      <c r="L74" s="152"/>
      <c r="M74" s="152"/>
      <c r="N74" s="35">
        <f t="shared" si="0"/>
        <v>20</v>
      </c>
    </row>
    <row r="75" spans="1:14" ht="18" customHeight="1" thickBot="1">
      <c r="A75" s="117">
        <v>65</v>
      </c>
      <c r="B75" s="150">
        <v>22165</v>
      </c>
      <c r="C75" s="151" t="s">
        <v>172</v>
      </c>
      <c r="D75" s="170">
        <v>5</v>
      </c>
      <c r="E75" s="170">
        <v>5</v>
      </c>
      <c r="F75" s="170">
        <v>5</v>
      </c>
      <c r="G75" s="171">
        <v>5</v>
      </c>
      <c r="H75" s="171"/>
      <c r="I75" s="152"/>
      <c r="J75" s="152"/>
      <c r="K75" s="152"/>
      <c r="L75" s="152"/>
      <c r="M75" s="152"/>
      <c r="N75" s="35">
        <f t="shared" ref="N75:N118" si="1">IF(D75&lt;&gt;"AB",SUM(D75:M75),"AB")</f>
        <v>20</v>
      </c>
    </row>
    <row r="76" spans="1:14" ht="18" customHeight="1" thickBot="1">
      <c r="A76" s="117">
        <v>66</v>
      </c>
      <c r="B76" s="150">
        <v>22166</v>
      </c>
      <c r="C76" s="151" t="s">
        <v>173</v>
      </c>
      <c r="D76" s="170">
        <v>5</v>
      </c>
      <c r="E76" s="170">
        <v>5</v>
      </c>
      <c r="F76" s="170">
        <v>5</v>
      </c>
      <c r="G76" s="171">
        <v>5</v>
      </c>
      <c r="H76" s="171"/>
      <c r="I76" s="152"/>
      <c r="J76" s="152"/>
      <c r="K76" s="152"/>
      <c r="L76" s="152"/>
      <c r="M76" s="152"/>
      <c r="N76" s="35">
        <f t="shared" si="1"/>
        <v>20</v>
      </c>
    </row>
    <row r="77" spans="1:14" ht="18" customHeight="1" thickBot="1">
      <c r="A77" s="117">
        <v>67</v>
      </c>
      <c r="B77" s="150">
        <v>22167</v>
      </c>
      <c r="C77" s="151" t="s">
        <v>174</v>
      </c>
      <c r="D77" s="170">
        <v>5</v>
      </c>
      <c r="E77" s="170">
        <v>5</v>
      </c>
      <c r="F77" s="170">
        <v>5</v>
      </c>
      <c r="G77" s="171">
        <v>5</v>
      </c>
      <c r="H77" s="171"/>
      <c r="I77" s="152"/>
      <c r="J77" s="152"/>
      <c r="K77" s="152"/>
      <c r="L77" s="152"/>
      <c r="M77" s="152"/>
      <c r="N77" s="35">
        <f t="shared" si="1"/>
        <v>20</v>
      </c>
    </row>
    <row r="78" spans="1:14" ht="18" customHeight="1" thickBot="1">
      <c r="A78" s="117">
        <v>68</v>
      </c>
      <c r="B78" s="150">
        <v>22168</v>
      </c>
      <c r="C78" s="151" t="s">
        <v>175</v>
      </c>
      <c r="D78" s="170">
        <v>5</v>
      </c>
      <c r="E78" s="170">
        <v>5</v>
      </c>
      <c r="F78" s="170">
        <v>5</v>
      </c>
      <c r="G78" s="171">
        <v>5</v>
      </c>
      <c r="H78" s="171"/>
      <c r="I78" s="152"/>
      <c r="J78" s="152"/>
      <c r="K78" s="152"/>
      <c r="L78" s="152"/>
      <c r="M78" s="152"/>
      <c r="N78" s="35">
        <f t="shared" si="1"/>
        <v>20</v>
      </c>
    </row>
    <row r="79" spans="1:14" ht="18" customHeight="1" thickBot="1">
      <c r="A79" s="117">
        <v>69</v>
      </c>
      <c r="B79" s="150">
        <v>22201</v>
      </c>
      <c r="C79" s="151" t="s">
        <v>176</v>
      </c>
      <c r="D79" s="170">
        <v>5</v>
      </c>
      <c r="E79" s="170">
        <v>5</v>
      </c>
      <c r="F79" s="170">
        <v>5</v>
      </c>
      <c r="G79" s="171">
        <v>5</v>
      </c>
      <c r="H79" s="171"/>
      <c r="I79" s="152"/>
      <c r="J79" s="152"/>
      <c r="K79" s="152"/>
      <c r="L79" s="152"/>
      <c r="M79" s="152"/>
      <c r="N79" s="35">
        <f t="shared" si="1"/>
        <v>20</v>
      </c>
    </row>
    <row r="80" spans="1:14" ht="18" customHeight="1" thickBot="1">
      <c r="A80" s="117">
        <v>70</v>
      </c>
      <c r="B80" s="150">
        <v>22202</v>
      </c>
      <c r="C80" s="151" t="s">
        <v>177</v>
      </c>
      <c r="D80" s="170">
        <v>5</v>
      </c>
      <c r="E80" s="170">
        <v>5</v>
      </c>
      <c r="F80" s="170">
        <v>5</v>
      </c>
      <c r="G80" s="171">
        <v>5</v>
      </c>
      <c r="H80" s="171"/>
      <c r="I80" s="152"/>
      <c r="J80" s="152"/>
      <c r="K80" s="152"/>
      <c r="L80" s="152"/>
      <c r="M80" s="152"/>
      <c r="N80" s="35">
        <f t="shared" si="1"/>
        <v>20</v>
      </c>
    </row>
    <row r="81" spans="1:14" ht="18" customHeight="1" thickBot="1">
      <c r="A81" s="117">
        <v>71</v>
      </c>
      <c r="B81" s="150">
        <v>22203</v>
      </c>
      <c r="C81" s="151" t="s">
        <v>178</v>
      </c>
      <c r="D81" s="170">
        <v>5</v>
      </c>
      <c r="E81" s="170">
        <v>5</v>
      </c>
      <c r="F81" s="170">
        <v>5</v>
      </c>
      <c r="G81" s="171">
        <v>5</v>
      </c>
      <c r="H81" s="171"/>
      <c r="I81" s="152"/>
      <c r="J81" s="152"/>
      <c r="K81" s="152"/>
      <c r="L81" s="152"/>
      <c r="M81" s="152"/>
      <c r="N81" s="35">
        <f t="shared" si="1"/>
        <v>20</v>
      </c>
    </row>
    <row r="82" spans="1:14" ht="18" customHeight="1" thickBot="1">
      <c r="A82" s="117">
        <v>72</v>
      </c>
      <c r="B82" s="150">
        <v>22204</v>
      </c>
      <c r="C82" s="151" t="s">
        <v>179</v>
      </c>
      <c r="D82" s="170">
        <v>5</v>
      </c>
      <c r="E82" s="170">
        <v>5</v>
      </c>
      <c r="F82" s="170">
        <v>5</v>
      </c>
      <c r="G82" s="171">
        <v>5</v>
      </c>
      <c r="H82" s="171"/>
      <c r="I82" s="152"/>
      <c r="J82" s="152"/>
      <c r="K82" s="152"/>
      <c r="L82" s="152"/>
      <c r="M82" s="152"/>
      <c r="N82" s="35">
        <f t="shared" si="1"/>
        <v>20</v>
      </c>
    </row>
    <row r="83" spans="1:14" ht="18" customHeight="1" thickBot="1">
      <c r="A83" s="117">
        <v>73</v>
      </c>
      <c r="B83" s="150">
        <v>22205</v>
      </c>
      <c r="C83" s="151" t="s">
        <v>180</v>
      </c>
      <c r="D83" s="170">
        <v>5</v>
      </c>
      <c r="E83" s="170">
        <v>5</v>
      </c>
      <c r="F83" s="170">
        <v>5</v>
      </c>
      <c r="G83" s="171">
        <v>5</v>
      </c>
      <c r="H83" s="171"/>
      <c r="I83" s="152"/>
      <c r="J83" s="152"/>
      <c r="K83" s="152"/>
      <c r="L83" s="152"/>
      <c r="M83" s="152"/>
      <c r="N83" s="35">
        <f t="shared" si="1"/>
        <v>20</v>
      </c>
    </row>
    <row r="84" spans="1:14" ht="18" customHeight="1" thickBot="1">
      <c r="A84" s="117">
        <v>74</v>
      </c>
      <c r="B84" s="150">
        <v>22206</v>
      </c>
      <c r="C84" s="151" t="s">
        <v>181</v>
      </c>
      <c r="D84" s="170">
        <v>5</v>
      </c>
      <c r="E84" s="170">
        <v>5</v>
      </c>
      <c r="F84" s="170">
        <v>5</v>
      </c>
      <c r="G84" s="171">
        <v>5</v>
      </c>
      <c r="H84" s="171"/>
      <c r="I84" s="152"/>
      <c r="J84" s="152"/>
      <c r="K84" s="152"/>
      <c r="L84" s="152"/>
      <c r="M84" s="152"/>
      <c r="N84" s="35">
        <f t="shared" si="1"/>
        <v>20</v>
      </c>
    </row>
    <row r="85" spans="1:14" ht="18" customHeight="1" thickBot="1">
      <c r="A85" s="117">
        <v>75</v>
      </c>
      <c r="B85" s="150">
        <v>22207</v>
      </c>
      <c r="C85" s="151" t="s">
        <v>182</v>
      </c>
      <c r="D85" s="170">
        <v>5</v>
      </c>
      <c r="E85" s="170">
        <v>5</v>
      </c>
      <c r="F85" s="170">
        <v>5</v>
      </c>
      <c r="G85" s="171">
        <v>5</v>
      </c>
      <c r="H85" s="171"/>
      <c r="I85" s="152"/>
      <c r="J85" s="152"/>
      <c r="K85" s="152"/>
      <c r="L85" s="152"/>
      <c r="M85" s="152"/>
      <c r="N85" s="35">
        <f t="shared" si="1"/>
        <v>20</v>
      </c>
    </row>
    <row r="86" spans="1:14" ht="18" customHeight="1" thickBot="1">
      <c r="A86" s="117">
        <v>76</v>
      </c>
      <c r="B86" s="150">
        <v>22208</v>
      </c>
      <c r="C86" s="151" t="s">
        <v>183</v>
      </c>
      <c r="D86" s="170">
        <v>5</v>
      </c>
      <c r="E86" s="170">
        <v>5</v>
      </c>
      <c r="F86" s="170">
        <v>5</v>
      </c>
      <c r="G86" s="171">
        <v>5</v>
      </c>
      <c r="H86" s="171"/>
      <c r="I86" s="152"/>
      <c r="J86" s="152"/>
      <c r="K86" s="152"/>
      <c r="L86" s="152"/>
      <c r="M86" s="152"/>
      <c r="N86" s="35">
        <f t="shared" si="1"/>
        <v>20</v>
      </c>
    </row>
    <row r="87" spans="1:14" ht="18" customHeight="1" thickBot="1">
      <c r="A87" s="117">
        <v>77</v>
      </c>
      <c r="B87" s="150">
        <v>22209</v>
      </c>
      <c r="C87" s="151" t="s">
        <v>184</v>
      </c>
      <c r="D87" s="170">
        <v>5</v>
      </c>
      <c r="E87" s="170">
        <v>5</v>
      </c>
      <c r="F87" s="170">
        <v>5</v>
      </c>
      <c r="G87" s="171">
        <v>5</v>
      </c>
      <c r="H87" s="171"/>
      <c r="I87" s="152"/>
      <c r="J87" s="152"/>
      <c r="K87" s="152"/>
      <c r="L87" s="152"/>
      <c r="M87" s="152"/>
      <c r="N87" s="35">
        <f t="shared" si="1"/>
        <v>20</v>
      </c>
    </row>
    <row r="88" spans="1:14" ht="18" customHeight="1" thickBot="1">
      <c r="A88" s="117">
        <v>78</v>
      </c>
      <c r="B88" s="150">
        <v>22210</v>
      </c>
      <c r="C88" s="151" t="s">
        <v>185</v>
      </c>
      <c r="D88" s="170">
        <v>5</v>
      </c>
      <c r="E88" s="170">
        <v>5</v>
      </c>
      <c r="F88" s="170">
        <v>5</v>
      </c>
      <c r="G88" s="171">
        <v>5</v>
      </c>
      <c r="H88" s="171"/>
      <c r="I88" s="152"/>
      <c r="J88" s="152"/>
      <c r="K88" s="152"/>
      <c r="L88" s="152"/>
      <c r="M88" s="152"/>
      <c r="N88" s="35">
        <f t="shared" si="1"/>
        <v>20</v>
      </c>
    </row>
    <row r="89" spans="1:14" ht="18" customHeight="1" thickBot="1">
      <c r="A89" s="117">
        <v>79</v>
      </c>
      <c r="B89" s="150">
        <v>22211</v>
      </c>
      <c r="C89" s="151" t="s">
        <v>186</v>
      </c>
      <c r="D89" s="170">
        <v>5</v>
      </c>
      <c r="E89" s="170">
        <v>5</v>
      </c>
      <c r="F89" s="170">
        <v>5</v>
      </c>
      <c r="G89" s="171">
        <v>5</v>
      </c>
      <c r="H89" s="171"/>
      <c r="I89" s="152"/>
      <c r="J89" s="152"/>
      <c r="K89" s="152"/>
      <c r="L89" s="152"/>
      <c r="M89" s="152"/>
      <c r="N89" s="35">
        <f t="shared" si="1"/>
        <v>20</v>
      </c>
    </row>
    <row r="90" spans="1:14" ht="18" customHeight="1" thickBot="1">
      <c r="A90" s="117">
        <v>80</v>
      </c>
      <c r="B90" s="150">
        <v>22212</v>
      </c>
      <c r="C90" s="151" t="s">
        <v>187</v>
      </c>
      <c r="D90" s="170">
        <v>5</v>
      </c>
      <c r="E90" s="170">
        <v>5</v>
      </c>
      <c r="F90" s="170">
        <v>5</v>
      </c>
      <c r="G90" s="171">
        <v>5</v>
      </c>
      <c r="H90" s="171"/>
      <c r="I90" s="152"/>
      <c r="J90" s="152"/>
      <c r="K90" s="152"/>
      <c r="L90" s="152"/>
      <c r="M90" s="152"/>
      <c r="N90" s="35">
        <f t="shared" si="1"/>
        <v>20</v>
      </c>
    </row>
    <row r="91" spans="1:14" ht="18" customHeight="1" thickBot="1">
      <c r="A91" s="117">
        <v>81</v>
      </c>
      <c r="B91" s="150">
        <v>22213</v>
      </c>
      <c r="C91" s="151" t="s">
        <v>188</v>
      </c>
      <c r="D91" s="170">
        <v>5</v>
      </c>
      <c r="E91" s="170">
        <v>5</v>
      </c>
      <c r="F91" s="170">
        <v>5</v>
      </c>
      <c r="G91" s="171">
        <v>5</v>
      </c>
      <c r="H91" s="171"/>
      <c r="I91" s="152"/>
      <c r="J91" s="152"/>
      <c r="K91" s="152"/>
      <c r="L91" s="152"/>
      <c r="M91" s="152"/>
      <c r="N91" s="35">
        <f t="shared" si="1"/>
        <v>20</v>
      </c>
    </row>
    <row r="92" spans="1:14" ht="18" customHeight="1" thickBot="1">
      <c r="A92" s="117">
        <v>82</v>
      </c>
      <c r="B92" s="150">
        <v>22214</v>
      </c>
      <c r="C92" s="151" t="s">
        <v>189</v>
      </c>
      <c r="D92" s="170">
        <v>5</v>
      </c>
      <c r="E92" s="170">
        <v>5</v>
      </c>
      <c r="F92" s="170">
        <v>5</v>
      </c>
      <c r="G92" s="171">
        <v>5</v>
      </c>
      <c r="H92" s="171"/>
      <c r="I92" s="152"/>
      <c r="J92" s="152"/>
      <c r="K92" s="152"/>
      <c r="L92" s="152"/>
      <c r="M92" s="152"/>
      <c r="N92" s="35">
        <f t="shared" si="1"/>
        <v>20</v>
      </c>
    </row>
    <row r="93" spans="1:14" ht="18" customHeight="1" thickBot="1">
      <c r="A93" s="117">
        <v>83</v>
      </c>
      <c r="B93" s="150">
        <v>22215</v>
      </c>
      <c r="C93" s="151" t="s">
        <v>190</v>
      </c>
      <c r="D93" s="170">
        <v>5</v>
      </c>
      <c r="E93" s="170">
        <v>5</v>
      </c>
      <c r="F93" s="170">
        <v>5</v>
      </c>
      <c r="G93" s="171">
        <v>5</v>
      </c>
      <c r="H93" s="171"/>
      <c r="I93" s="152"/>
      <c r="J93" s="152"/>
      <c r="K93" s="152"/>
      <c r="L93" s="152"/>
      <c r="M93" s="152"/>
      <c r="N93" s="35">
        <f t="shared" si="1"/>
        <v>20</v>
      </c>
    </row>
    <row r="94" spans="1:14" ht="18" customHeight="1" thickBot="1">
      <c r="A94" s="117">
        <v>84</v>
      </c>
      <c r="B94" s="150">
        <v>22216</v>
      </c>
      <c r="C94" s="151" t="s">
        <v>191</v>
      </c>
      <c r="D94" s="170">
        <v>5</v>
      </c>
      <c r="E94" s="170">
        <v>5</v>
      </c>
      <c r="F94" s="170">
        <v>5</v>
      </c>
      <c r="G94" s="171">
        <v>5</v>
      </c>
      <c r="H94" s="171"/>
      <c r="I94" s="152"/>
      <c r="J94" s="152"/>
      <c r="K94" s="152"/>
      <c r="L94" s="152"/>
      <c r="M94" s="152"/>
      <c r="N94" s="35">
        <f t="shared" si="1"/>
        <v>20</v>
      </c>
    </row>
    <row r="95" spans="1:14" ht="18" customHeight="1" thickBot="1">
      <c r="A95" s="117">
        <v>85</v>
      </c>
      <c r="B95" s="150">
        <v>22217</v>
      </c>
      <c r="C95" s="151" t="s">
        <v>192</v>
      </c>
      <c r="D95" s="170">
        <v>5</v>
      </c>
      <c r="E95" s="170">
        <v>5</v>
      </c>
      <c r="F95" s="170">
        <v>5</v>
      </c>
      <c r="G95" s="171">
        <v>5</v>
      </c>
      <c r="H95" s="171"/>
      <c r="I95" s="152"/>
      <c r="J95" s="152"/>
      <c r="K95" s="152"/>
      <c r="L95" s="152"/>
      <c r="M95" s="152"/>
      <c r="N95" s="35">
        <f t="shared" si="1"/>
        <v>20</v>
      </c>
    </row>
    <row r="96" spans="1:14" ht="18" customHeight="1" thickBot="1">
      <c r="A96" s="117">
        <v>86</v>
      </c>
      <c r="B96" s="150">
        <v>22218</v>
      </c>
      <c r="C96" s="151" t="s">
        <v>193</v>
      </c>
      <c r="D96" s="170">
        <v>5</v>
      </c>
      <c r="E96" s="170">
        <v>5</v>
      </c>
      <c r="F96" s="170">
        <v>5</v>
      </c>
      <c r="G96" s="171">
        <v>5</v>
      </c>
      <c r="H96" s="171"/>
      <c r="I96" s="152"/>
      <c r="J96" s="152"/>
      <c r="K96" s="152"/>
      <c r="L96" s="152"/>
      <c r="M96" s="152"/>
      <c r="N96" s="35">
        <f t="shared" si="1"/>
        <v>20</v>
      </c>
    </row>
    <row r="97" spans="1:14" ht="18" customHeight="1" thickBot="1">
      <c r="A97" s="117">
        <v>87</v>
      </c>
      <c r="B97" s="150">
        <v>22219</v>
      </c>
      <c r="C97" s="151" t="s">
        <v>194</v>
      </c>
      <c r="D97" s="170">
        <v>5</v>
      </c>
      <c r="E97" s="170">
        <v>5</v>
      </c>
      <c r="F97" s="170">
        <v>5</v>
      </c>
      <c r="G97" s="171">
        <v>5</v>
      </c>
      <c r="H97" s="171"/>
      <c r="I97" s="152"/>
      <c r="J97" s="152"/>
      <c r="K97" s="152"/>
      <c r="L97" s="152"/>
      <c r="M97" s="152"/>
      <c r="N97" s="35">
        <f t="shared" si="1"/>
        <v>20</v>
      </c>
    </row>
    <row r="98" spans="1:14" ht="18" customHeight="1" thickBot="1">
      <c r="A98" s="117">
        <v>88</v>
      </c>
      <c r="B98" s="150">
        <v>22220</v>
      </c>
      <c r="C98" s="151" t="s">
        <v>195</v>
      </c>
      <c r="D98" s="170">
        <v>5</v>
      </c>
      <c r="E98" s="170">
        <v>5</v>
      </c>
      <c r="F98" s="170">
        <v>5</v>
      </c>
      <c r="G98" s="171">
        <v>5</v>
      </c>
      <c r="H98" s="171"/>
      <c r="I98" s="152"/>
      <c r="J98" s="152"/>
      <c r="K98" s="152"/>
      <c r="L98" s="152"/>
      <c r="M98" s="152"/>
      <c r="N98" s="35">
        <f t="shared" si="1"/>
        <v>20</v>
      </c>
    </row>
    <row r="99" spans="1:14" ht="18" customHeight="1" thickBot="1">
      <c r="A99" s="117">
        <v>89</v>
      </c>
      <c r="B99" s="150">
        <v>22221</v>
      </c>
      <c r="C99" s="151" t="s">
        <v>196</v>
      </c>
      <c r="D99" s="170">
        <v>5</v>
      </c>
      <c r="E99" s="170">
        <v>5</v>
      </c>
      <c r="F99" s="170">
        <v>5</v>
      </c>
      <c r="G99" s="171">
        <v>5</v>
      </c>
      <c r="H99" s="171"/>
      <c r="I99" s="152"/>
      <c r="J99" s="152"/>
      <c r="K99" s="152"/>
      <c r="L99" s="152"/>
      <c r="M99" s="152"/>
      <c r="N99" s="35">
        <f t="shared" si="1"/>
        <v>20</v>
      </c>
    </row>
    <row r="100" spans="1:14" ht="18" customHeight="1" thickBot="1">
      <c r="A100" s="117">
        <v>90</v>
      </c>
      <c r="B100" s="150">
        <v>22222</v>
      </c>
      <c r="C100" s="151" t="s">
        <v>197</v>
      </c>
      <c r="D100" s="170">
        <v>5</v>
      </c>
      <c r="E100" s="170">
        <v>5</v>
      </c>
      <c r="F100" s="170">
        <v>5</v>
      </c>
      <c r="G100" s="171">
        <v>5</v>
      </c>
      <c r="H100" s="171"/>
      <c r="I100" s="152"/>
      <c r="J100" s="152"/>
      <c r="K100" s="152"/>
      <c r="L100" s="152"/>
      <c r="M100" s="152"/>
      <c r="N100" s="35">
        <f t="shared" si="1"/>
        <v>20</v>
      </c>
    </row>
    <row r="101" spans="1:14" ht="18" customHeight="1" thickBot="1">
      <c r="A101" s="117">
        <v>91</v>
      </c>
      <c r="B101" s="150">
        <v>22223</v>
      </c>
      <c r="C101" s="151" t="s">
        <v>198</v>
      </c>
      <c r="D101" s="170">
        <v>5</v>
      </c>
      <c r="E101" s="170">
        <v>5</v>
      </c>
      <c r="F101" s="170">
        <v>5</v>
      </c>
      <c r="G101" s="171">
        <v>5</v>
      </c>
      <c r="H101" s="171"/>
      <c r="I101" s="152"/>
      <c r="J101" s="152"/>
      <c r="K101" s="152"/>
      <c r="L101" s="152"/>
      <c r="M101" s="152"/>
      <c r="N101" s="35">
        <f t="shared" si="1"/>
        <v>20</v>
      </c>
    </row>
    <row r="102" spans="1:14" ht="18" customHeight="1" thickBot="1">
      <c r="A102" s="117">
        <v>92</v>
      </c>
      <c r="B102" s="150">
        <v>22224</v>
      </c>
      <c r="C102" s="151" t="s">
        <v>199</v>
      </c>
      <c r="D102" s="170">
        <v>5</v>
      </c>
      <c r="E102" s="170">
        <v>5</v>
      </c>
      <c r="F102" s="170">
        <v>5</v>
      </c>
      <c r="G102" s="171">
        <v>5</v>
      </c>
      <c r="H102" s="171"/>
      <c r="I102" s="152"/>
      <c r="J102" s="152"/>
      <c r="K102" s="152"/>
      <c r="L102" s="152"/>
      <c r="M102" s="152"/>
      <c r="N102" s="35">
        <f t="shared" si="1"/>
        <v>20</v>
      </c>
    </row>
    <row r="103" spans="1:14" ht="18" customHeight="1" thickBot="1">
      <c r="A103" s="117">
        <v>93</v>
      </c>
      <c r="B103" s="150">
        <v>22225</v>
      </c>
      <c r="C103" s="151" t="s">
        <v>200</v>
      </c>
      <c r="D103" s="170">
        <v>5</v>
      </c>
      <c r="E103" s="170">
        <v>5</v>
      </c>
      <c r="F103" s="170">
        <v>5</v>
      </c>
      <c r="G103" s="171">
        <v>5</v>
      </c>
      <c r="H103" s="171"/>
      <c r="I103" s="152"/>
      <c r="J103" s="152"/>
      <c r="K103" s="152"/>
      <c r="L103" s="152"/>
      <c r="M103" s="152"/>
      <c r="N103" s="35">
        <f t="shared" si="1"/>
        <v>20</v>
      </c>
    </row>
    <row r="104" spans="1:14" ht="18" customHeight="1" thickBot="1">
      <c r="A104" s="117">
        <v>94</v>
      </c>
      <c r="B104" s="150">
        <v>22226</v>
      </c>
      <c r="C104" s="151" t="s">
        <v>201</v>
      </c>
      <c r="D104" s="170">
        <v>5</v>
      </c>
      <c r="E104" s="170">
        <v>5</v>
      </c>
      <c r="F104" s="170">
        <v>5</v>
      </c>
      <c r="G104" s="171">
        <v>5</v>
      </c>
      <c r="H104" s="171"/>
      <c r="I104" s="152"/>
      <c r="J104" s="152"/>
      <c r="K104" s="152"/>
      <c r="L104" s="152"/>
      <c r="M104" s="152"/>
      <c r="N104" s="35">
        <f t="shared" si="1"/>
        <v>20</v>
      </c>
    </row>
    <row r="105" spans="1:14" ht="18" customHeight="1" thickBot="1">
      <c r="A105" s="117">
        <v>95</v>
      </c>
      <c r="B105" s="150">
        <v>22227</v>
      </c>
      <c r="C105" s="151" t="s">
        <v>202</v>
      </c>
      <c r="D105" s="170">
        <v>5</v>
      </c>
      <c r="E105" s="170">
        <v>5</v>
      </c>
      <c r="F105" s="170">
        <v>5</v>
      </c>
      <c r="G105" s="171">
        <v>5</v>
      </c>
      <c r="H105" s="171"/>
      <c r="I105" s="152"/>
      <c r="J105" s="152"/>
      <c r="K105" s="152"/>
      <c r="L105" s="152"/>
      <c r="M105" s="152"/>
      <c r="N105" s="35">
        <f t="shared" si="1"/>
        <v>20</v>
      </c>
    </row>
    <row r="106" spans="1:14" ht="18" customHeight="1" thickBot="1">
      <c r="A106" s="117">
        <v>96</v>
      </c>
      <c r="B106" s="150">
        <v>22228</v>
      </c>
      <c r="C106" s="151" t="s">
        <v>203</v>
      </c>
      <c r="D106" s="170">
        <v>5</v>
      </c>
      <c r="E106" s="170">
        <v>5</v>
      </c>
      <c r="F106" s="170">
        <v>5</v>
      </c>
      <c r="G106" s="171">
        <v>5</v>
      </c>
      <c r="H106" s="171"/>
      <c r="I106" s="152"/>
      <c r="J106" s="152"/>
      <c r="K106" s="152"/>
      <c r="L106" s="152"/>
      <c r="M106" s="152"/>
      <c r="N106" s="35">
        <f t="shared" si="1"/>
        <v>20</v>
      </c>
    </row>
    <row r="107" spans="1:14" ht="18" customHeight="1" thickBot="1">
      <c r="A107" s="117">
        <v>97</v>
      </c>
      <c r="B107" s="150">
        <v>22229</v>
      </c>
      <c r="C107" s="151" t="s">
        <v>204</v>
      </c>
      <c r="D107" s="170">
        <v>5</v>
      </c>
      <c r="E107" s="170">
        <v>5</v>
      </c>
      <c r="F107" s="170">
        <v>5</v>
      </c>
      <c r="G107" s="171">
        <v>5</v>
      </c>
      <c r="H107" s="171"/>
      <c r="I107" s="152"/>
      <c r="J107" s="152"/>
      <c r="K107" s="152"/>
      <c r="L107" s="152"/>
      <c r="M107" s="152"/>
      <c r="N107" s="35">
        <f t="shared" si="1"/>
        <v>20</v>
      </c>
    </row>
    <row r="108" spans="1:14" ht="18" customHeight="1" thickBot="1">
      <c r="A108" s="117">
        <v>98</v>
      </c>
      <c r="B108" s="150">
        <v>22230</v>
      </c>
      <c r="C108" s="151" t="s">
        <v>205</v>
      </c>
      <c r="D108" s="170">
        <v>5</v>
      </c>
      <c r="E108" s="170">
        <v>5</v>
      </c>
      <c r="F108" s="170">
        <v>5</v>
      </c>
      <c r="G108" s="171">
        <v>5</v>
      </c>
      <c r="H108" s="171"/>
      <c r="I108" s="152"/>
      <c r="J108" s="152"/>
      <c r="K108" s="152"/>
      <c r="L108" s="152"/>
      <c r="M108" s="152"/>
      <c r="N108" s="35">
        <f t="shared" si="1"/>
        <v>20</v>
      </c>
    </row>
    <row r="109" spans="1:14" ht="18" customHeight="1" thickBot="1">
      <c r="A109" s="117">
        <v>99</v>
      </c>
      <c r="B109" s="150">
        <v>22231</v>
      </c>
      <c r="C109" s="151" t="s">
        <v>206</v>
      </c>
      <c r="D109" s="170">
        <v>5</v>
      </c>
      <c r="E109" s="170">
        <v>5</v>
      </c>
      <c r="F109" s="170">
        <v>5</v>
      </c>
      <c r="G109" s="171">
        <v>5</v>
      </c>
      <c r="H109" s="171"/>
      <c r="I109" s="152"/>
      <c r="J109" s="152"/>
      <c r="K109" s="152"/>
      <c r="L109" s="152"/>
      <c r="M109" s="152"/>
      <c r="N109" s="35">
        <f t="shared" si="1"/>
        <v>20</v>
      </c>
    </row>
    <row r="110" spans="1:14" ht="18" customHeight="1" thickBot="1">
      <c r="A110" s="117">
        <v>100</v>
      </c>
      <c r="B110" s="150">
        <v>22232</v>
      </c>
      <c r="C110" s="151" t="s">
        <v>207</v>
      </c>
      <c r="D110" s="170">
        <v>5</v>
      </c>
      <c r="E110" s="170">
        <v>5</v>
      </c>
      <c r="F110" s="170">
        <v>5</v>
      </c>
      <c r="G110" s="171">
        <v>5</v>
      </c>
      <c r="H110" s="171"/>
      <c r="I110" s="152"/>
      <c r="J110" s="152"/>
      <c r="K110" s="152"/>
      <c r="L110" s="152"/>
      <c r="M110" s="152"/>
      <c r="N110" s="35">
        <f t="shared" si="1"/>
        <v>20</v>
      </c>
    </row>
    <row r="111" spans="1:14" ht="18" customHeight="1" thickBot="1">
      <c r="A111" s="117">
        <v>101</v>
      </c>
      <c r="B111" s="150">
        <v>22233</v>
      </c>
      <c r="C111" s="151" t="s">
        <v>208</v>
      </c>
      <c r="D111" s="170">
        <v>0</v>
      </c>
      <c r="E111" s="170">
        <v>0</v>
      </c>
      <c r="F111" s="170">
        <v>0</v>
      </c>
      <c r="G111" s="171">
        <v>0</v>
      </c>
      <c r="H111" s="171"/>
      <c r="I111" s="152"/>
      <c r="J111" s="152"/>
      <c r="K111" s="152"/>
      <c r="L111" s="152"/>
      <c r="M111" s="152"/>
      <c r="N111" s="35">
        <f t="shared" si="1"/>
        <v>0</v>
      </c>
    </row>
    <row r="112" spans="1:14" ht="18" customHeight="1" thickBot="1">
      <c r="A112" s="117">
        <v>102</v>
      </c>
      <c r="B112" s="150">
        <v>22234</v>
      </c>
      <c r="C112" s="151" t="s">
        <v>209</v>
      </c>
      <c r="D112" s="170">
        <v>0</v>
      </c>
      <c r="E112" s="170">
        <v>0</v>
      </c>
      <c r="F112" s="170">
        <v>0</v>
      </c>
      <c r="G112" s="171">
        <v>0</v>
      </c>
      <c r="H112" s="171"/>
      <c r="I112" s="152"/>
      <c r="J112" s="152"/>
      <c r="K112" s="152"/>
      <c r="L112" s="152"/>
      <c r="M112" s="152"/>
      <c r="N112" s="35">
        <f t="shared" si="1"/>
        <v>0</v>
      </c>
    </row>
    <row r="113" spans="1:19" ht="18" customHeight="1" thickBot="1">
      <c r="A113" s="117">
        <v>103</v>
      </c>
      <c r="B113" s="150">
        <v>22235</v>
      </c>
      <c r="C113" s="151" t="s">
        <v>210</v>
      </c>
      <c r="D113" s="170">
        <v>0</v>
      </c>
      <c r="E113" s="170">
        <v>0</v>
      </c>
      <c r="F113" s="170">
        <v>0</v>
      </c>
      <c r="G113" s="171">
        <v>0</v>
      </c>
      <c r="H113" s="171"/>
      <c r="I113" s="152"/>
      <c r="J113" s="152"/>
      <c r="K113" s="152"/>
      <c r="L113" s="152"/>
      <c r="M113" s="152"/>
      <c r="N113" s="35">
        <f t="shared" si="1"/>
        <v>0</v>
      </c>
    </row>
    <row r="114" spans="1:19" ht="18" customHeight="1" thickBot="1">
      <c r="A114" s="117">
        <v>104</v>
      </c>
      <c r="B114" s="150">
        <v>22236</v>
      </c>
      <c r="C114" s="151" t="s">
        <v>211</v>
      </c>
      <c r="D114" s="170">
        <v>0</v>
      </c>
      <c r="E114" s="170">
        <v>0</v>
      </c>
      <c r="F114" s="170">
        <v>0</v>
      </c>
      <c r="G114" s="171">
        <v>0</v>
      </c>
      <c r="H114" s="171"/>
      <c r="I114" s="152"/>
      <c r="J114" s="152"/>
      <c r="K114" s="152"/>
      <c r="L114" s="152"/>
      <c r="M114" s="152"/>
      <c r="N114" s="35">
        <f t="shared" si="1"/>
        <v>0</v>
      </c>
    </row>
    <row r="115" spans="1:19" ht="18" customHeight="1" thickBot="1">
      <c r="A115" s="117">
        <v>105</v>
      </c>
      <c r="B115" s="150">
        <v>22237</v>
      </c>
      <c r="C115" s="151" t="s">
        <v>212</v>
      </c>
      <c r="D115" s="170">
        <v>0</v>
      </c>
      <c r="E115" s="170">
        <v>0</v>
      </c>
      <c r="F115" s="170">
        <v>0</v>
      </c>
      <c r="G115" s="171">
        <v>0</v>
      </c>
      <c r="H115" s="171"/>
      <c r="I115" s="152"/>
      <c r="J115" s="152"/>
      <c r="K115" s="152"/>
      <c r="L115" s="152"/>
      <c r="M115" s="152"/>
      <c r="N115" s="35">
        <f t="shared" si="1"/>
        <v>0</v>
      </c>
    </row>
    <row r="116" spans="1:19" ht="18" customHeight="1" thickBot="1">
      <c r="A116" s="117">
        <v>106</v>
      </c>
      <c r="B116" s="150">
        <v>22238</v>
      </c>
      <c r="C116" s="151" t="s">
        <v>213</v>
      </c>
      <c r="D116" s="170">
        <v>5</v>
      </c>
      <c r="E116" s="170">
        <v>5</v>
      </c>
      <c r="F116" s="170">
        <v>5</v>
      </c>
      <c r="G116" s="171">
        <v>5</v>
      </c>
      <c r="H116" s="171"/>
      <c r="I116" s="152"/>
      <c r="J116" s="152"/>
      <c r="K116" s="152"/>
      <c r="L116" s="152"/>
      <c r="M116" s="152"/>
      <c r="N116" s="35">
        <f t="shared" si="1"/>
        <v>20</v>
      </c>
    </row>
    <row r="117" spans="1:19" ht="18" customHeight="1" thickBot="1">
      <c r="A117" s="117">
        <v>107</v>
      </c>
      <c r="B117" s="150">
        <v>22239</v>
      </c>
      <c r="C117" s="151" t="s">
        <v>214</v>
      </c>
      <c r="D117" s="170">
        <v>5</v>
      </c>
      <c r="E117" s="170">
        <v>5</v>
      </c>
      <c r="F117" s="170">
        <v>5</v>
      </c>
      <c r="G117" s="171">
        <v>5</v>
      </c>
      <c r="H117" s="171"/>
      <c r="I117" s="152"/>
      <c r="J117" s="152"/>
      <c r="K117" s="152"/>
      <c r="L117" s="152"/>
      <c r="M117" s="152"/>
      <c r="N117" s="35">
        <f t="shared" si="1"/>
        <v>20</v>
      </c>
    </row>
    <row r="118" spans="1:19" ht="18" customHeight="1">
      <c r="A118" s="117">
        <v>108</v>
      </c>
      <c r="B118" s="150">
        <v>22240</v>
      </c>
      <c r="C118" s="151" t="s">
        <v>215</v>
      </c>
      <c r="D118" s="172">
        <v>5</v>
      </c>
      <c r="E118" s="172">
        <v>5</v>
      </c>
      <c r="F118" s="172">
        <v>5</v>
      </c>
      <c r="G118" s="173">
        <v>5</v>
      </c>
      <c r="H118" s="173"/>
      <c r="I118" s="152"/>
      <c r="J118" s="152"/>
      <c r="K118" s="152"/>
      <c r="L118" s="152"/>
      <c r="M118" s="152"/>
      <c r="N118" s="35">
        <f t="shared" si="1"/>
        <v>20</v>
      </c>
    </row>
    <row r="119" spans="1:19" ht="15.75" customHeight="1">
      <c r="A119" s="4" t="s">
        <v>13</v>
      </c>
      <c r="C119" s="53">
        <f>COUNT(A11:A118)</f>
        <v>108</v>
      </c>
      <c r="G119" s="55"/>
      <c r="H119" s="55"/>
      <c r="L119" s="55"/>
      <c r="M119" s="55"/>
      <c r="O119"/>
      <c r="P119"/>
      <c r="Q119"/>
      <c r="R119"/>
      <c r="S119" s="81"/>
    </row>
    <row r="120" spans="1:19" ht="15.75" customHeight="1">
      <c r="A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81"/>
    </row>
    <row r="121" spans="1:19" ht="15.7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 s="83"/>
      <c r="P122"/>
      <c r="Q122" s="83"/>
      <c r="S122"/>
    </row>
    <row r="123" spans="1:19" ht="15.75" customHeight="1">
      <c r="A123"/>
      <c r="C123" t="str">
        <f>Faculty</f>
        <v>Anuja Mali</v>
      </c>
      <c r="D123"/>
      <c r="E123"/>
      <c r="F123"/>
      <c r="G123"/>
      <c r="H123"/>
      <c r="I123"/>
      <c r="J123"/>
      <c r="K123"/>
      <c r="L123"/>
      <c r="M123"/>
      <c r="N123"/>
      <c r="O123" s="83"/>
      <c r="P123"/>
      <c r="Q123" s="83"/>
    </row>
    <row r="124" spans="1:19" ht="15.75" customHeight="1">
      <c r="A124"/>
      <c r="C124" s="83" t="str">
        <f>SubjectDetails!E17</f>
        <v>Subject Faculty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 s="3"/>
    </row>
    <row r="125" spans="1:19" ht="15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 s="2"/>
      <c r="P125" s="2"/>
      <c r="Q125" s="2"/>
      <c r="R125" s="3"/>
    </row>
    <row r="126" spans="1:19" s="37" customFormat="1">
      <c r="A126" s="218" t="str">
        <f>SubjectDetails!A24</f>
        <v>Dr. Ravi Chourasiya</v>
      </c>
      <c r="B126" s="218"/>
      <c r="C126" s="84"/>
      <c r="D126" s="215" t="str">
        <f>SubjectDetails!E24</f>
        <v>Dr. Ashwini Chavan</v>
      </c>
      <c r="E126" s="215"/>
      <c r="F126" s="215"/>
      <c r="G126" s="54"/>
      <c r="H126" s="285" t="str">
        <f>SubjectDetails!H24</f>
        <v>Dr. Priyanka Singh</v>
      </c>
      <c r="I126" s="285"/>
      <c r="J126" s="285"/>
      <c r="K126" s="285"/>
      <c r="L126" s="285"/>
      <c r="M126" s="285"/>
      <c r="N126" s="285"/>
      <c r="O126" s="83"/>
      <c r="P126"/>
      <c r="Q126" s="83"/>
      <c r="R126" s="50"/>
      <c r="S126"/>
    </row>
    <row r="127" spans="1:19" s="37" customFormat="1">
      <c r="A127" s="255" t="str">
        <f>SubjectDetails!A25</f>
        <v>(College Examination Officer)</v>
      </c>
      <c r="B127" s="255"/>
      <c r="C127" s="84"/>
      <c r="D127" s="215" t="str">
        <f>SubjectDetails!E25</f>
        <v>HOD (MCA)</v>
      </c>
      <c r="E127" s="215"/>
      <c r="F127" s="215"/>
      <c r="G127" s="54"/>
      <c r="H127" s="285" t="str">
        <f>SubjectDetails!H25</f>
        <v>Director</v>
      </c>
      <c r="I127" s="285"/>
      <c r="J127" s="285"/>
      <c r="K127" s="285"/>
      <c r="L127" s="285"/>
      <c r="M127" s="285"/>
      <c r="N127" s="285"/>
      <c r="O127" s="83"/>
      <c r="P127"/>
      <c r="Q127" s="83"/>
      <c r="R127" s="50"/>
      <c r="S127" s="7"/>
    </row>
    <row r="128" spans="1:19" ht="15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 s="2"/>
    </row>
    <row r="129" spans="1:14" ht="15.75" customHeight="1"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>
      <c r="A130" s="215"/>
      <c r="B130" s="215"/>
      <c r="C130" s="215"/>
      <c r="D130"/>
      <c r="E130" s="218"/>
      <c r="F130" s="218"/>
      <c r="G130"/>
      <c r="H130"/>
      <c r="I130"/>
      <c r="J130" s="218"/>
      <c r="K130" s="218"/>
      <c r="L130"/>
      <c r="M130"/>
      <c r="N130" s="100"/>
    </row>
    <row r="131" spans="1:14" ht="15.75" customHeight="1">
      <c r="A131" s="215"/>
      <c r="B131" s="215"/>
      <c r="C131" s="215"/>
      <c r="D131"/>
      <c r="E131" s="218"/>
      <c r="F131" s="218"/>
      <c r="G131"/>
      <c r="H131"/>
      <c r="I131"/>
      <c r="J131" s="218"/>
      <c r="K131" s="218"/>
      <c r="L131"/>
      <c r="M131"/>
      <c r="N131" s="100"/>
    </row>
  </sheetData>
  <sortState ref="A12:J202">
    <sortCondition ref="B12:B202"/>
  </sortState>
  <mergeCells count="25">
    <mergeCell ref="A131:C131"/>
    <mergeCell ref="E131:F131"/>
    <mergeCell ref="J130:K130"/>
    <mergeCell ref="J131:K131"/>
    <mergeCell ref="D127:F127"/>
    <mergeCell ref="H127:N127"/>
    <mergeCell ref="A127:B127"/>
    <mergeCell ref="A130:C130"/>
    <mergeCell ref="E130:F130"/>
    <mergeCell ref="A1:N1"/>
    <mergeCell ref="A2:N2"/>
    <mergeCell ref="A3:N3"/>
    <mergeCell ref="A4:N4"/>
    <mergeCell ref="D126:F126"/>
    <mergeCell ref="H126:N126"/>
    <mergeCell ref="A126:B126"/>
    <mergeCell ref="A7:A10"/>
    <mergeCell ref="B7:B10"/>
    <mergeCell ref="N9:N10"/>
    <mergeCell ref="A5:N5"/>
    <mergeCell ref="A6:B6"/>
    <mergeCell ref="D6:N6"/>
    <mergeCell ref="D7:M7"/>
    <mergeCell ref="N7:N8"/>
    <mergeCell ref="C7:C8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opLeftCell="A96" workbookViewId="0">
      <selection activeCell="D8" sqref="D8:D115"/>
    </sheetView>
  </sheetViews>
  <sheetFormatPr defaultColWidth="8.85546875" defaultRowHeight="12.75"/>
  <cols>
    <col min="1" max="1" width="11.28515625" style="42" customWidth="1"/>
    <col min="2" max="2" width="15.140625" style="44" customWidth="1"/>
    <col min="3" max="3" width="41.42578125" style="42" bestFit="1" customWidth="1"/>
    <col min="4" max="4" width="18.5703125" style="42" customWidth="1"/>
    <col min="5" max="5" width="15.7109375" style="42" customWidth="1"/>
    <col min="6" max="6" width="17.85546875" style="42" customWidth="1"/>
    <col min="7" max="7" width="19" style="42" customWidth="1"/>
    <col min="8" max="8" width="18.5703125" style="42" customWidth="1"/>
    <col min="9" max="16384" width="8.85546875" style="42"/>
  </cols>
  <sheetData>
    <row r="1" spans="1:15" s="7" customFormat="1" ht="21" customHeight="1">
      <c r="A1" s="208" t="s">
        <v>73</v>
      </c>
      <c r="B1" s="208"/>
      <c r="C1" s="208"/>
      <c r="D1" s="208"/>
      <c r="E1" s="208"/>
      <c r="F1" s="208"/>
      <c r="G1" s="208"/>
      <c r="H1" s="208"/>
      <c r="I1" s="96"/>
      <c r="J1" s="96"/>
      <c r="K1" s="96"/>
      <c r="L1" s="96"/>
      <c r="M1" s="96"/>
      <c r="N1" s="96"/>
      <c r="O1" s="123"/>
    </row>
    <row r="2" spans="1:15" s="7" customFormat="1" ht="25.15" customHeight="1">
      <c r="A2" s="209" t="s">
        <v>74</v>
      </c>
      <c r="B2" s="209"/>
      <c r="C2" s="209"/>
      <c r="D2" s="209"/>
      <c r="E2" s="209"/>
      <c r="F2" s="209"/>
      <c r="G2" s="209"/>
      <c r="H2" s="209"/>
      <c r="I2" s="97"/>
      <c r="J2" s="97"/>
      <c r="K2" s="97"/>
      <c r="L2" s="97"/>
      <c r="M2" s="97"/>
      <c r="N2" s="97"/>
      <c r="O2" s="123"/>
    </row>
    <row r="3" spans="1:15" s="7" customFormat="1" ht="21.6" customHeight="1">
      <c r="A3" s="210" t="s">
        <v>75</v>
      </c>
      <c r="B3" s="210"/>
      <c r="C3" s="210"/>
      <c r="D3" s="210"/>
      <c r="E3" s="210"/>
      <c r="F3" s="210"/>
      <c r="G3" s="210"/>
      <c r="H3" s="210"/>
      <c r="I3" s="98"/>
      <c r="J3" s="98"/>
      <c r="K3" s="98"/>
      <c r="L3" s="98"/>
      <c r="M3" s="98"/>
      <c r="N3" s="98"/>
      <c r="O3" s="123"/>
    </row>
    <row r="4" spans="1:15" s="7" customFormat="1" ht="19.899999999999999" customHeight="1">
      <c r="A4" s="210" t="s">
        <v>9</v>
      </c>
      <c r="B4" s="210"/>
      <c r="C4" s="210"/>
      <c r="D4" s="210"/>
      <c r="E4" s="210"/>
      <c r="F4" s="210"/>
      <c r="G4" s="210"/>
      <c r="H4" s="210"/>
      <c r="I4" s="98"/>
      <c r="J4" s="98"/>
      <c r="K4" s="98"/>
      <c r="L4" s="98"/>
      <c r="M4" s="98"/>
      <c r="N4" s="98"/>
      <c r="O4" s="123"/>
    </row>
    <row r="5" spans="1:15" s="7" customFormat="1" ht="20.25">
      <c r="A5" s="291" t="s">
        <v>5</v>
      </c>
      <c r="B5" s="291"/>
      <c r="C5" s="291"/>
      <c r="D5" s="291"/>
      <c r="E5" s="291"/>
      <c r="F5" s="291"/>
      <c r="G5" s="291"/>
      <c r="H5" s="292"/>
      <c r="I5" s="123"/>
      <c r="J5" s="123"/>
      <c r="K5" s="123"/>
      <c r="L5" s="123"/>
      <c r="M5" s="123"/>
      <c r="N5" s="123"/>
      <c r="O5" s="123"/>
    </row>
    <row r="6" spans="1:15" s="7" customFormat="1" ht="43.15" customHeight="1">
      <c r="A6" s="289" t="str">
        <f>CONCATENATE(Class," ", spl)</f>
        <v xml:space="preserve">MCA I SEM I AY 2023-24 </v>
      </c>
      <c r="B6" s="289"/>
      <c r="C6" s="116" t="str">
        <f>CONCATENATE("Name of Faculty: ", Faculty)</f>
        <v>Name of Faculty: Anuja Mali</v>
      </c>
      <c r="D6" s="276" t="str">
        <f>CONCATENATE("Course Name: ", Sub_Code)</f>
        <v>Course Name: Lab IT11L</v>
      </c>
      <c r="E6" s="279"/>
      <c r="F6" s="279"/>
      <c r="G6" s="279"/>
      <c r="H6" s="277"/>
    </row>
    <row r="7" spans="1:15" s="40" customFormat="1" ht="25.5">
      <c r="A7" s="124" t="s">
        <v>0</v>
      </c>
      <c r="B7" s="125" t="s">
        <v>6</v>
      </c>
      <c r="C7" s="125" t="s">
        <v>7</v>
      </c>
      <c r="D7" s="126" t="s">
        <v>229</v>
      </c>
      <c r="E7" s="126" t="s">
        <v>230</v>
      </c>
      <c r="F7" s="126" t="s">
        <v>231</v>
      </c>
      <c r="G7" s="126" t="s">
        <v>232</v>
      </c>
      <c r="H7" s="127" t="s">
        <v>96</v>
      </c>
    </row>
    <row r="8" spans="1:15" s="40" customFormat="1" ht="15.75">
      <c r="A8" s="156">
        <v>1</v>
      </c>
      <c r="B8" s="150">
        <v>22101</v>
      </c>
      <c r="C8" s="151" t="s">
        <v>108</v>
      </c>
      <c r="D8" s="186">
        <f>'CCE1'!J11</f>
        <v>51</v>
      </c>
      <c r="E8" s="153">
        <f>'CCE2'!L11</f>
        <v>20</v>
      </c>
      <c r="F8" s="153">
        <f>'CCE3'!N11</f>
        <v>20</v>
      </c>
      <c r="G8" s="154">
        <f>SUM(Table3[[#This Row],[CCE'#1  (55)]:[CCE'#3 (20)]])</f>
        <v>91</v>
      </c>
      <c r="H8" s="155">
        <f>Table3[[#This Row],[Total (95)]]/('CCE1'!$J$9+'CCE2'!$L$9+'CCE3'!$N$9)*75</f>
        <v>71.84210526315789</v>
      </c>
    </row>
    <row r="9" spans="1:15" s="40" customFormat="1" ht="15.75">
      <c r="A9" s="156">
        <v>2</v>
      </c>
      <c r="B9" s="150">
        <v>22102</v>
      </c>
      <c r="C9" s="151" t="s">
        <v>109</v>
      </c>
      <c r="D9" s="186">
        <f>'CCE1'!J12</f>
        <v>49</v>
      </c>
      <c r="E9" s="153">
        <f>'CCE2'!L12</f>
        <v>20</v>
      </c>
      <c r="F9" s="153">
        <f>'CCE3'!N12</f>
        <v>20</v>
      </c>
      <c r="G9" s="154">
        <f>SUM(Table3[[#This Row],[CCE'#1  (55)]:[CCE'#3 (20)]])</f>
        <v>89</v>
      </c>
      <c r="H9" s="155">
        <f>Table3[[#This Row],[Total (95)]]/('CCE1'!$J$9+'CCE2'!$L$9+'CCE3'!$N$9)*75</f>
        <v>70.26315789473685</v>
      </c>
    </row>
    <row r="10" spans="1:15" s="40" customFormat="1" ht="15.75">
      <c r="A10" s="156">
        <v>3</v>
      </c>
      <c r="B10" s="150">
        <v>22103</v>
      </c>
      <c r="C10" s="151" t="s">
        <v>110</v>
      </c>
      <c r="D10" s="186">
        <f>'CCE1'!J13</f>
        <v>51</v>
      </c>
      <c r="E10" s="153">
        <f>'CCE2'!L13</f>
        <v>20</v>
      </c>
      <c r="F10" s="153">
        <f>'CCE3'!N13</f>
        <v>20</v>
      </c>
      <c r="G10" s="154">
        <f>SUM(Table3[[#This Row],[CCE'#1  (55)]:[CCE'#3 (20)]])</f>
        <v>91</v>
      </c>
      <c r="H10" s="155">
        <f>Table3[[#This Row],[Total (95)]]/('CCE1'!$J$9+'CCE2'!$L$9+'CCE3'!$N$9)*75</f>
        <v>71.84210526315789</v>
      </c>
    </row>
    <row r="11" spans="1:15" s="40" customFormat="1" ht="15.75">
      <c r="A11" s="156">
        <v>4</v>
      </c>
      <c r="B11" s="150">
        <v>22104</v>
      </c>
      <c r="C11" s="151" t="s">
        <v>111</v>
      </c>
      <c r="D11" s="186">
        <f>'CCE1'!J14</f>
        <v>49</v>
      </c>
      <c r="E11" s="153">
        <f>'CCE2'!L14</f>
        <v>20</v>
      </c>
      <c r="F11" s="153">
        <f>'CCE3'!N14</f>
        <v>20</v>
      </c>
      <c r="G11" s="154">
        <f>SUM(Table3[[#This Row],[CCE'#1  (55)]:[CCE'#3 (20)]])</f>
        <v>89</v>
      </c>
      <c r="H11" s="155">
        <f>Table3[[#This Row],[Total (95)]]/('CCE1'!$J$9+'CCE2'!$L$9+'CCE3'!$N$9)*75</f>
        <v>70.26315789473685</v>
      </c>
    </row>
    <row r="12" spans="1:15" s="40" customFormat="1" ht="15.75">
      <c r="A12" s="156">
        <v>5</v>
      </c>
      <c r="B12" s="150">
        <v>22105</v>
      </c>
      <c r="C12" s="151" t="s">
        <v>112</v>
      </c>
      <c r="D12" s="186">
        <f>'CCE1'!J15</f>
        <v>41</v>
      </c>
      <c r="E12" s="153">
        <f>'CCE2'!L15</f>
        <v>20</v>
      </c>
      <c r="F12" s="153">
        <f>'CCE3'!N15</f>
        <v>20</v>
      </c>
      <c r="G12" s="154">
        <f>SUM(Table3[[#This Row],[CCE'#1  (55)]:[CCE'#3 (20)]])</f>
        <v>81</v>
      </c>
      <c r="H12" s="155">
        <f>Table3[[#This Row],[Total (95)]]/('CCE1'!$J$9+'CCE2'!$L$9+'CCE3'!$N$9)*75</f>
        <v>63.94736842105263</v>
      </c>
    </row>
    <row r="13" spans="1:15" s="40" customFormat="1" ht="15.75">
      <c r="A13" s="156">
        <v>6</v>
      </c>
      <c r="B13" s="150">
        <v>22106</v>
      </c>
      <c r="C13" s="151" t="s">
        <v>113</v>
      </c>
      <c r="D13" s="186">
        <f>'CCE1'!J16</f>
        <v>48</v>
      </c>
      <c r="E13" s="153">
        <f>'CCE2'!L16</f>
        <v>20</v>
      </c>
      <c r="F13" s="153">
        <f>'CCE3'!N16</f>
        <v>20</v>
      </c>
      <c r="G13" s="154">
        <f>SUM(Table3[[#This Row],[CCE'#1  (55)]:[CCE'#3 (20)]])</f>
        <v>88</v>
      </c>
      <c r="H13" s="155">
        <f>Table3[[#This Row],[Total (95)]]/('CCE1'!$J$9+'CCE2'!$L$9+'CCE3'!$N$9)*75</f>
        <v>69.473684210526315</v>
      </c>
    </row>
    <row r="14" spans="1:15" s="40" customFormat="1" ht="15.75">
      <c r="A14" s="156">
        <v>7</v>
      </c>
      <c r="B14" s="150">
        <v>22107</v>
      </c>
      <c r="C14" s="151" t="s">
        <v>114</v>
      </c>
      <c r="D14" s="186">
        <f>'CCE1'!J17</f>
        <v>51</v>
      </c>
      <c r="E14" s="153">
        <f>'CCE2'!L17</f>
        <v>20</v>
      </c>
      <c r="F14" s="153">
        <f>'CCE3'!N17</f>
        <v>20</v>
      </c>
      <c r="G14" s="154">
        <f>SUM(Table3[[#This Row],[CCE'#1  (55)]:[CCE'#3 (20)]])</f>
        <v>91</v>
      </c>
      <c r="H14" s="155">
        <f>Table3[[#This Row],[Total (95)]]/('CCE1'!$J$9+'CCE2'!$L$9+'CCE3'!$N$9)*75</f>
        <v>71.84210526315789</v>
      </c>
    </row>
    <row r="15" spans="1:15" s="40" customFormat="1" ht="15.75">
      <c r="A15" s="156">
        <v>8</v>
      </c>
      <c r="B15" s="150">
        <v>22108</v>
      </c>
      <c r="C15" s="151" t="s">
        <v>115</v>
      </c>
      <c r="D15" s="186">
        <f>'CCE1'!J18</f>
        <v>48</v>
      </c>
      <c r="E15" s="153">
        <f>'CCE2'!L18</f>
        <v>20</v>
      </c>
      <c r="F15" s="153">
        <f>'CCE3'!N18</f>
        <v>20</v>
      </c>
      <c r="G15" s="154">
        <f>SUM(Table3[[#This Row],[CCE'#1  (55)]:[CCE'#3 (20)]])</f>
        <v>88</v>
      </c>
      <c r="H15" s="155">
        <f>Table3[[#This Row],[Total (95)]]/('CCE1'!$J$9+'CCE2'!$L$9+'CCE3'!$N$9)*75</f>
        <v>69.473684210526315</v>
      </c>
    </row>
    <row r="16" spans="1:15" s="40" customFormat="1" ht="15.75">
      <c r="A16" s="156">
        <v>9</v>
      </c>
      <c r="B16" s="150">
        <v>22109</v>
      </c>
      <c r="C16" s="151" t="s">
        <v>116</v>
      </c>
      <c r="D16" s="186">
        <f>'CCE1'!J19</f>
        <v>47</v>
      </c>
      <c r="E16" s="153">
        <f>'CCE2'!L19</f>
        <v>20</v>
      </c>
      <c r="F16" s="153">
        <f>'CCE3'!N19</f>
        <v>20</v>
      </c>
      <c r="G16" s="154">
        <f>SUM(Table3[[#This Row],[CCE'#1  (55)]:[CCE'#3 (20)]])</f>
        <v>87</v>
      </c>
      <c r="H16" s="155">
        <f>Table3[[#This Row],[Total (95)]]/('CCE1'!$J$9+'CCE2'!$L$9+'CCE3'!$N$9)*75</f>
        <v>68.68421052631578</v>
      </c>
    </row>
    <row r="17" spans="1:8" s="40" customFormat="1" ht="15.75">
      <c r="A17" s="156">
        <v>10</v>
      </c>
      <c r="B17" s="150">
        <v>22110</v>
      </c>
      <c r="C17" s="151" t="s">
        <v>117</v>
      </c>
      <c r="D17" s="186">
        <f>'CCE1'!J20</f>
        <v>48</v>
      </c>
      <c r="E17" s="153">
        <f>'CCE2'!L20</f>
        <v>20</v>
      </c>
      <c r="F17" s="153">
        <f>'CCE3'!N20</f>
        <v>20</v>
      </c>
      <c r="G17" s="154">
        <f>SUM(Table3[[#This Row],[CCE'#1  (55)]:[CCE'#3 (20)]])</f>
        <v>88</v>
      </c>
      <c r="H17" s="155">
        <f>Table3[[#This Row],[Total (95)]]/('CCE1'!$J$9+'CCE2'!$L$9+'CCE3'!$N$9)*75</f>
        <v>69.473684210526315</v>
      </c>
    </row>
    <row r="18" spans="1:8" s="40" customFormat="1" ht="15.75">
      <c r="A18" s="156">
        <v>11</v>
      </c>
      <c r="B18" s="150">
        <v>22111</v>
      </c>
      <c r="C18" s="151" t="s">
        <v>118</v>
      </c>
      <c r="D18" s="186">
        <f>'CCE1'!J21</f>
        <v>48</v>
      </c>
      <c r="E18" s="153">
        <f>'CCE2'!L21</f>
        <v>20</v>
      </c>
      <c r="F18" s="153">
        <f>'CCE3'!N21</f>
        <v>20</v>
      </c>
      <c r="G18" s="154">
        <f>SUM(Table3[[#This Row],[CCE'#1  (55)]:[CCE'#3 (20)]])</f>
        <v>88</v>
      </c>
      <c r="H18" s="155">
        <f>Table3[[#This Row],[Total (95)]]/('CCE1'!$J$9+'CCE2'!$L$9+'CCE3'!$N$9)*75</f>
        <v>69.473684210526315</v>
      </c>
    </row>
    <row r="19" spans="1:8" s="40" customFormat="1" ht="15.75">
      <c r="A19" s="156">
        <v>12</v>
      </c>
      <c r="B19" s="150">
        <v>22112</v>
      </c>
      <c r="C19" s="151" t="s">
        <v>119</v>
      </c>
      <c r="D19" s="186">
        <f>'CCE1'!J22</f>
        <v>49</v>
      </c>
      <c r="E19" s="153">
        <f>'CCE2'!L22</f>
        <v>20</v>
      </c>
      <c r="F19" s="153">
        <f>'CCE3'!N22</f>
        <v>20</v>
      </c>
      <c r="G19" s="154">
        <f>SUM(Table3[[#This Row],[CCE'#1  (55)]:[CCE'#3 (20)]])</f>
        <v>89</v>
      </c>
      <c r="H19" s="155">
        <f>Table3[[#This Row],[Total (95)]]/('CCE1'!$J$9+'CCE2'!$L$9+'CCE3'!$N$9)*75</f>
        <v>70.26315789473685</v>
      </c>
    </row>
    <row r="20" spans="1:8" s="40" customFormat="1" ht="15.75">
      <c r="A20" s="156">
        <v>13</v>
      </c>
      <c r="B20" s="150">
        <v>22113</v>
      </c>
      <c r="C20" s="151" t="s">
        <v>120</v>
      </c>
      <c r="D20" s="186">
        <f>'CCE1'!J23</f>
        <v>48</v>
      </c>
      <c r="E20" s="153">
        <f>'CCE2'!L23</f>
        <v>20</v>
      </c>
      <c r="F20" s="153">
        <f>'CCE3'!N23</f>
        <v>20</v>
      </c>
      <c r="G20" s="154">
        <f>SUM(Table3[[#This Row],[CCE'#1  (55)]:[CCE'#3 (20)]])</f>
        <v>88</v>
      </c>
      <c r="H20" s="155">
        <f>Table3[[#This Row],[Total (95)]]/('CCE1'!$J$9+'CCE2'!$L$9+'CCE3'!$N$9)*75</f>
        <v>69.473684210526315</v>
      </c>
    </row>
    <row r="21" spans="1:8" s="40" customFormat="1" ht="15.75">
      <c r="A21" s="156">
        <v>14</v>
      </c>
      <c r="B21" s="150">
        <v>22114</v>
      </c>
      <c r="C21" s="151" t="s">
        <v>121</v>
      </c>
      <c r="D21" s="186">
        <f>'CCE1'!J24</f>
        <v>46</v>
      </c>
      <c r="E21" s="153">
        <f>'CCE2'!L24</f>
        <v>20</v>
      </c>
      <c r="F21" s="153">
        <f>'CCE3'!N24</f>
        <v>20</v>
      </c>
      <c r="G21" s="154">
        <f>SUM(Table3[[#This Row],[CCE'#1  (55)]:[CCE'#3 (20)]])</f>
        <v>86</v>
      </c>
      <c r="H21" s="155">
        <f>Table3[[#This Row],[Total (95)]]/('CCE1'!$J$9+'CCE2'!$L$9+'CCE3'!$N$9)*75</f>
        <v>67.89473684210526</v>
      </c>
    </row>
    <row r="22" spans="1:8" s="40" customFormat="1" ht="15.75">
      <c r="A22" s="156">
        <v>15</v>
      </c>
      <c r="B22" s="150">
        <v>22115</v>
      </c>
      <c r="C22" s="151" t="s">
        <v>122</v>
      </c>
      <c r="D22" s="186">
        <f>'CCE1'!J25</f>
        <v>49</v>
      </c>
      <c r="E22" s="153">
        <f>'CCE2'!L25</f>
        <v>20</v>
      </c>
      <c r="F22" s="153">
        <f>'CCE3'!N25</f>
        <v>20</v>
      </c>
      <c r="G22" s="154">
        <f>SUM(Table3[[#This Row],[CCE'#1  (55)]:[CCE'#3 (20)]])</f>
        <v>89</v>
      </c>
      <c r="H22" s="155">
        <f>Table3[[#This Row],[Total (95)]]/('CCE1'!$J$9+'CCE2'!$L$9+'CCE3'!$N$9)*75</f>
        <v>70.26315789473685</v>
      </c>
    </row>
    <row r="23" spans="1:8" s="40" customFormat="1" ht="15.75">
      <c r="A23" s="156">
        <v>16</v>
      </c>
      <c r="B23" s="150">
        <v>22116</v>
      </c>
      <c r="C23" s="151" t="s">
        <v>123</v>
      </c>
      <c r="D23" s="186">
        <f>'CCE1'!J26</f>
        <v>46</v>
      </c>
      <c r="E23" s="153">
        <f>'CCE2'!L26</f>
        <v>20</v>
      </c>
      <c r="F23" s="153">
        <f>'CCE3'!N26</f>
        <v>20</v>
      </c>
      <c r="G23" s="154">
        <f>SUM(Table3[[#This Row],[CCE'#1  (55)]:[CCE'#3 (20)]])</f>
        <v>86</v>
      </c>
      <c r="H23" s="155">
        <f>Table3[[#This Row],[Total (95)]]/('CCE1'!$J$9+'CCE2'!$L$9+'CCE3'!$N$9)*75</f>
        <v>67.89473684210526</v>
      </c>
    </row>
    <row r="24" spans="1:8" s="40" customFormat="1" ht="15.75">
      <c r="A24" s="156">
        <v>17</v>
      </c>
      <c r="B24" s="150">
        <v>22117</v>
      </c>
      <c r="C24" s="151" t="s">
        <v>124</v>
      </c>
      <c r="D24" s="186">
        <f>'CCE1'!J27</f>
        <v>49</v>
      </c>
      <c r="E24" s="153">
        <f>'CCE2'!L27</f>
        <v>20</v>
      </c>
      <c r="F24" s="153">
        <f>'CCE3'!N27</f>
        <v>20</v>
      </c>
      <c r="G24" s="154">
        <f>SUM(Table3[[#This Row],[CCE'#1  (55)]:[CCE'#3 (20)]])</f>
        <v>89</v>
      </c>
      <c r="H24" s="155">
        <f>Table3[[#This Row],[Total (95)]]/('CCE1'!$J$9+'CCE2'!$L$9+'CCE3'!$N$9)*75</f>
        <v>70.26315789473685</v>
      </c>
    </row>
    <row r="25" spans="1:8" s="40" customFormat="1" ht="15.75">
      <c r="A25" s="156">
        <v>18</v>
      </c>
      <c r="B25" s="150">
        <v>22118</v>
      </c>
      <c r="C25" s="151" t="s">
        <v>125</v>
      </c>
      <c r="D25" s="186">
        <f>'CCE1'!J28</f>
        <v>50</v>
      </c>
      <c r="E25" s="153">
        <f>'CCE2'!L28</f>
        <v>20</v>
      </c>
      <c r="F25" s="153">
        <f>'CCE3'!N28</f>
        <v>20</v>
      </c>
      <c r="G25" s="154">
        <f>SUM(Table3[[#This Row],[CCE'#1  (55)]:[CCE'#3 (20)]])</f>
        <v>90</v>
      </c>
      <c r="H25" s="155">
        <f>Table3[[#This Row],[Total (95)]]/('CCE1'!$J$9+'CCE2'!$L$9+'CCE3'!$N$9)*75</f>
        <v>71.05263157894737</v>
      </c>
    </row>
    <row r="26" spans="1:8" s="40" customFormat="1" ht="15.75">
      <c r="A26" s="156">
        <v>19</v>
      </c>
      <c r="B26" s="150">
        <v>22119</v>
      </c>
      <c r="C26" s="151" t="s">
        <v>126</v>
      </c>
      <c r="D26" s="186">
        <f>'CCE1'!J29</f>
        <v>46</v>
      </c>
      <c r="E26" s="153">
        <f>'CCE2'!L29</f>
        <v>20</v>
      </c>
      <c r="F26" s="153">
        <f>'CCE3'!N29</f>
        <v>20</v>
      </c>
      <c r="G26" s="154">
        <f>SUM(Table3[[#This Row],[CCE'#1  (55)]:[CCE'#3 (20)]])</f>
        <v>86</v>
      </c>
      <c r="H26" s="155">
        <f>Table3[[#This Row],[Total (95)]]/('CCE1'!$J$9+'CCE2'!$L$9+'CCE3'!$N$9)*75</f>
        <v>67.89473684210526</v>
      </c>
    </row>
    <row r="27" spans="1:8" s="40" customFormat="1" ht="15.75">
      <c r="A27" s="156">
        <v>20</v>
      </c>
      <c r="B27" s="150">
        <v>22120</v>
      </c>
      <c r="C27" s="151" t="s">
        <v>127</v>
      </c>
      <c r="D27" s="186">
        <f>'CCE1'!J30</f>
        <v>49</v>
      </c>
      <c r="E27" s="153">
        <f>'CCE2'!L30</f>
        <v>20</v>
      </c>
      <c r="F27" s="153">
        <f>'CCE3'!N30</f>
        <v>20</v>
      </c>
      <c r="G27" s="154">
        <f>SUM(Table3[[#This Row],[CCE'#1  (55)]:[CCE'#3 (20)]])</f>
        <v>89</v>
      </c>
      <c r="H27" s="155">
        <f>Table3[[#This Row],[Total (95)]]/('CCE1'!$J$9+'CCE2'!$L$9+'CCE3'!$N$9)*75</f>
        <v>70.26315789473685</v>
      </c>
    </row>
    <row r="28" spans="1:8" s="40" customFormat="1" ht="15.75">
      <c r="A28" s="156">
        <v>21</v>
      </c>
      <c r="B28" s="150">
        <v>22121</v>
      </c>
      <c r="C28" s="151" t="s">
        <v>128</v>
      </c>
      <c r="D28" s="186">
        <f>'CCE1'!J31</f>
        <v>50</v>
      </c>
      <c r="E28" s="153">
        <f>'CCE2'!L31</f>
        <v>20</v>
      </c>
      <c r="F28" s="153">
        <f>'CCE3'!N31</f>
        <v>20</v>
      </c>
      <c r="G28" s="154">
        <f>SUM(Table3[[#This Row],[CCE'#1  (55)]:[CCE'#3 (20)]])</f>
        <v>90</v>
      </c>
      <c r="H28" s="155">
        <f>Table3[[#This Row],[Total (95)]]/('CCE1'!$J$9+'CCE2'!$L$9+'CCE3'!$N$9)*75</f>
        <v>71.05263157894737</v>
      </c>
    </row>
    <row r="29" spans="1:8" s="40" customFormat="1" ht="15.75">
      <c r="A29" s="156">
        <v>22</v>
      </c>
      <c r="B29" s="150">
        <v>22122</v>
      </c>
      <c r="C29" s="151" t="s">
        <v>129</v>
      </c>
      <c r="D29" s="186">
        <f>'CCE1'!J32</f>
        <v>50</v>
      </c>
      <c r="E29" s="153">
        <f>'CCE2'!L32</f>
        <v>20</v>
      </c>
      <c r="F29" s="153">
        <f>'CCE3'!N32</f>
        <v>20</v>
      </c>
      <c r="G29" s="154">
        <f>SUM(Table3[[#This Row],[CCE'#1  (55)]:[CCE'#3 (20)]])</f>
        <v>90</v>
      </c>
      <c r="H29" s="155">
        <f>Table3[[#This Row],[Total (95)]]/('CCE1'!$J$9+'CCE2'!$L$9+'CCE3'!$N$9)*75</f>
        <v>71.05263157894737</v>
      </c>
    </row>
    <row r="30" spans="1:8" s="40" customFormat="1" ht="15.75">
      <c r="A30" s="156">
        <v>23</v>
      </c>
      <c r="B30" s="150">
        <v>22123</v>
      </c>
      <c r="C30" s="151" t="s">
        <v>130</v>
      </c>
      <c r="D30" s="186">
        <f>'CCE1'!J33</f>
        <v>46</v>
      </c>
      <c r="E30" s="153">
        <f>'CCE2'!L33</f>
        <v>20</v>
      </c>
      <c r="F30" s="153">
        <f>'CCE3'!N33</f>
        <v>20</v>
      </c>
      <c r="G30" s="154">
        <f>SUM(Table3[[#This Row],[CCE'#1  (55)]:[CCE'#3 (20)]])</f>
        <v>86</v>
      </c>
      <c r="H30" s="155">
        <f>Table3[[#This Row],[Total (95)]]/('CCE1'!$J$9+'CCE2'!$L$9+'CCE3'!$N$9)*75</f>
        <v>67.89473684210526</v>
      </c>
    </row>
    <row r="31" spans="1:8" s="40" customFormat="1" ht="15.75">
      <c r="A31" s="156">
        <v>24</v>
      </c>
      <c r="B31" s="150">
        <v>22124</v>
      </c>
      <c r="C31" s="151" t="s">
        <v>131</v>
      </c>
      <c r="D31" s="186">
        <f>'CCE1'!J34</f>
        <v>46</v>
      </c>
      <c r="E31" s="153">
        <f>'CCE2'!L34</f>
        <v>20</v>
      </c>
      <c r="F31" s="153">
        <f>'CCE3'!N34</f>
        <v>20</v>
      </c>
      <c r="G31" s="154">
        <f>SUM(Table3[[#This Row],[CCE'#1  (55)]:[CCE'#3 (20)]])</f>
        <v>86</v>
      </c>
      <c r="H31" s="155">
        <f>Table3[[#This Row],[Total (95)]]/('CCE1'!$J$9+'CCE2'!$L$9+'CCE3'!$N$9)*75</f>
        <v>67.89473684210526</v>
      </c>
    </row>
    <row r="32" spans="1:8" s="40" customFormat="1" ht="15.75">
      <c r="A32" s="156">
        <v>25</v>
      </c>
      <c r="B32" s="150">
        <v>22125</v>
      </c>
      <c r="C32" s="151" t="s">
        <v>132</v>
      </c>
      <c r="D32" s="186">
        <f>'CCE1'!J35</f>
        <v>51</v>
      </c>
      <c r="E32" s="153">
        <f>'CCE2'!L35</f>
        <v>20</v>
      </c>
      <c r="F32" s="153">
        <f>'CCE3'!N35</f>
        <v>20</v>
      </c>
      <c r="G32" s="154">
        <f>SUM(Table3[[#This Row],[CCE'#1  (55)]:[CCE'#3 (20)]])</f>
        <v>91</v>
      </c>
      <c r="H32" s="155">
        <f>Table3[[#This Row],[Total (95)]]/('CCE1'!$J$9+'CCE2'!$L$9+'CCE3'!$N$9)*75</f>
        <v>71.84210526315789</v>
      </c>
    </row>
    <row r="33" spans="1:8" s="40" customFormat="1" ht="15.75">
      <c r="A33" s="156">
        <v>26</v>
      </c>
      <c r="B33" s="150">
        <v>22126</v>
      </c>
      <c r="C33" s="151" t="s">
        <v>133</v>
      </c>
      <c r="D33" s="186">
        <f>'CCE1'!J36</f>
        <v>51</v>
      </c>
      <c r="E33" s="153">
        <f>'CCE2'!L36</f>
        <v>20</v>
      </c>
      <c r="F33" s="153">
        <f>'CCE3'!N36</f>
        <v>20</v>
      </c>
      <c r="G33" s="154">
        <f>SUM(Table3[[#This Row],[CCE'#1  (55)]:[CCE'#3 (20)]])</f>
        <v>91</v>
      </c>
      <c r="H33" s="155">
        <f>Table3[[#This Row],[Total (95)]]/('CCE1'!$J$9+'CCE2'!$L$9+'CCE3'!$N$9)*75</f>
        <v>71.84210526315789</v>
      </c>
    </row>
    <row r="34" spans="1:8" s="40" customFormat="1" ht="15.75">
      <c r="A34" s="156">
        <v>27</v>
      </c>
      <c r="B34" s="150">
        <v>22127</v>
      </c>
      <c r="C34" s="151" t="s">
        <v>134</v>
      </c>
      <c r="D34" s="186">
        <f>'CCE1'!J37</f>
        <v>48</v>
      </c>
      <c r="E34" s="153">
        <f>'CCE2'!L37</f>
        <v>20</v>
      </c>
      <c r="F34" s="153">
        <f>'CCE3'!N37</f>
        <v>20</v>
      </c>
      <c r="G34" s="154">
        <f>SUM(Table3[[#This Row],[CCE'#1  (55)]:[CCE'#3 (20)]])</f>
        <v>88</v>
      </c>
      <c r="H34" s="155">
        <f>Table3[[#This Row],[Total (95)]]/('CCE1'!$J$9+'CCE2'!$L$9+'CCE3'!$N$9)*75</f>
        <v>69.473684210526315</v>
      </c>
    </row>
    <row r="35" spans="1:8" s="40" customFormat="1" ht="15.75">
      <c r="A35" s="156">
        <v>28</v>
      </c>
      <c r="B35" s="150">
        <v>22128</v>
      </c>
      <c r="C35" s="151" t="s">
        <v>135</v>
      </c>
      <c r="D35" s="186">
        <f>'CCE1'!J38</f>
        <v>44</v>
      </c>
      <c r="E35" s="153">
        <f>'CCE2'!L38</f>
        <v>20</v>
      </c>
      <c r="F35" s="153">
        <f>'CCE3'!N38</f>
        <v>20</v>
      </c>
      <c r="G35" s="154">
        <f>SUM(Table3[[#This Row],[CCE'#1  (55)]:[CCE'#3 (20)]])</f>
        <v>84</v>
      </c>
      <c r="H35" s="155">
        <f>Table3[[#This Row],[Total (95)]]/('CCE1'!$J$9+'CCE2'!$L$9+'CCE3'!$N$9)*75</f>
        <v>66.315789473684205</v>
      </c>
    </row>
    <row r="36" spans="1:8" s="40" customFormat="1" ht="15.75">
      <c r="A36" s="156">
        <v>29</v>
      </c>
      <c r="B36" s="150">
        <v>22129</v>
      </c>
      <c r="C36" s="151" t="s">
        <v>136</v>
      </c>
      <c r="D36" s="186">
        <f>'CCE1'!J39</f>
        <v>47</v>
      </c>
      <c r="E36" s="153">
        <f>'CCE2'!L39</f>
        <v>20</v>
      </c>
      <c r="F36" s="153">
        <f>'CCE3'!N39</f>
        <v>20</v>
      </c>
      <c r="G36" s="154">
        <f>SUM(Table3[[#This Row],[CCE'#1  (55)]:[CCE'#3 (20)]])</f>
        <v>87</v>
      </c>
      <c r="H36" s="155">
        <f>Table3[[#This Row],[Total (95)]]/('CCE1'!$J$9+'CCE2'!$L$9+'CCE3'!$N$9)*75</f>
        <v>68.68421052631578</v>
      </c>
    </row>
    <row r="37" spans="1:8" s="40" customFormat="1" ht="15.75">
      <c r="A37" s="156">
        <v>30</v>
      </c>
      <c r="B37" s="150">
        <v>22130</v>
      </c>
      <c r="C37" s="151" t="s">
        <v>137</v>
      </c>
      <c r="D37" s="186">
        <f>'CCE1'!J40</f>
        <v>40</v>
      </c>
      <c r="E37" s="153">
        <f>'CCE2'!L40</f>
        <v>20</v>
      </c>
      <c r="F37" s="153">
        <f>'CCE3'!N40</f>
        <v>20</v>
      </c>
      <c r="G37" s="154">
        <f>SUM(Table3[[#This Row],[CCE'#1  (55)]:[CCE'#3 (20)]])</f>
        <v>80</v>
      </c>
      <c r="H37" s="155">
        <f>Table3[[#This Row],[Total (95)]]/('CCE1'!$J$9+'CCE2'!$L$9+'CCE3'!$N$9)*75</f>
        <v>63.157894736842103</v>
      </c>
    </row>
    <row r="38" spans="1:8" s="40" customFormat="1" ht="15.75">
      <c r="A38" s="156">
        <v>31</v>
      </c>
      <c r="B38" s="150">
        <v>22131</v>
      </c>
      <c r="C38" s="151" t="s">
        <v>138</v>
      </c>
      <c r="D38" s="186">
        <f>'CCE1'!J41</f>
        <v>46</v>
      </c>
      <c r="E38" s="153">
        <f>'CCE2'!L41</f>
        <v>20</v>
      </c>
      <c r="F38" s="153">
        <f>'CCE3'!N41</f>
        <v>20</v>
      </c>
      <c r="G38" s="154">
        <f>SUM(Table3[[#This Row],[CCE'#1  (55)]:[CCE'#3 (20)]])</f>
        <v>86</v>
      </c>
      <c r="H38" s="155">
        <f>Table3[[#This Row],[Total (95)]]/('CCE1'!$J$9+'CCE2'!$L$9+'CCE3'!$N$9)*75</f>
        <v>67.89473684210526</v>
      </c>
    </row>
    <row r="39" spans="1:8" s="40" customFormat="1" ht="15.75">
      <c r="A39" s="156">
        <v>32</v>
      </c>
      <c r="B39" s="150">
        <v>22132</v>
      </c>
      <c r="C39" s="151" t="s">
        <v>139</v>
      </c>
      <c r="D39" s="186">
        <f>'CCE1'!J42</f>
        <v>48</v>
      </c>
      <c r="E39" s="153">
        <f>'CCE2'!L42</f>
        <v>20</v>
      </c>
      <c r="F39" s="153">
        <f>'CCE3'!N42</f>
        <v>20</v>
      </c>
      <c r="G39" s="154">
        <f>SUM(Table3[[#This Row],[CCE'#1  (55)]:[CCE'#3 (20)]])</f>
        <v>88</v>
      </c>
      <c r="H39" s="155">
        <f>Table3[[#This Row],[Total (95)]]/('CCE1'!$J$9+'CCE2'!$L$9+'CCE3'!$N$9)*75</f>
        <v>69.473684210526315</v>
      </c>
    </row>
    <row r="40" spans="1:8" s="40" customFormat="1" ht="15.75">
      <c r="A40" s="156">
        <v>33</v>
      </c>
      <c r="B40" s="150">
        <v>22133</v>
      </c>
      <c r="C40" s="151" t="s">
        <v>140</v>
      </c>
      <c r="D40" s="186">
        <f>'CCE1'!J43</f>
        <v>50</v>
      </c>
      <c r="E40" s="153">
        <f>'CCE2'!L43</f>
        <v>20</v>
      </c>
      <c r="F40" s="153">
        <f>'CCE3'!N43</f>
        <v>20</v>
      </c>
      <c r="G40" s="154">
        <f>SUM(Table3[[#This Row],[CCE'#1  (55)]:[CCE'#3 (20)]])</f>
        <v>90</v>
      </c>
      <c r="H40" s="155">
        <f>Table3[[#This Row],[Total (95)]]/('CCE1'!$J$9+'CCE2'!$L$9+'CCE3'!$N$9)*75</f>
        <v>71.05263157894737</v>
      </c>
    </row>
    <row r="41" spans="1:8" s="40" customFormat="1" ht="15.75">
      <c r="A41" s="156">
        <v>34</v>
      </c>
      <c r="B41" s="150">
        <v>22134</v>
      </c>
      <c r="C41" s="151" t="s">
        <v>141</v>
      </c>
      <c r="D41" s="186">
        <f>'CCE1'!J44</f>
        <v>49</v>
      </c>
      <c r="E41" s="153">
        <f>'CCE2'!L44</f>
        <v>20</v>
      </c>
      <c r="F41" s="153">
        <f>'CCE3'!N44</f>
        <v>20</v>
      </c>
      <c r="G41" s="154">
        <f>SUM(Table3[[#This Row],[CCE'#1  (55)]:[CCE'#3 (20)]])</f>
        <v>89</v>
      </c>
      <c r="H41" s="155">
        <f>Table3[[#This Row],[Total (95)]]/('CCE1'!$J$9+'CCE2'!$L$9+'CCE3'!$N$9)*75</f>
        <v>70.26315789473685</v>
      </c>
    </row>
    <row r="42" spans="1:8" s="40" customFormat="1" ht="15.75">
      <c r="A42" s="156">
        <v>35</v>
      </c>
      <c r="B42" s="150">
        <v>22135</v>
      </c>
      <c r="C42" s="151" t="s">
        <v>142</v>
      </c>
      <c r="D42" s="186">
        <f>'CCE1'!J45</f>
        <v>45</v>
      </c>
      <c r="E42" s="153">
        <f>'CCE2'!L45</f>
        <v>20</v>
      </c>
      <c r="F42" s="153">
        <f>'CCE3'!N45</f>
        <v>20</v>
      </c>
      <c r="G42" s="154">
        <f>SUM(Table3[[#This Row],[CCE'#1  (55)]:[CCE'#3 (20)]])</f>
        <v>85</v>
      </c>
      <c r="H42" s="155">
        <f>Table3[[#This Row],[Total (95)]]/('CCE1'!$J$9+'CCE2'!$L$9+'CCE3'!$N$9)*75</f>
        <v>67.10526315789474</v>
      </c>
    </row>
    <row r="43" spans="1:8" s="40" customFormat="1" ht="15.75">
      <c r="A43" s="156">
        <v>36</v>
      </c>
      <c r="B43" s="150">
        <v>22136</v>
      </c>
      <c r="C43" s="151" t="s">
        <v>143</v>
      </c>
      <c r="D43" s="186">
        <f>'CCE1'!J46</f>
        <v>45</v>
      </c>
      <c r="E43" s="153">
        <f>'CCE2'!L46</f>
        <v>20</v>
      </c>
      <c r="F43" s="153">
        <f>'CCE3'!N46</f>
        <v>20</v>
      </c>
      <c r="G43" s="154">
        <f>SUM(Table3[[#This Row],[CCE'#1  (55)]:[CCE'#3 (20)]])</f>
        <v>85</v>
      </c>
      <c r="H43" s="155">
        <f>Table3[[#This Row],[Total (95)]]/('CCE1'!$J$9+'CCE2'!$L$9+'CCE3'!$N$9)*75</f>
        <v>67.10526315789474</v>
      </c>
    </row>
    <row r="44" spans="1:8" s="40" customFormat="1" ht="15.75">
      <c r="A44" s="156">
        <v>37</v>
      </c>
      <c r="B44" s="150">
        <v>22137</v>
      </c>
      <c r="C44" s="151" t="s">
        <v>144</v>
      </c>
      <c r="D44" s="186">
        <f>'CCE1'!J47</f>
        <v>43</v>
      </c>
      <c r="E44" s="153">
        <f>'CCE2'!L47</f>
        <v>20</v>
      </c>
      <c r="F44" s="153">
        <f>'CCE3'!N47</f>
        <v>20</v>
      </c>
      <c r="G44" s="154">
        <f>SUM(Table3[[#This Row],[CCE'#1  (55)]:[CCE'#3 (20)]])</f>
        <v>83</v>
      </c>
      <c r="H44" s="155">
        <f>Table3[[#This Row],[Total (95)]]/('CCE1'!$J$9+'CCE2'!$L$9+'CCE3'!$N$9)*75</f>
        <v>65.526315789473685</v>
      </c>
    </row>
    <row r="45" spans="1:8" s="40" customFormat="1" ht="15.75">
      <c r="A45" s="156">
        <v>38</v>
      </c>
      <c r="B45" s="150">
        <v>22138</v>
      </c>
      <c r="C45" s="151" t="s">
        <v>145</v>
      </c>
      <c r="D45" s="186">
        <f>'CCE1'!J48</f>
        <v>45</v>
      </c>
      <c r="E45" s="153">
        <f>'CCE2'!L48</f>
        <v>20</v>
      </c>
      <c r="F45" s="153">
        <f>'CCE3'!N48</f>
        <v>20</v>
      </c>
      <c r="G45" s="154">
        <f>SUM(Table3[[#This Row],[CCE'#1  (55)]:[CCE'#3 (20)]])</f>
        <v>85</v>
      </c>
      <c r="H45" s="155">
        <f>Table3[[#This Row],[Total (95)]]/('CCE1'!$J$9+'CCE2'!$L$9+'CCE3'!$N$9)*75</f>
        <v>67.10526315789474</v>
      </c>
    </row>
    <row r="46" spans="1:8" s="40" customFormat="1" ht="15.75">
      <c r="A46" s="156">
        <v>39</v>
      </c>
      <c r="B46" s="150">
        <v>22139</v>
      </c>
      <c r="C46" s="151" t="s">
        <v>146</v>
      </c>
      <c r="D46" s="186">
        <f>'CCE1'!J49</f>
        <v>49</v>
      </c>
      <c r="E46" s="153">
        <f>'CCE2'!L49</f>
        <v>20</v>
      </c>
      <c r="F46" s="153">
        <f>'CCE3'!N49</f>
        <v>20</v>
      </c>
      <c r="G46" s="154">
        <f>SUM(Table3[[#This Row],[CCE'#1  (55)]:[CCE'#3 (20)]])</f>
        <v>89</v>
      </c>
      <c r="H46" s="155">
        <f>Table3[[#This Row],[Total (95)]]/('CCE1'!$J$9+'CCE2'!$L$9+'CCE3'!$N$9)*75</f>
        <v>70.26315789473685</v>
      </c>
    </row>
    <row r="47" spans="1:8" s="40" customFormat="1" ht="15.75">
      <c r="A47" s="156">
        <v>40</v>
      </c>
      <c r="B47" s="150">
        <v>22140</v>
      </c>
      <c r="C47" s="151" t="s">
        <v>147</v>
      </c>
      <c r="D47" s="186">
        <f>'CCE1'!J50</f>
        <v>49</v>
      </c>
      <c r="E47" s="153">
        <f>'CCE2'!L50</f>
        <v>20</v>
      </c>
      <c r="F47" s="153">
        <f>'CCE3'!N50</f>
        <v>20</v>
      </c>
      <c r="G47" s="154">
        <f>SUM(Table3[[#This Row],[CCE'#1  (55)]:[CCE'#3 (20)]])</f>
        <v>89</v>
      </c>
      <c r="H47" s="155">
        <f>Table3[[#This Row],[Total (95)]]/('CCE1'!$J$9+'CCE2'!$L$9+'CCE3'!$N$9)*75</f>
        <v>70.26315789473685</v>
      </c>
    </row>
    <row r="48" spans="1:8" s="40" customFormat="1" ht="15.75">
      <c r="A48" s="156">
        <v>41</v>
      </c>
      <c r="B48" s="150">
        <v>22141</v>
      </c>
      <c r="C48" s="151" t="s">
        <v>148</v>
      </c>
      <c r="D48" s="186">
        <f>'CCE1'!J51</f>
        <v>45</v>
      </c>
      <c r="E48" s="153">
        <f>'CCE2'!L51</f>
        <v>20</v>
      </c>
      <c r="F48" s="153">
        <f>'CCE3'!N51</f>
        <v>20</v>
      </c>
      <c r="G48" s="154">
        <f>SUM(Table3[[#This Row],[CCE'#1  (55)]:[CCE'#3 (20)]])</f>
        <v>85</v>
      </c>
      <c r="H48" s="155">
        <f>Table3[[#This Row],[Total (95)]]/('CCE1'!$J$9+'CCE2'!$L$9+'CCE3'!$N$9)*75</f>
        <v>67.10526315789474</v>
      </c>
    </row>
    <row r="49" spans="1:8" s="40" customFormat="1" ht="15.75">
      <c r="A49" s="156">
        <v>42</v>
      </c>
      <c r="B49" s="150">
        <v>22142</v>
      </c>
      <c r="C49" s="151" t="s">
        <v>149</v>
      </c>
      <c r="D49" s="186">
        <f>'CCE1'!J52</f>
        <v>40</v>
      </c>
      <c r="E49" s="153">
        <f>'CCE2'!L52</f>
        <v>20</v>
      </c>
      <c r="F49" s="153">
        <f>'CCE3'!N52</f>
        <v>20</v>
      </c>
      <c r="G49" s="154">
        <f>SUM(Table3[[#This Row],[CCE'#1  (55)]:[CCE'#3 (20)]])</f>
        <v>80</v>
      </c>
      <c r="H49" s="155">
        <f>Table3[[#This Row],[Total (95)]]/('CCE1'!$J$9+'CCE2'!$L$9+'CCE3'!$N$9)*75</f>
        <v>63.157894736842103</v>
      </c>
    </row>
    <row r="50" spans="1:8" s="40" customFormat="1" ht="15.75">
      <c r="A50" s="156">
        <v>43</v>
      </c>
      <c r="B50" s="150">
        <v>22143</v>
      </c>
      <c r="C50" s="151" t="s">
        <v>150</v>
      </c>
      <c r="D50" s="186">
        <f>'CCE1'!J53</f>
        <v>47</v>
      </c>
      <c r="E50" s="153">
        <f>'CCE2'!L53</f>
        <v>20</v>
      </c>
      <c r="F50" s="153">
        <f>'CCE3'!N53</f>
        <v>20</v>
      </c>
      <c r="G50" s="154">
        <f>SUM(Table3[[#This Row],[CCE'#1  (55)]:[CCE'#3 (20)]])</f>
        <v>87</v>
      </c>
      <c r="H50" s="155">
        <f>Table3[[#This Row],[Total (95)]]/('CCE1'!$J$9+'CCE2'!$L$9+'CCE3'!$N$9)*75</f>
        <v>68.68421052631578</v>
      </c>
    </row>
    <row r="51" spans="1:8" s="40" customFormat="1" ht="15.75">
      <c r="A51" s="156">
        <v>44</v>
      </c>
      <c r="B51" s="150">
        <v>22144</v>
      </c>
      <c r="C51" s="151" t="s">
        <v>151</v>
      </c>
      <c r="D51" s="186">
        <f>'CCE1'!J54</f>
        <v>46</v>
      </c>
      <c r="E51" s="153">
        <f>'CCE2'!L54</f>
        <v>20</v>
      </c>
      <c r="F51" s="153">
        <f>'CCE3'!N54</f>
        <v>20</v>
      </c>
      <c r="G51" s="154">
        <f>SUM(Table3[[#This Row],[CCE'#1  (55)]:[CCE'#3 (20)]])</f>
        <v>86</v>
      </c>
      <c r="H51" s="155">
        <f>Table3[[#This Row],[Total (95)]]/('CCE1'!$J$9+'CCE2'!$L$9+'CCE3'!$N$9)*75</f>
        <v>67.89473684210526</v>
      </c>
    </row>
    <row r="52" spans="1:8" s="40" customFormat="1" ht="15.75">
      <c r="A52" s="156">
        <v>45</v>
      </c>
      <c r="B52" s="150">
        <v>22145</v>
      </c>
      <c r="C52" s="151" t="s">
        <v>152</v>
      </c>
      <c r="D52" s="186">
        <f>'CCE1'!J55</f>
        <v>45</v>
      </c>
      <c r="E52" s="153">
        <f>'CCE2'!L55</f>
        <v>20</v>
      </c>
      <c r="F52" s="153">
        <f>'CCE3'!N55</f>
        <v>20</v>
      </c>
      <c r="G52" s="154">
        <f>SUM(Table3[[#This Row],[CCE'#1  (55)]:[CCE'#3 (20)]])</f>
        <v>85</v>
      </c>
      <c r="H52" s="155">
        <f>Table3[[#This Row],[Total (95)]]/('CCE1'!$J$9+'CCE2'!$L$9+'CCE3'!$N$9)*75</f>
        <v>67.10526315789474</v>
      </c>
    </row>
    <row r="53" spans="1:8" s="40" customFormat="1" ht="15.75">
      <c r="A53" s="156">
        <v>46</v>
      </c>
      <c r="B53" s="150">
        <v>22146</v>
      </c>
      <c r="C53" s="151" t="s">
        <v>153</v>
      </c>
      <c r="D53" s="186">
        <f>'CCE1'!J56</f>
        <v>50</v>
      </c>
      <c r="E53" s="153">
        <f>'CCE2'!L56</f>
        <v>20</v>
      </c>
      <c r="F53" s="153">
        <f>'CCE3'!N56</f>
        <v>20</v>
      </c>
      <c r="G53" s="154">
        <f>SUM(Table3[[#This Row],[CCE'#1  (55)]:[CCE'#3 (20)]])</f>
        <v>90</v>
      </c>
      <c r="H53" s="155">
        <f>Table3[[#This Row],[Total (95)]]/('CCE1'!$J$9+'CCE2'!$L$9+'CCE3'!$N$9)*75</f>
        <v>71.05263157894737</v>
      </c>
    </row>
    <row r="54" spans="1:8" s="40" customFormat="1" ht="15.75">
      <c r="A54" s="156">
        <v>47</v>
      </c>
      <c r="B54" s="150">
        <v>22147</v>
      </c>
      <c r="C54" s="151" t="s">
        <v>154</v>
      </c>
      <c r="D54" s="186">
        <f>'CCE1'!J57</f>
        <v>43</v>
      </c>
      <c r="E54" s="153">
        <f>'CCE2'!L57</f>
        <v>20</v>
      </c>
      <c r="F54" s="153">
        <f>'CCE3'!N57</f>
        <v>20</v>
      </c>
      <c r="G54" s="154">
        <f>SUM(Table3[[#This Row],[CCE'#1  (55)]:[CCE'#3 (20)]])</f>
        <v>83</v>
      </c>
      <c r="H54" s="155">
        <f>Table3[[#This Row],[Total (95)]]/('CCE1'!$J$9+'CCE2'!$L$9+'CCE3'!$N$9)*75</f>
        <v>65.526315789473685</v>
      </c>
    </row>
    <row r="55" spans="1:8" s="40" customFormat="1" ht="15.75">
      <c r="A55" s="156">
        <v>48</v>
      </c>
      <c r="B55" s="150">
        <v>22148</v>
      </c>
      <c r="C55" s="151" t="s">
        <v>155</v>
      </c>
      <c r="D55" s="186">
        <f>'CCE1'!J58</f>
        <v>50</v>
      </c>
      <c r="E55" s="153">
        <f>'CCE2'!L58</f>
        <v>20</v>
      </c>
      <c r="F55" s="153">
        <f>'CCE3'!N58</f>
        <v>20</v>
      </c>
      <c r="G55" s="154">
        <f>SUM(Table3[[#This Row],[CCE'#1  (55)]:[CCE'#3 (20)]])</f>
        <v>90</v>
      </c>
      <c r="H55" s="155">
        <f>Table3[[#This Row],[Total (95)]]/('CCE1'!$J$9+'CCE2'!$L$9+'CCE3'!$N$9)*75</f>
        <v>71.05263157894737</v>
      </c>
    </row>
    <row r="56" spans="1:8" s="40" customFormat="1" ht="15.75">
      <c r="A56" s="156">
        <v>49</v>
      </c>
      <c r="B56" s="150">
        <v>22149</v>
      </c>
      <c r="C56" s="151" t="s">
        <v>156</v>
      </c>
      <c r="D56" s="186">
        <f>'CCE1'!J59</f>
        <v>40</v>
      </c>
      <c r="E56" s="153">
        <f>'CCE2'!L59</f>
        <v>20</v>
      </c>
      <c r="F56" s="153">
        <f>'CCE3'!N59</f>
        <v>20</v>
      </c>
      <c r="G56" s="154">
        <f>SUM(Table3[[#This Row],[CCE'#1  (55)]:[CCE'#3 (20)]])</f>
        <v>80</v>
      </c>
      <c r="H56" s="155">
        <f>Table3[[#This Row],[Total (95)]]/('CCE1'!$J$9+'CCE2'!$L$9+'CCE3'!$N$9)*75</f>
        <v>63.157894736842103</v>
      </c>
    </row>
    <row r="57" spans="1:8" s="40" customFormat="1" ht="15.75">
      <c r="A57" s="156">
        <v>50</v>
      </c>
      <c r="B57" s="150">
        <v>22150</v>
      </c>
      <c r="C57" s="151" t="s">
        <v>157</v>
      </c>
      <c r="D57" s="186">
        <f>'CCE1'!J60</f>
        <v>48</v>
      </c>
      <c r="E57" s="153">
        <f>'CCE2'!L60</f>
        <v>20</v>
      </c>
      <c r="F57" s="153">
        <f>'CCE3'!N60</f>
        <v>20</v>
      </c>
      <c r="G57" s="154">
        <f>SUM(Table3[[#This Row],[CCE'#1  (55)]:[CCE'#3 (20)]])</f>
        <v>88</v>
      </c>
      <c r="H57" s="155">
        <f>Table3[[#This Row],[Total (95)]]/('CCE1'!$J$9+'CCE2'!$L$9+'CCE3'!$N$9)*75</f>
        <v>69.473684210526315</v>
      </c>
    </row>
    <row r="58" spans="1:8" s="40" customFormat="1" ht="15.75">
      <c r="A58" s="156">
        <v>51</v>
      </c>
      <c r="B58" s="150">
        <v>22151</v>
      </c>
      <c r="C58" s="151" t="s">
        <v>158</v>
      </c>
      <c r="D58" s="186">
        <f>'CCE1'!J61</f>
        <v>50</v>
      </c>
      <c r="E58" s="153">
        <f>'CCE2'!L61</f>
        <v>20</v>
      </c>
      <c r="F58" s="153">
        <f>'CCE3'!N61</f>
        <v>20</v>
      </c>
      <c r="G58" s="154">
        <f>SUM(Table3[[#This Row],[CCE'#1  (55)]:[CCE'#3 (20)]])</f>
        <v>90</v>
      </c>
      <c r="H58" s="155">
        <f>Table3[[#This Row],[Total (95)]]/('CCE1'!$J$9+'CCE2'!$L$9+'CCE3'!$N$9)*75</f>
        <v>71.05263157894737</v>
      </c>
    </row>
    <row r="59" spans="1:8" s="40" customFormat="1" ht="15.75">
      <c r="A59" s="156">
        <v>52</v>
      </c>
      <c r="B59" s="150">
        <v>22152</v>
      </c>
      <c r="C59" s="151" t="s">
        <v>159</v>
      </c>
      <c r="D59" s="186">
        <f>'CCE1'!J62</f>
        <v>48</v>
      </c>
      <c r="E59" s="153">
        <f>'CCE2'!L62</f>
        <v>20</v>
      </c>
      <c r="F59" s="153">
        <f>'CCE3'!N62</f>
        <v>20</v>
      </c>
      <c r="G59" s="154">
        <f>SUM(Table3[[#This Row],[CCE'#1  (55)]:[CCE'#3 (20)]])</f>
        <v>88</v>
      </c>
      <c r="H59" s="155">
        <f>Table3[[#This Row],[Total (95)]]/('CCE1'!$J$9+'CCE2'!$L$9+'CCE3'!$N$9)*75</f>
        <v>69.473684210526315</v>
      </c>
    </row>
    <row r="60" spans="1:8" s="40" customFormat="1" ht="15.75">
      <c r="A60" s="156">
        <v>53</v>
      </c>
      <c r="B60" s="150">
        <v>22153</v>
      </c>
      <c r="C60" s="151" t="s">
        <v>160</v>
      </c>
      <c r="D60" s="186">
        <f>'CCE1'!J63</f>
        <v>44</v>
      </c>
      <c r="E60" s="153">
        <f>'CCE2'!L63</f>
        <v>20</v>
      </c>
      <c r="F60" s="153">
        <f>'CCE3'!N63</f>
        <v>20</v>
      </c>
      <c r="G60" s="154">
        <f>SUM(Table3[[#This Row],[CCE'#1  (55)]:[CCE'#3 (20)]])</f>
        <v>84</v>
      </c>
      <c r="H60" s="155">
        <f>Table3[[#This Row],[Total (95)]]/('CCE1'!$J$9+'CCE2'!$L$9+'CCE3'!$N$9)*75</f>
        <v>66.315789473684205</v>
      </c>
    </row>
    <row r="61" spans="1:8" s="40" customFormat="1" ht="15.75">
      <c r="A61" s="156">
        <v>54</v>
      </c>
      <c r="B61" s="150">
        <v>22154</v>
      </c>
      <c r="C61" s="151" t="s">
        <v>161</v>
      </c>
      <c r="D61" s="186">
        <f>'CCE1'!J64</f>
        <v>50</v>
      </c>
      <c r="E61" s="153">
        <f>'CCE2'!L64</f>
        <v>20</v>
      </c>
      <c r="F61" s="153">
        <f>'CCE3'!N64</f>
        <v>20</v>
      </c>
      <c r="G61" s="154">
        <f>SUM(Table3[[#This Row],[CCE'#1  (55)]:[CCE'#3 (20)]])</f>
        <v>90</v>
      </c>
      <c r="H61" s="155">
        <f>Table3[[#This Row],[Total (95)]]/('CCE1'!$J$9+'CCE2'!$L$9+'CCE3'!$N$9)*75</f>
        <v>71.05263157894737</v>
      </c>
    </row>
    <row r="62" spans="1:8" s="40" customFormat="1" ht="15.75">
      <c r="A62" s="156">
        <v>55</v>
      </c>
      <c r="B62" s="150">
        <v>22155</v>
      </c>
      <c r="C62" s="151" t="s">
        <v>162</v>
      </c>
      <c r="D62" s="186">
        <f>'CCE1'!J65</f>
        <v>48</v>
      </c>
      <c r="E62" s="153">
        <f>'CCE2'!L65</f>
        <v>20</v>
      </c>
      <c r="F62" s="153">
        <f>'CCE3'!N65</f>
        <v>20</v>
      </c>
      <c r="G62" s="154">
        <f>SUM(Table3[[#This Row],[CCE'#1  (55)]:[CCE'#3 (20)]])</f>
        <v>88</v>
      </c>
      <c r="H62" s="155">
        <f>Table3[[#This Row],[Total (95)]]/('CCE1'!$J$9+'CCE2'!$L$9+'CCE3'!$N$9)*75</f>
        <v>69.473684210526315</v>
      </c>
    </row>
    <row r="63" spans="1:8" s="40" customFormat="1" ht="15.75">
      <c r="A63" s="156">
        <v>56</v>
      </c>
      <c r="B63" s="150">
        <v>22156</v>
      </c>
      <c r="C63" s="151" t="s">
        <v>163</v>
      </c>
      <c r="D63" s="186">
        <f>'CCE1'!J66</f>
        <v>45</v>
      </c>
      <c r="E63" s="153">
        <f>'CCE2'!L66</f>
        <v>20</v>
      </c>
      <c r="F63" s="153">
        <f>'CCE3'!N66</f>
        <v>20</v>
      </c>
      <c r="G63" s="154">
        <f>SUM(Table3[[#This Row],[CCE'#1  (55)]:[CCE'#3 (20)]])</f>
        <v>85</v>
      </c>
      <c r="H63" s="155">
        <f>Table3[[#This Row],[Total (95)]]/('CCE1'!$J$9+'CCE2'!$L$9+'CCE3'!$N$9)*75</f>
        <v>67.10526315789474</v>
      </c>
    </row>
    <row r="64" spans="1:8" s="40" customFormat="1" ht="15.75">
      <c r="A64" s="156">
        <v>57</v>
      </c>
      <c r="B64" s="150">
        <v>22157</v>
      </c>
      <c r="C64" s="151" t="s">
        <v>164</v>
      </c>
      <c r="D64" s="186">
        <f>'CCE1'!J67</f>
        <v>45</v>
      </c>
      <c r="E64" s="153">
        <f>'CCE2'!L67</f>
        <v>20</v>
      </c>
      <c r="F64" s="153">
        <f>'CCE3'!N67</f>
        <v>20</v>
      </c>
      <c r="G64" s="154">
        <f>SUM(Table3[[#This Row],[CCE'#1  (55)]:[CCE'#3 (20)]])</f>
        <v>85</v>
      </c>
      <c r="H64" s="155">
        <f>Table3[[#This Row],[Total (95)]]/('CCE1'!$J$9+'CCE2'!$L$9+'CCE3'!$N$9)*75</f>
        <v>67.10526315789474</v>
      </c>
    </row>
    <row r="65" spans="1:8" s="40" customFormat="1" ht="15.75">
      <c r="A65" s="156">
        <v>58</v>
      </c>
      <c r="B65" s="150">
        <v>22158</v>
      </c>
      <c r="C65" s="151" t="s">
        <v>165</v>
      </c>
      <c r="D65" s="186">
        <f>'CCE1'!J68</f>
        <v>41</v>
      </c>
      <c r="E65" s="153">
        <f>'CCE2'!L68</f>
        <v>20</v>
      </c>
      <c r="F65" s="153">
        <f>'CCE3'!N68</f>
        <v>20</v>
      </c>
      <c r="G65" s="154">
        <f>SUM(Table3[[#This Row],[CCE'#1  (55)]:[CCE'#3 (20)]])</f>
        <v>81</v>
      </c>
      <c r="H65" s="155">
        <f>Table3[[#This Row],[Total (95)]]/('CCE1'!$J$9+'CCE2'!$L$9+'CCE3'!$N$9)*75</f>
        <v>63.94736842105263</v>
      </c>
    </row>
    <row r="66" spans="1:8" s="40" customFormat="1" ht="15.75">
      <c r="A66" s="156">
        <v>59</v>
      </c>
      <c r="B66" s="150">
        <v>22159</v>
      </c>
      <c r="C66" s="151" t="s">
        <v>166</v>
      </c>
      <c r="D66" s="186">
        <f>'CCE1'!J69</f>
        <v>50</v>
      </c>
      <c r="E66" s="153">
        <f>'CCE2'!L69</f>
        <v>20</v>
      </c>
      <c r="F66" s="153">
        <f>'CCE3'!N69</f>
        <v>20</v>
      </c>
      <c r="G66" s="154">
        <f>SUM(Table3[[#This Row],[CCE'#1  (55)]:[CCE'#3 (20)]])</f>
        <v>90</v>
      </c>
      <c r="H66" s="155">
        <f>Table3[[#This Row],[Total (95)]]/('CCE1'!$J$9+'CCE2'!$L$9+'CCE3'!$N$9)*75</f>
        <v>71.05263157894737</v>
      </c>
    </row>
    <row r="67" spans="1:8" s="40" customFormat="1" ht="15.75">
      <c r="A67" s="156">
        <v>60</v>
      </c>
      <c r="B67" s="150">
        <v>22160</v>
      </c>
      <c r="C67" s="151" t="s">
        <v>167</v>
      </c>
      <c r="D67" s="186">
        <f>'CCE1'!J70</f>
        <v>40</v>
      </c>
      <c r="E67" s="153">
        <f>'CCE2'!L70</f>
        <v>20</v>
      </c>
      <c r="F67" s="153">
        <f>'CCE3'!N70</f>
        <v>20</v>
      </c>
      <c r="G67" s="154">
        <f>SUM(Table3[[#This Row],[CCE'#1  (55)]:[CCE'#3 (20)]])</f>
        <v>80</v>
      </c>
      <c r="H67" s="155">
        <f>Table3[[#This Row],[Total (95)]]/('CCE1'!$J$9+'CCE2'!$L$9+'CCE3'!$N$9)*75</f>
        <v>63.157894736842103</v>
      </c>
    </row>
    <row r="68" spans="1:8" s="40" customFormat="1" ht="15.75">
      <c r="A68" s="156">
        <v>61</v>
      </c>
      <c r="B68" s="150">
        <v>22161</v>
      </c>
      <c r="C68" s="151" t="s">
        <v>168</v>
      </c>
      <c r="D68" s="186">
        <f>'CCE1'!J71</f>
        <v>49</v>
      </c>
      <c r="E68" s="153">
        <f>'CCE2'!L71</f>
        <v>20</v>
      </c>
      <c r="F68" s="153">
        <f>'CCE3'!N71</f>
        <v>20</v>
      </c>
      <c r="G68" s="154">
        <f>SUM(Table3[[#This Row],[CCE'#1  (55)]:[CCE'#3 (20)]])</f>
        <v>89</v>
      </c>
      <c r="H68" s="155">
        <f>Table3[[#This Row],[Total (95)]]/('CCE1'!$J$9+'CCE2'!$L$9+'CCE3'!$N$9)*75</f>
        <v>70.26315789473685</v>
      </c>
    </row>
    <row r="69" spans="1:8" s="40" customFormat="1" ht="15.75">
      <c r="A69" s="156">
        <v>62</v>
      </c>
      <c r="B69" s="150">
        <v>22162</v>
      </c>
      <c r="C69" s="151" t="s">
        <v>169</v>
      </c>
      <c r="D69" s="186">
        <f>'CCE1'!J72</f>
        <v>42</v>
      </c>
      <c r="E69" s="153">
        <f>'CCE2'!L72</f>
        <v>20</v>
      </c>
      <c r="F69" s="153">
        <f>'CCE3'!N72</f>
        <v>20</v>
      </c>
      <c r="G69" s="154">
        <f>SUM(Table3[[#This Row],[CCE'#1  (55)]:[CCE'#3 (20)]])</f>
        <v>82</v>
      </c>
      <c r="H69" s="155">
        <f>Table3[[#This Row],[Total (95)]]/('CCE1'!$J$9+'CCE2'!$L$9+'CCE3'!$N$9)*75</f>
        <v>64.736842105263165</v>
      </c>
    </row>
    <row r="70" spans="1:8" s="40" customFormat="1" ht="15.75">
      <c r="A70" s="156">
        <v>63</v>
      </c>
      <c r="B70" s="150">
        <v>22163</v>
      </c>
      <c r="C70" s="151" t="s">
        <v>170</v>
      </c>
      <c r="D70" s="186">
        <f>'CCE1'!J73</f>
        <v>50</v>
      </c>
      <c r="E70" s="153">
        <f>'CCE2'!L73</f>
        <v>20</v>
      </c>
      <c r="F70" s="153">
        <f>'CCE3'!N73</f>
        <v>20</v>
      </c>
      <c r="G70" s="154">
        <f>SUM(Table3[[#This Row],[CCE'#1  (55)]:[CCE'#3 (20)]])</f>
        <v>90</v>
      </c>
      <c r="H70" s="155">
        <f>Table3[[#This Row],[Total (95)]]/('CCE1'!$J$9+'CCE2'!$L$9+'CCE3'!$N$9)*75</f>
        <v>71.05263157894737</v>
      </c>
    </row>
    <row r="71" spans="1:8" s="40" customFormat="1" ht="15.75">
      <c r="A71" s="156">
        <v>64</v>
      </c>
      <c r="B71" s="150">
        <v>22164</v>
      </c>
      <c r="C71" s="151" t="s">
        <v>171</v>
      </c>
      <c r="D71" s="186">
        <f>'CCE1'!J74</f>
        <v>47</v>
      </c>
      <c r="E71" s="153">
        <f>'CCE2'!L74</f>
        <v>20</v>
      </c>
      <c r="F71" s="153">
        <f>'CCE3'!N74</f>
        <v>20</v>
      </c>
      <c r="G71" s="154">
        <f>SUM(Table3[[#This Row],[CCE'#1  (55)]:[CCE'#3 (20)]])</f>
        <v>87</v>
      </c>
      <c r="H71" s="155">
        <f>Table3[[#This Row],[Total (95)]]/('CCE1'!$J$9+'CCE2'!$L$9+'CCE3'!$N$9)*75</f>
        <v>68.68421052631578</v>
      </c>
    </row>
    <row r="72" spans="1:8" s="40" customFormat="1" ht="15.75">
      <c r="A72" s="156">
        <v>65</v>
      </c>
      <c r="B72" s="150">
        <v>22165</v>
      </c>
      <c r="C72" s="151" t="s">
        <v>172</v>
      </c>
      <c r="D72" s="186">
        <f>'CCE1'!J75</f>
        <v>41</v>
      </c>
      <c r="E72" s="153">
        <f>'CCE2'!L75</f>
        <v>20</v>
      </c>
      <c r="F72" s="153">
        <f>'CCE3'!N75</f>
        <v>20</v>
      </c>
      <c r="G72" s="154">
        <f>SUM(Table3[[#This Row],[CCE'#1  (55)]:[CCE'#3 (20)]])</f>
        <v>81</v>
      </c>
      <c r="H72" s="155">
        <f>Table3[[#This Row],[Total (95)]]/('CCE1'!$J$9+'CCE2'!$L$9+'CCE3'!$N$9)*75</f>
        <v>63.94736842105263</v>
      </c>
    </row>
    <row r="73" spans="1:8" s="40" customFormat="1" ht="15.75">
      <c r="A73" s="156">
        <v>66</v>
      </c>
      <c r="B73" s="150">
        <v>22166</v>
      </c>
      <c r="C73" s="151" t="s">
        <v>173</v>
      </c>
      <c r="D73" s="186">
        <f>'CCE1'!J76</f>
        <v>44</v>
      </c>
      <c r="E73" s="153">
        <f>'CCE2'!L76</f>
        <v>20</v>
      </c>
      <c r="F73" s="153">
        <f>'CCE3'!N76</f>
        <v>20</v>
      </c>
      <c r="G73" s="154">
        <f>SUM(Table3[[#This Row],[CCE'#1  (55)]:[CCE'#3 (20)]])</f>
        <v>84</v>
      </c>
      <c r="H73" s="155">
        <f>Table3[[#This Row],[Total (95)]]/('CCE1'!$J$9+'CCE2'!$L$9+'CCE3'!$N$9)*75</f>
        <v>66.315789473684205</v>
      </c>
    </row>
    <row r="74" spans="1:8" s="40" customFormat="1" ht="15.75">
      <c r="A74" s="156">
        <v>67</v>
      </c>
      <c r="B74" s="150">
        <v>22167</v>
      </c>
      <c r="C74" s="151" t="s">
        <v>174</v>
      </c>
      <c r="D74" s="186">
        <f>'CCE1'!J77</f>
        <v>40</v>
      </c>
      <c r="E74" s="153">
        <f>'CCE2'!L77</f>
        <v>20</v>
      </c>
      <c r="F74" s="153">
        <f>'CCE3'!N77</f>
        <v>20</v>
      </c>
      <c r="G74" s="154">
        <f>SUM(Table3[[#This Row],[CCE'#1  (55)]:[CCE'#3 (20)]])</f>
        <v>80</v>
      </c>
      <c r="H74" s="155">
        <f>Table3[[#This Row],[Total (95)]]/('CCE1'!$J$9+'CCE2'!$L$9+'CCE3'!$N$9)*75</f>
        <v>63.157894736842103</v>
      </c>
    </row>
    <row r="75" spans="1:8" s="40" customFormat="1" ht="15.75">
      <c r="A75" s="156">
        <v>68</v>
      </c>
      <c r="B75" s="150">
        <v>22168</v>
      </c>
      <c r="C75" s="151" t="s">
        <v>175</v>
      </c>
      <c r="D75" s="186">
        <f>'CCE1'!J78</f>
        <v>50</v>
      </c>
      <c r="E75" s="153">
        <f>'CCE2'!L78</f>
        <v>20</v>
      </c>
      <c r="F75" s="153">
        <f>'CCE3'!N78</f>
        <v>20</v>
      </c>
      <c r="G75" s="154">
        <f>SUM(Table3[[#This Row],[CCE'#1  (55)]:[CCE'#3 (20)]])</f>
        <v>90</v>
      </c>
      <c r="H75" s="155">
        <f>Table3[[#This Row],[Total (95)]]/('CCE1'!$J$9+'CCE2'!$L$9+'CCE3'!$N$9)*75</f>
        <v>71.05263157894737</v>
      </c>
    </row>
    <row r="76" spans="1:8" s="40" customFormat="1" ht="15.75">
      <c r="A76" s="156">
        <v>69</v>
      </c>
      <c r="B76" s="150">
        <v>22201</v>
      </c>
      <c r="C76" s="151" t="s">
        <v>176</v>
      </c>
      <c r="D76" s="186">
        <f>'CCE1'!J79</f>
        <v>49</v>
      </c>
      <c r="E76" s="153">
        <f>'CCE2'!L79</f>
        <v>20</v>
      </c>
      <c r="F76" s="153">
        <f>'CCE3'!N79</f>
        <v>20</v>
      </c>
      <c r="G76" s="154">
        <f>SUM(Table3[[#This Row],[CCE'#1  (55)]:[CCE'#3 (20)]])</f>
        <v>89</v>
      </c>
      <c r="H76" s="155">
        <f>Table3[[#This Row],[Total (95)]]/('CCE1'!$J$9+'CCE2'!$L$9+'CCE3'!$N$9)*75</f>
        <v>70.26315789473685</v>
      </c>
    </row>
    <row r="77" spans="1:8" s="40" customFormat="1" ht="15.75">
      <c r="A77" s="156">
        <v>70</v>
      </c>
      <c r="B77" s="150">
        <v>22202</v>
      </c>
      <c r="C77" s="151" t="s">
        <v>177</v>
      </c>
      <c r="D77" s="186">
        <f>'CCE1'!J80</f>
        <v>45</v>
      </c>
      <c r="E77" s="153">
        <f>'CCE2'!L80</f>
        <v>20</v>
      </c>
      <c r="F77" s="153">
        <f>'CCE3'!N80</f>
        <v>20</v>
      </c>
      <c r="G77" s="154">
        <f>SUM(Table3[[#This Row],[CCE'#1  (55)]:[CCE'#3 (20)]])</f>
        <v>85</v>
      </c>
      <c r="H77" s="155">
        <f>Table3[[#This Row],[Total (95)]]/('CCE1'!$J$9+'CCE2'!$L$9+'CCE3'!$N$9)*75</f>
        <v>67.10526315789474</v>
      </c>
    </row>
    <row r="78" spans="1:8" s="40" customFormat="1" ht="15.75">
      <c r="A78" s="156">
        <v>71</v>
      </c>
      <c r="B78" s="150">
        <v>22203</v>
      </c>
      <c r="C78" s="151" t="s">
        <v>178</v>
      </c>
      <c r="D78" s="186">
        <f>'CCE1'!J81</f>
        <v>45</v>
      </c>
      <c r="E78" s="153">
        <f>'CCE2'!L81</f>
        <v>20</v>
      </c>
      <c r="F78" s="153">
        <f>'CCE3'!N81</f>
        <v>20</v>
      </c>
      <c r="G78" s="154">
        <f>SUM(Table3[[#This Row],[CCE'#1  (55)]:[CCE'#3 (20)]])</f>
        <v>85</v>
      </c>
      <c r="H78" s="155">
        <f>Table3[[#This Row],[Total (95)]]/('CCE1'!$J$9+'CCE2'!$L$9+'CCE3'!$N$9)*75</f>
        <v>67.10526315789474</v>
      </c>
    </row>
    <row r="79" spans="1:8" s="40" customFormat="1" ht="15.75">
      <c r="A79" s="156">
        <v>72</v>
      </c>
      <c r="B79" s="150">
        <v>22204</v>
      </c>
      <c r="C79" s="151" t="s">
        <v>179</v>
      </c>
      <c r="D79" s="186">
        <f>'CCE1'!J82</f>
        <v>45</v>
      </c>
      <c r="E79" s="153">
        <f>'CCE2'!L82</f>
        <v>20</v>
      </c>
      <c r="F79" s="153">
        <f>'CCE3'!N82</f>
        <v>20</v>
      </c>
      <c r="G79" s="154">
        <f>SUM(Table3[[#This Row],[CCE'#1  (55)]:[CCE'#3 (20)]])</f>
        <v>85</v>
      </c>
      <c r="H79" s="155">
        <f>Table3[[#This Row],[Total (95)]]/('CCE1'!$J$9+'CCE2'!$L$9+'CCE3'!$N$9)*75</f>
        <v>67.10526315789474</v>
      </c>
    </row>
    <row r="80" spans="1:8" s="40" customFormat="1" ht="15.75">
      <c r="A80" s="156">
        <v>73</v>
      </c>
      <c r="B80" s="150">
        <v>22205</v>
      </c>
      <c r="C80" s="151" t="s">
        <v>180</v>
      </c>
      <c r="D80" s="186">
        <f>'CCE1'!J83</f>
        <v>50</v>
      </c>
      <c r="E80" s="153">
        <f>'CCE2'!L83</f>
        <v>20</v>
      </c>
      <c r="F80" s="153">
        <f>'CCE3'!N83</f>
        <v>20</v>
      </c>
      <c r="G80" s="154">
        <f>SUM(Table3[[#This Row],[CCE'#1  (55)]:[CCE'#3 (20)]])</f>
        <v>90</v>
      </c>
      <c r="H80" s="155">
        <f>Table3[[#This Row],[Total (95)]]/('CCE1'!$J$9+'CCE2'!$L$9+'CCE3'!$N$9)*75</f>
        <v>71.05263157894737</v>
      </c>
    </row>
    <row r="81" spans="1:8" s="40" customFormat="1" ht="15.75">
      <c r="A81" s="156">
        <v>74</v>
      </c>
      <c r="B81" s="150">
        <v>22206</v>
      </c>
      <c r="C81" s="151" t="s">
        <v>181</v>
      </c>
      <c r="D81" s="186">
        <f>'CCE1'!J84</f>
        <v>47</v>
      </c>
      <c r="E81" s="153">
        <f>'CCE2'!L84</f>
        <v>20</v>
      </c>
      <c r="F81" s="153">
        <f>'CCE3'!N84</f>
        <v>20</v>
      </c>
      <c r="G81" s="154">
        <f>SUM(Table3[[#This Row],[CCE'#1  (55)]:[CCE'#3 (20)]])</f>
        <v>87</v>
      </c>
      <c r="H81" s="155">
        <f>Table3[[#This Row],[Total (95)]]/('CCE1'!$J$9+'CCE2'!$L$9+'CCE3'!$N$9)*75</f>
        <v>68.68421052631578</v>
      </c>
    </row>
    <row r="82" spans="1:8" s="40" customFormat="1" ht="15.75">
      <c r="A82" s="156">
        <v>75</v>
      </c>
      <c r="B82" s="150">
        <v>22207</v>
      </c>
      <c r="C82" s="151" t="s">
        <v>182</v>
      </c>
      <c r="D82" s="186">
        <f>'CCE1'!J85</f>
        <v>45</v>
      </c>
      <c r="E82" s="153">
        <f>'CCE2'!L85</f>
        <v>20</v>
      </c>
      <c r="F82" s="153">
        <f>'CCE3'!N85</f>
        <v>20</v>
      </c>
      <c r="G82" s="154">
        <f>SUM(Table3[[#This Row],[CCE'#1  (55)]:[CCE'#3 (20)]])</f>
        <v>85</v>
      </c>
      <c r="H82" s="155">
        <f>Table3[[#This Row],[Total (95)]]/('CCE1'!$J$9+'CCE2'!$L$9+'CCE3'!$N$9)*75</f>
        <v>67.10526315789474</v>
      </c>
    </row>
    <row r="83" spans="1:8" s="40" customFormat="1" ht="15.75">
      <c r="A83" s="156">
        <v>76</v>
      </c>
      <c r="B83" s="150">
        <v>22208</v>
      </c>
      <c r="C83" s="151" t="s">
        <v>183</v>
      </c>
      <c r="D83" s="186">
        <f>'CCE1'!J86</f>
        <v>45</v>
      </c>
      <c r="E83" s="153">
        <f>'CCE2'!L86</f>
        <v>20</v>
      </c>
      <c r="F83" s="153">
        <f>'CCE3'!N86</f>
        <v>20</v>
      </c>
      <c r="G83" s="154">
        <f>SUM(Table3[[#This Row],[CCE'#1  (55)]:[CCE'#3 (20)]])</f>
        <v>85</v>
      </c>
      <c r="H83" s="155">
        <f>Table3[[#This Row],[Total (95)]]/('CCE1'!$J$9+'CCE2'!$L$9+'CCE3'!$N$9)*75</f>
        <v>67.10526315789474</v>
      </c>
    </row>
    <row r="84" spans="1:8" s="40" customFormat="1" ht="15.75">
      <c r="A84" s="156">
        <v>77</v>
      </c>
      <c r="B84" s="150">
        <v>22209</v>
      </c>
      <c r="C84" s="151" t="s">
        <v>184</v>
      </c>
      <c r="D84" s="186">
        <f>'CCE1'!J87</f>
        <v>46</v>
      </c>
      <c r="E84" s="153">
        <f>'CCE2'!L87</f>
        <v>20</v>
      </c>
      <c r="F84" s="153">
        <f>'CCE3'!N87</f>
        <v>20</v>
      </c>
      <c r="G84" s="154">
        <f>SUM(Table3[[#This Row],[CCE'#1  (55)]:[CCE'#3 (20)]])</f>
        <v>86</v>
      </c>
      <c r="H84" s="155">
        <f>Table3[[#This Row],[Total (95)]]/('CCE1'!$J$9+'CCE2'!$L$9+'CCE3'!$N$9)*75</f>
        <v>67.89473684210526</v>
      </c>
    </row>
    <row r="85" spans="1:8" s="40" customFormat="1" ht="15.75">
      <c r="A85" s="156">
        <v>78</v>
      </c>
      <c r="B85" s="150">
        <v>22210</v>
      </c>
      <c r="C85" s="151" t="s">
        <v>185</v>
      </c>
      <c r="D85" s="186">
        <f>'CCE1'!J88</f>
        <v>44</v>
      </c>
      <c r="E85" s="153">
        <f>'CCE2'!L88</f>
        <v>20</v>
      </c>
      <c r="F85" s="153">
        <f>'CCE3'!N88</f>
        <v>20</v>
      </c>
      <c r="G85" s="154">
        <f>SUM(Table3[[#This Row],[CCE'#1  (55)]:[CCE'#3 (20)]])</f>
        <v>84</v>
      </c>
      <c r="H85" s="155">
        <f>Table3[[#This Row],[Total (95)]]/('CCE1'!$J$9+'CCE2'!$L$9+'CCE3'!$N$9)*75</f>
        <v>66.315789473684205</v>
      </c>
    </row>
    <row r="86" spans="1:8" s="40" customFormat="1" ht="15.75">
      <c r="A86" s="156">
        <v>79</v>
      </c>
      <c r="B86" s="150">
        <v>22211</v>
      </c>
      <c r="C86" s="151" t="s">
        <v>186</v>
      </c>
      <c r="D86" s="186">
        <f>'CCE1'!J89</f>
        <v>47</v>
      </c>
      <c r="E86" s="153">
        <f>'CCE2'!L89</f>
        <v>20</v>
      </c>
      <c r="F86" s="153">
        <f>'CCE3'!N89</f>
        <v>20</v>
      </c>
      <c r="G86" s="154">
        <f>SUM(Table3[[#This Row],[CCE'#1  (55)]:[CCE'#3 (20)]])</f>
        <v>87</v>
      </c>
      <c r="H86" s="155">
        <f>Table3[[#This Row],[Total (95)]]/('CCE1'!$J$9+'CCE2'!$L$9+'CCE3'!$N$9)*75</f>
        <v>68.68421052631578</v>
      </c>
    </row>
    <row r="87" spans="1:8" ht="15.75">
      <c r="A87" s="156">
        <v>80</v>
      </c>
      <c r="B87" s="150">
        <v>22212</v>
      </c>
      <c r="C87" s="151" t="s">
        <v>187</v>
      </c>
      <c r="D87" s="186">
        <f>'CCE1'!J90</f>
        <v>48</v>
      </c>
      <c r="E87" s="153">
        <f>'CCE2'!L90</f>
        <v>20</v>
      </c>
      <c r="F87" s="153">
        <f>'CCE3'!N90</f>
        <v>20</v>
      </c>
      <c r="G87" s="41">
        <f>SUM(Table3[[#This Row],[CCE'#1  (55)]:[CCE'#3 (20)]])</f>
        <v>88</v>
      </c>
      <c r="H87" s="155">
        <f>Table3[[#This Row],[Total (95)]]/('CCE1'!$J$9+'CCE2'!$L$9+'CCE3'!$N$9)*75</f>
        <v>69.473684210526315</v>
      </c>
    </row>
    <row r="88" spans="1:8" ht="15.75">
      <c r="A88" s="156">
        <v>81</v>
      </c>
      <c r="B88" s="150">
        <v>22213</v>
      </c>
      <c r="C88" s="151" t="s">
        <v>188</v>
      </c>
      <c r="D88" s="186">
        <f>'CCE1'!J91</f>
        <v>45</v>
      </c>
      <c r="E88" s="153">
        <f>'CCE2'!L91</f>
        <v>20</v>
      </c>
      <c r="F88" s="153">
        <f>'CCE3'!N91</f>
        <v>20</v>
      </c>
      <c r="G88" s="43">
        <f>SUM(Table3[[#This Row],[CCE'#1  (55)]:[CCE'#3 (20)]])</f>
        <v>85</v>
      </c>
      <c r="H88" s="155">
        <f>Table3[[#This Row],[Total (95)]]/('CCE1'!$J$9+'CCE2'!$L$9+'CCE3'!$N$9)*75</f>
        <v>67.10526315789474</v>
      </c>
    </row>
    <row r="89" spans="1:8" ht="15.75">
      <c r="A89" s="156">
        <v>82</v>
      </c>
      <c r="B89" s="150">
        <v>22214</v>
      </c>
      <c r="C89" s="151" t="s">
        <v>189</v>
      </c>
      <c r="D89" s="186">
        <f>'CCE1'!J92</f>
        <v>46</v>
      </c>
      <c r="E89" s="153">
        <f>'CCE2'!L92</f>
        <v>20</v>
      </c>
      <c r="F89" s="153">
        <f>'CCE3'!N92</f>
        <v>20</v>
      </c>
      <c r="G89" s="43">
        <f>SUM(Table3[[#This Row],[CCE'#1  (55)]:[CCE'#3 (20)]])</f>
        <v>86</v>
      </c>
      <c r="H89" s="155">
        <f>Table3[[#This Row],[Total (95)]]/('CCE1'!$J$9+'CCE2'!$L$9+'CCE3'!$N$9)*75</f>
        <v>67.89473684210526</v>
      </c>
    </row>
    <row r="90" spans="1:8" ht="15.75">
      <c r="A90" s="156">
        <v>83</v>
      </c>
      <c r="B90" s="150">
        <v>22215</v>
      </c>
      <c r="C90" s="151" t="s">
        <v>190</v>
      </c>
      <c r="D90" s="186">
        <f>'CCE1'!J93</f>
        <v>43</v>
      </c>
      <c r="E90" s="153">
        <f>'CCE2'!L93</f>
        <v>20</v>
      </c>
      <c r="F90" s="153">
        <f>'CCE3'!N93</f>
        <v>20</v>
      </c>
      <c r="G90" s="43">
        <f>SUM(Table3[[#This Row],[CCE'#1  (55)]:[CCE'#3 (20)]])</f>
        <v>83</v>
      </c>
      <c r="H90" s="155">
        <f>Table3[[#This Row],[Total (95)]]/('CCE1'!$J$9+'CCE2'!$L$9+'CCE3'!$N$9)*75</f>
        <v>65.526315789473685</v>
      </c>
    </row>
    <row r="91" spans="1:8" ht="15.75">
      <c r="A91" s="156">
        <v>84</v>
      </c>
      <c r="B91" s="150">
        <v>22216</v>
      </c>
      <c r="C91" s="151" t="s">
        <v>191</v>
      </c>
      <c r="D91" s="186">
        <f>'CCE1'!J94</f>
        <v>43</v>
      </c>
      <c r="E91" s="153">
        <f>'CCE2'!L94</f>
        <v>20</v>
      </c>
      <c r="F91" s="153">
        <f>'CCE3'!N94</f>
        <v>20</v>
      </c>
      <c r="G91" s="43">
        <f>SUM(Table3[[#This Row],[CCE'#1  (55)]:[CCE'#3 (20)]])</f>
        <v>83</v>
      </c>
      <c r="H91" s="155">
        <f>Table3[[#This Row],[Total (95)]]/('CCE1'!$J$9+'CCE2'!$L$9+'CCE3'!$N$9)*75</f>
        <v>65.526315789473685</v>
      </c>
    </row>
    <row r="92" spans="1:8" ht="15.75">
      <c r="A92" s="156">
        <v>85</v>
      </c>
      <c r="B92" s="150">
        <v>22217</v>
      </c>
      <c r="C92" s="151" t="s">
        <v>192</v>
      </c>
      <c r="D92" s="186">
        <f>'CCE1'!J95</f>
        <v>45</v>
      </c>
      <c r="E92" s="153">
        <f>'CCE2'!L95</f>
        <v>20</v>
      </c>
      <c r="F92" s="153">
        <f>'CCE3'!N95</f>
        <v>20</v>
      </c>
      <c r="G92" s="41">
        <f>SUM(Table3[[#This Row],[CCE'#1  (55)]:[CCE'#3 (20)]])</f>
        <v>85</v>
      </c>
      <c r="H92" s="155">
        <f>Table3[[#This Row],[Total (95)]]/('CCE1'!$J$9+'CCE2'!$L$9+'CCE3'!$N$9)*75</f>
        <v>67.10526315789474</v>
      </c>
    </row>
    <row r="93" spans="1:8" ht="15.75">
      <c r="A93" s="156">
        <v>86</v>
      </c>
      <c r="B93" s="150">
        <v>22218</v>
      </c>
      <c r="C93" s="151" t="s">
        <v>193</v>
      </c>
      <c r="D93" s="186">
        <f>'CCE1'!J96</f>
        <v>42</v>
      </c>
      <c r="E93" s="153">
        <f>'CCE2'!L96</f>
        <v>20</v>
      </c>
      <c r="F93" s="153">
        <f>'CCE3'!N96</f>
        <v>20</v>
      </c>
      <c r="G93" s="43">
        <f>SUM(Table3[[#This Row],[CCE'#1  (55)]:[CCE'#3 (20)]])</f>
        <v>82</v>
      </c>
      <c r="H93" s="155">
        <f>Table3[[#This Row],[Total (95)]]/('CCE1'!$J$9+'CCE2'!$L$9+'CCE3'!$N$9)*75</f>
        <v>64.736842105263165</v>
      </c>
    </row>
    <row r="94" spans="1:8" ht="15.75">
      <c r="A94" s="156">
        <v>87</v>
      </c>
      <c r="B94" s="150">
        <v>22219</v>
      </c>
      <c r="C94" s="151" t="s">
        <v>194</v>
      </c>
      <c r="D94" s="186">
        <f>'CCE1'!J97</f>
        <v>50</v>
      </c>
      <c r="E94" s="153">
        <f>'CCE2'!L97</f>
        <v>20</v>
      </c>
      <c r="F94" s="153">
        <f>'CCE3'!N97</f>
        <v>20</v>
      </c>
      <c r="G94" s="43">
        <f>SUM(Table3[[#This Row],[CCE'#1  (55)]:[CCE'#3 (20)]])</f>
        <v>90</v>
      </c>
      <c r="H94" s="155">
        <f>Table3[[#This Row],[Total (95)]]/('CCE1'!$J$9+'CCE2'!$L$9+'CCE3'!$N$9)*75</f>
        <v>71.05263157894737</v>
      </c>
    </row>
    <row r="95" spans="1:8" ht="15.75">
      <c r="A95" s="156">
        <v>88</v>
      </c>
      <c r="B95" s="150">
        <v>22220</v>
      </c>
      <c r="C95" s="151" t="s">
        <v>195</v>
      </c>
      <c r="D95" s="186">
        <f>'CCE1'!J98</f>
        <v>42</v>
      </c>
      <c r="E95" s="153">
        <f>'CCE2'!L98</f>
        <v>20</v>
      </c>
      <c r="F95" s="153">
        <f>'CCE3'!N98</f>
        <v>20</v>
      </c>
      <c r="G95" s="43">
        <f>SUM(Table3[[#This Row],[CCE'#1  (55)]:[CCE'#3 (20)]])</f>
        <v>82</v>
      </c>
      <c r="H95" s="155">
        <f>Table3[[#This Row],[Total (95)]]/('CCE1'!$J$9+'CCE2'!$L$9+'CCE3'!$N$9)*75</f>
        <v>64.736842105263165</v>
      </c>
    </row>
    <row r="96" spans="1:8" ht="15.75">
      <c r="A96" s="156">
        <v>89</v>
      </c>
      <c r="B96" s="150">
        <v>22221</v>
      </c>
      <c r="C96" s="151" t="s">
        <v>196</v>
      </c>
      <c r="D96" s="186">
        <f>'CCE1'!J99</f>
        <v>41</v>
      </c>
      <c r="E96" s="153">
        <f>'CCE2'!L99</f>
        <v>20</v>
      </c>
      <c r="F96" s="153">
        <f>'CCE3'!N99</f>
        <v>20</v>
      </c>
      <c r="G96" s="43">
        <f>SUM(Table3[[#This Row],[CCE'#1  (55)]:[CCE'#3 (20)]])</f>
        <v>81</v>
      </c>
      <c r="H96" s="155">
        <f>Table3[[#This Row],[Total (95)]]/('CCE1'!$J$9+'CCE2'!$L$9+'CCE3'!$N$9)*75</f>
        <v>63.94736842105263</v>
      </c>
    </row>
    <row r="97" spans="1:8" ht="15.75">
      <c r="A97" s="156">
        <v>90</v>
      </c>
      <c r="B97" s="150">
        <v>22222</v>
      </c>
      <c r="C97" s="151" t="s">
        <v>197</v>
      </c>
      <c r="D97" s="186">
        <f>'CCE1'!J100</f>
        <v>45</v>
      </c>
      <c r="E97" s="153">
        <f>'CCE2'!L100</f>
        <v>20</v>
      </c>
      <c r="F97" s="153">
        <f>'CCE3'!N100</f>
        <v>20</v>
      </c>
      <c r="G97" s="43">
        <f>SUM(Table3[[#This Row],[CCE'#1  (55)]:[CCE'#3 (20)]])</f>
        <v>85</v>
      </c>
      <c r="H97" s="155">
        <f>Table3[[#This Row],[Total (95)]]/('CCE1'!$J$9+'CCE2'!$L$9+'CCE3'!$N$9)*75</f>
        <v>67.10526315789474</v>
      </c>
    </row>
    <row r="98" spans="1:8" ht="15.75">
      <c r="A98" s="156">
        <v>91</v>
      </c>
      <c r="B98" s="150">
        <v>22223</v>
      </c>
      <c r="C98" s="151" t="s">
        <v>198</v>
      </c>
      <c r="D98" s="186">
        <f>'CCE1'!J101</f>
        <v>41</v>
      </c>
      <c r="E98" s="153">
        <f>'CCE2'!L101</f>
        <v>20</v>
      </c>
      <c r="F98" s="153">
        <f>'CCE3'!N101</f>
        <v>20</v>
      </c>
      <c r="G98" s="43">
        <f>SUM(Table3[[#This Row],[CCE'#1  (55)]:[CCE'#3 (20)]])</f>
        <v>81</v>
      </c>
      <c r="H98" s="155">
        <f>Table3[[#This Row],[Total (95)]]/('CCE1'!$J$9+'CCE2'!$L$9+'CCE3'!$N$9)*75</f>
        <v>63.94736842105263</v>
      </c>
    </row>
    <row r="99" spans="1:8" ht="15.75">
      <c r="A99" s="156">
        <v>92</v>
      </c>
      <c r="B99" s="150">
        <v>22224</v>
      </c>
      <c r="C99" s="151" t="s">
        <v>199</v>
      </c>
      <c r="D99" s="186">
        <f>'CCE1'!J102</f>
        <v>42</v>
      </c>
      <c r="E99" s="153">
        <f>'CCE2'!L102</f>
        <v>20</v>
      </c>
      <c r="F99" s="153">
        <f>'CCE3'!N102</f>
        <v>20</v>
      </c>
      <c r="G99" s="43">
        <f>SUM(Table3[[#This Row],[CCE'#1  (55)]:[CCE'#3 (20)]])</f>
        <v>82</v>
      </c>
      <c r="H99" s="155">
        <f>Table3[[#This Row],[Total (95)]]/('CCE1'!$J$9+'CCE2'!$L$9+'CCE3'!$N$9)*75</f>
        <v>64.736842105263165</v>
      </c>
    </row>
    <row r="100" spans="1:8" ht="15.75">
      <c r="A100" s="156">
        <v>93</v>
      </c>
      <c r="B100" s="150">
        <v>22225</v>
      </c>
      <c r="C100" s="151" t="s">
        <v>200</v>
      </c>
      <c r="D100" s="186">
        <f>'CCE1'!J103</f>
        <v>46</v>
      </c>
      <c r="E100" s="153">
        <f>'CCE2'!L103</f>
        <v>20</v>
      </c>
      <c r="F100" s="153">
        <f>'CCE3'!N103</f>
        <v>20</v>
      </c>
      <c r="G100" s="43">
        <f>SUM(Table3[[#This Row],[CCE'#1  (55)]:[CCE'#3 (20)]])</f>
        <v>86</v>
      </c>
      <c r="H100" s="155">
        <f>Table3[[#This Row],[Total (95)]]/('CCE1'!$J$9+'CCE2'!$L$9+'CCE3'!$N$9)*75</f>
        <v>67.89473684210526</v>
      </c>
    </row>
    <row r="101" spans="1:8" ht="15.75">
      <c r="A101" s="156">
        <v>94</v>
      </c>
      <c r="B101" s="150">
        <v>22226</v>
      </c>
      <c r="C101" s="151" t="s">
        <v>201</v>
      </c>
      <c r="D101" s="186">
        <f>'CCE1'!J104</f>
        <v>50</v>
      </c>
      <c r="E101" s="153">
        <f>'CCE2'!L104</f>
        <v>20</v>
      </c>
      <c r="F101" s="153">
        <f>'CCE3'!N104</f>
        <v>20</v>
      </c>
      <c r="G101" s="43">
        <f>SUM(Table3[[#This Row],[CCE'#1  (55)]:[CCE'#3 (20)]])</f>
        <v>90</v>
      </c>
      <c r="H101" s="155">
        <f>Table3[[#This Row],[Total (95)]]/('CCE1'!$J$9+'CCE2'!$L$9+'CCE3'!$N$9)*75</f>
        <v>71.05263157894737</v>
      </c>
    </row>
    <row r="102" spans="1:8" ht="15.75">
      <c r="A102" s="156">
        <v>95</v>
      </c>
      <c r="B102" s="150">
        <v>22227</v>
      </c>
      <c r="C102" s="151" t="s">
        <v>202</v>
      </c>
      <c r="D102" s="186">
        <f>'CCE1'!J105</f>
        <v>46</v>
      </c>
      <c r="E102" s="153">
        <f>'CCE2'!L105</f>
        <v>20</v>
      </c>
      <c r="F102" s="153">
        <f>'CCE3'!N105</f>
        <v>20</v>
      </c>
      <c r="G102" s="43">
        <f>SUM(Table3[[#This Row],[CCE'#1  (55)]:[CCE'#3 (20)]])</f>
        <v>86</v>
      </c>
      <c r="H102" s="155">
        <f>Table3[[#This Row],[Total (95)]]/('CCE1'!$J$9+'CCE2'!$L$9+'CCE3'!$N$9)*75</f>
        <v>67.89473684210526</v>
      </c>
    </row>
    <row r="103" spans="1:8" ht="15.75">
      <c r="A103" s="156">
        <v>96</v>
      </c>
      <c r="B103" s="150">
        <v>22228</v>
      </c>
      <c r="C103" s="151" t="s">
        <v>203</v>
      </c>
      <c r="D103" s="186">
        <f>'CCE1'!J106</f>
        <v>40</v>
      </c>
      <c r="E103" s="153">
        <f>'CCE2'!L106</f>
        <v>20</v>
      </c>
      <c r="F103" s="153">
        <f>'CCE3'!N106</f>
        <v>20</v>
      </c>
      <c r="G103" s="43">
        <f>SUM(Table3[[#This Row],[CCE'#1  (55)]:[CCE'#3 (20)]])</f>
        <v>80</v>
      </c>
      <c r="H103" s="155">
        <f>Table3[[#This Row],[Total (95)]]/('CCE1'!$J$9+'CCE2'!$L$9+'CCE3'!$N$9)*75</f>
        <v>63.157894736842103</v>
      </c>
    </row>
    <row r="104" spans="1:8" ht="15.75">
      <c r="A104" s="156">
        <v>97</v>
      </c>
      <c r="B104" s="150">
        <v>22229</v>
      </c>
      <c r="C104" s="151" t="s">
        <v>204</v>
      </c>
      <c r="D104" s="186">
        <f>'CCE1'!J107</f>
        <v>42</v>
      </c>
      <c r="E104" s="153">
        <f>'CCE2'!L107</f>
        <v>20</v>
      </c>
      <c r="F104" s="153">
        <f>'CCE3'!N107</f>
        <v>20</v>
      </c>
      <c r="G104" s="43">
        <f>SUM(Table3[[#This Row],[CCE'#1  (55)]:[CCE'#3 (20)]])</f>
        <v>82</v>
      </c>
      <c r="H104" s="155">
        <f>Table3[[#This Row],[Total (95)]]/('CCE1'!$J$9+'CCE2'!$L$9+'CCE3'!$N$9)*75</f>
        <v>64.736842105263165</v>
      </c>
    </row>
    <row r="105" spans="1:8" ht="15.75">
      <c r="A105" s="156">
        <v>98</v>
      </c>
      <c r="B105" s="150">
        <v>22230</v>
      </c>
      <c r="C105" s="151" t="s">
        <v>205</v>
      </c>
      <c r="D105" s="186">
        <f>'CCE1'!J108</f>
        <v>47</v>
      </c>
      <c r="E105" s="153">
        <f>'CCE2'!L108</f>
        <v>20</v>
      </c>
      <c r="F105" s="153">
        <f>'CCE3'!N108</f>
        <v>20</v>
      </c>
      <c r="G105" s="43">
        <f>SUM(Table3[[#This Row],[CCE'#1  (55)]:[CCE'#3 (20)]])</f>
        <v>87</v>
      </c>
      <c r="H105" s="155">
        <f>Table3[[#This Row],[Total (95)]]/('CCE1'!$J$9+'CCE2'!$L$9+'CCE3'!$N$9)*75</f>
        <v>68.68421052631578</v>
      </c>
    </row>
    <row r="106" spans="1:8" ht="15.75">
      <c r="A106" s="156">
        <v>99</v>
      </c>
      <c r="B106" s="150">
        <v>22231</v>
      </c>
      <c r="C106" s="151" t="s">
        <v>206</v>
      </c>
      <c r="D106" s="186">
        <f>'CCE1'!J109</f>
        <v>45</v>
      </c>
      <c r="E106" s="153">
        <f>'CCE2'!L109</f>
        <v>20</v>
      </c>
      <c r="F106" s="153">
        <f>'CCE3'!N109</f>
        <v>20</v>
      </c>
      <c r="G106" s="43">
        <f>SUM(Table3[[#This Row],[CCE'#1  (55)]:[CCE'#3 (20)]])</f>
        <v>85</v>
      </c>
      <c r="H106" s="155">
        <f>Table3[[#This Row],[Total (95)]]/('CCE1'!$J$9+'CCE2'!$L$9+'CCE3'!$N$9)*75</f>
        <v>67.10526315789474</v>
      </c>
    </row>
    <row r="107" spans="1:8" ht="15.75">
      <c r="A107" s="156">
        <v>100</v>
      </c>
      <c r="B107" s="150">
        <v>22232</v>
      </c>
      <c r="C107" s="151" t="s">
        <v>207</v>
      </c>
      <c r="D107" s="186">
        <f>'CCE1'!J110</f>
        <v>40</v>
      </c>
      <c r="E107" s="153">
        <f>'CCE2'!L110</f>
        <v>20</v>
      </c>
      <c r="F107" s="153">
        <f>'CCE3'!N110</f>
        <v>20</v>
      </c>
      <c r="G107" s="43">
        <f>SUM(Table3[[#This Row],[CCE'#1  (55)]:[CCE'#3 (20)]])</f>
        <v>80</v>
      </c>
      <c r="H107" s="155">
        <f>Table3[[#This Row],[Total (95)]]/('CCE1'!$J$9+'CCE2'!$L$9+'CCE3'!$N$9)*75</f>
        <v>63.157894736842103</v>
      </c>
    </row>
    <row r="108" spans="1:8" ht="15.75">
      <c r="A108" s="156">
        <v>101</v>
      </c>
      <c r="B108" s="150">
        <v>22233</v>
      </c>
      <c r="C108" s="151" t="s">
        <v>208</v>
      </c>
      <c r="D108" s="186">
        <f>'CCE1'!J111</f>
        <v>0</v>
      </c>
      <c r="E108" s="153">
        <f>'CCE2'!L111</f>
        <v>0</v>
      </c>
      <c r="F108" s="153">
        <f>'CCE3'!N111</f>
        <v>0</v>
      </c>
      <c r="G108" s="43">
        <f>SUM(Table3[[#This Row],[CCE'#1  (55)]:[CCE'#3 (20)]])</f>
        <v>0</v>
      </c>
      <c r="H108" s="155">
        <f>Table3[[#This Row],[Total (95)]]/('CCE1'!$J$9+'CCE2'!$L$9+'CCE3'!$N$9)*75</f>
        <v>0</v>
      </c>
    </row>
    <row r="109" spans="1:8" ht="15.75">
      <c r="A109" s="156">
        <v>102</v>
      </c>
      <c r="B109" s="150">
        <v>22234</v>
      </c>
      <c r="C109" s="151" t="s">
        <v>209</v>
      </c>
      <c r="D109" s="186">
        <f>'CCE1'!J112</f>
        <v>0</v>
      </c>
      <c r="E109" s="153">
        <f>'CCE2'!L112</f>
        <v>0</v>
      </c>
      <c r="F109" s="153">
        <f>'CCE3'!N112</f>
        <v>0</v>
      </c>
      <c r="G109" s="43">
        <f>SUM(Table3[[#This Row],[CCE'#1  (55)]:[CCE'#3 (20)]])</f>
        <v>0</v>
      </c>
      <c r="H109" s="155">
        <f>Table3[[#This Row],[Total (95)]]/('CCE1'!$J$9+'CCE2'!$L$9+'CCE3'!$N$9)*75</f>
        <v>0</v>
      </c>
    </row>
    <row r="110" spans="1:8" ht="15.75">
      <c r="A110" s="156">
        <v>103</v>
      </c>
      <c r="B110" s="150">
        <v>22235</v>
      </c>
      <c r="C110" s="151" t="s">
        <v>210</v>
      </c>
      <c r="D110" s="186">
        <f>'CCE1'!J113</f>
        <v>0</v>
      </c>
      <c r="E110" s="153">
        <f>'CCE2'!L113</f>
        <v>0</v>
      </c>
      <c r="F110" s="153">
        <f>'CCE3'!N113</f>
        <v>0</v>
      </c>
      <c r="G110" s="43">
        <f>SUM(Table3[[#This Row],[CCE'#1  (55)]:[CCE'#3 (20)]])</f>
        <v>0</v>
      </c>
      <c r="H110" s="155">
        <f>Table3[[#This Row],[Total (95)]]/('CCE1'!$J$9+'CCE2'!$L$9+'CCE3'!$N$9)*75</f>
        <v>0</v>
      </c>
    </row>
    <row r="111" spans="1:8" ht="15.75">
      <c r="A111" s="156">
        <v>104</v>
      </c>
      <c r="B111" s="150">
        <v>22236</v>
      </c>
      <c r="C111" s="151" t="s">
        <v>211</v>
      </c>
      <c r="D111" s="186">
        <f>'CCE1'!J114</f>
        <v>0</v>
      </c>
      <c r="E111" s="153">
        <f>'CCE2'!L114</f>
        <v>0</v>
      </c>
      <c r="F111" s="153">
        <f>'CCE3'!N114</f>
        <v>0</v>
      </c>
      <c r="G111" s="43">
        <f>SUM(Table3[[#This Row],[CCE'#1  (55)]:[CCE'#3 (20)]])</f>
        <v>0</v>
      </c>
      <c r="H111" s="155">
        <f>Table3[[#This Row],[Total (95)]]/('CCE1'!$J$9+'CCE2'!$L$9+'CCE3'!$N$9)*75</f>
        <v>0</v>
      </c>
    </row>
    <row r="112" spans="1:8" ht="15.75">
      <c r="A112" s="156">
        <v>105</v>
      </c>
      <c r="B112" s="150">
        <v>22237</v>
      </c>
      <c r="C112" s="151" t="s">
        <v>212</v>
      </c>
      <c r="D112" s="186">
        <f>'CCE1'!J115</f>
        <v>0</v>
      </c>
      <c r="E112" s="153">
        <f>'CCE2'!L115</f>
        <v>0</v>
      </c>
      <c r="F112" s="153">
        <f>'CCE3'!N115</f>
        <v>0</v>
      </c>
      <c r="G112" s="43">
        <f>SUM(Table3[[#This Row],[CCE'#1  (55)]:[CCE'#3 (20)]])</f>
        <v>0</v>
      </c>
      <c r="H112" s="155">
        <f>Table3[[#This Row],[Total (95)]]/('CCE1'!$J$9+'CCE2'!$L$9+'CCE3'!$N$9)*75</f>
        <v>0</v>
      </c>
    </row>
    <row r="113" spans="1:15" ht="15.75">
      <c r="A113" s="156">
        <v>106</v>
      </c>
      <c r="B113" s="150">
        <v>22238</v>
      </c>
      <c r="C113" s="151" t="s">
        <v>213</v>
      </c>
      <c r="D113" s="186">
        <f>'CCE1'!J116</f>
        <v>40</v>
      </c>
      <c r="E113" s="153">
        <f>'CCE2'!L116</f>
        <v>20</v>
      </c>
      <c r="F113" s="153">
        <f>'CCE3'!N116</f>
        <v>20</v>
      </c>
      <c r="G113" s="43">
        <f>SUM(Table3[[#This Row],[CCE'#1  (55)]:[CCE'#3 (20)]])</f>
        <v>80</v>
      </c>
      <c r="H113" s="155">
        <f>Table3[[#This Row],[Total (95)]]/('CCE1'!$J$9+'CCE2'!$L$9+'CCE3'!$N$9)*75</f>
        <v>63.157894736842103</v>
      </c>
    </row>
    <row r="114" spans="1:15" ht="15.75">
      <c r="A114" s="156">
        <v>107</v>
      </c>
      <c r="B114" s="150">
        <v>22239</v>
      </c>
      <c r="C114" s="151" t="s">
        <v>214</v>
      </c>
      <c r="D114" s="186">
        <f>'CCE1'!J117</f>
        <v>50</v>
      </c>
      <c r="E114" s="153">
        <f>'CCE2'!L117</f>
        <v>20</v>
      </c>
      <c r="F114" s="153">
        <f>'CCE3'!N117</f>
        <v>20</v>
      </c>
      <c r="G114" s="43">
        <f>SUM(Table3[[#This Row],[CCE'#1  (55)]:[CCE'#3 (20)]])</f>
        <v>90</v>
      </c>
      <c r="H114" s="155">
        <f>Table3[[#This Row],[Total (95)]]/('CCE1'!$J$9+'CCE2'!$L$9+'CCE3'!$N$9)*75</f>
        <v>71.05263157894737</v>
      </c>
    </row>
    <row r="115" spans="1:15" ht="15.75">
      <c r="A115" s="156">
        <v>108</v>
      </c>
      <c r="B115" s="150">
        <v>22240</v>
      </c>
      <c r="C115" s="151" t="s">
        <v>215</v>
      </c>
      <c r="D115" s="186">
        <f>'CCE1'!J118</f>
        <v>40</v>
      </c>
      <c r="E115" s="153">
        <f>'CCE2'!L118</f>
        <v>20</v>
      </c>
      <c r="F115" s="153">
        <f>'CCE3'!N118</f>
        <v>20</v>
      </c>
      <c r="G115" s="43">
        <f>SUM(Table3[[#This Row],[CCE'#1  (55)]:[CCE'#3 (20)]])</f>
        <v>80</v>
      </c>
      <c r="H115" s="155">
        <f>Table3[[#This Row],[Total (95)]]/('CCE1'!$J$9+'CCE2'!$L$9+'CCE3'!$N$9)*75</f>
        <v>63.157894736842103</v>
      </c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ht="18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81"/>
    </row>
    <row r="119" spans="1:15" ht="18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81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ht="15.75">
      <c r="A121" s="83"/>
      <c r="B121" t="str">
        <f>Faculty</f>
        <v>Anuja Mali</v>
      </c>
      <c r="C121"/>
      <c r="G121" s="2"/>
      <c r="H121" s="2"/>
      <c r="K121" s="83"/>
      <c r="L121"/>
      <c r="M121" s="83"/>
      <c r="O121"/>
    </row>
    <row r="122" spans="1:15" ht="15.75">
      <c r="A122" s="83"/>
      <c r="B122" s="83" t="str">
        <f>SubjectDetails!E17</f>
        <v>Subject Faculty</v>
      </c>
      <c r="C122" s="290"/>
      <c r="D122" s="290"/>
      <c r="E122" s="290"/>
      <c r="G122" s="2"/>
      <c r="H122" s="2"/>
      <c r="K122" s="83"/>
      <c r="L122"/>
      <c r="M122" s="83"/>
      <c r="O122" s="7"/>
    </row>
    <row r="123" spans="1:15" ht="15.75">
      <c r="A123"/>
      <c r="B123"/>
      <c r="C123" s="86"/>
      <c r="D123" s="218"/>
      <c r="E123" s="218"/>
      <c r="F123"/>
      <c r="G123" s="50"/>
      <c r="H123"/>
      <c r="I123" s="2"/>
      <c r="J123" s="2"/>
      <c r="K123"/>
      <c r="L123"/>
      <c r="M123"/>
      <c r="O123" s="7"/>
    </row>
    <row r="124" spans="1:15" ht="15.75">
      <c r="A124" s="1"/>
      <c r="B124" s="1"/>
      <c r="C124" s="1"/>
      <c r="D124" s="218"/>
      <c r="E124" s="218"/>
      <c r="F124" s="2"/>
      <c r="G124" s="50"/>
      <c r="H124" s="2"/>
      <c r="I124" s="2"/>
      <c r="J124" s="2"/>
      <c r="K124" s="2"/>
      <c r="L124" s="2"/>
      <c r="M124" s="2"/>
      <c r="N124" s="3"/>
      <c r="O124" s="7"/>
    </row>
    <row r="125" spans="1:15" ht="15.75">
      <c r="A125" s="38"/>
      <c r="B125" s="37"/>
      <c r="C125" s="37"/>
      <c r="D125" s="37"/>
      <c r="E125" s="37"/>
      <c r="F125" s="37"/>
      <c r="G125" s="3"/>
      <c r="H125" s="37"/>
      <c r="I125" s="37"/>
      <c r="J125" s="37"/>
      <c r="K125" s="37"/>
      <c r="L125" s="37"/>
      <c r="M125" s="37"/>
      <c r="N125" s="37"/>
      <c r="O125" s="37"/>
    </row>
    <row r="126" spans="1:15" s="37" customFormat="1" ht="15.75">
      <c r="A126" s="215" t="str">
        <f>SubjectDetails!A24</f>
        <v>Dr. Ravi Chourasiya</v>
      </c>
      <c r="B126" s="215"/>
      <c r="C126" s="215"/>
      <c r="D126" t="str">
        <f>SubjectDetails!E24</f>
        <v>Dr. Ashwini Chavan</v>
      </c>
      <c r="E126" s="218"/>
      <c r="F126" s="218"/>
      <c r="G126" t="str">
        <f>SubjectDetails!H24</f>
        <v>Dr. Priyanka Singh</v>
      </c>
      <c r="H126"/>
      <c r="I126" s="216"/>
      <c r="J126" s="216"/>
      <c r="K126" s="83"/>
      <c r="L126"/>
      <c r="M126" s="83"/>
      <c r="N126" s="50"/>
      <c r="O126"/>
    </row>
    <row r="127" spans="1:15" s="37" customFormat="1" ht="15.75">
      <c r="A127" s="215" t="str">
        <f>SubjectDetails!A25</f>
        <v>(College Examination Officer)</v>
      </c>
      <c r="B127" s="215"/>
      <c r="C127" s="215"/>
      <c r="D127" s="128" t="str">
        <f>SubjectDetails!E25</f>
        <v>HOD (MCA)</v>
      </c>
      <c r="E127" s="218"/>
      <c r="F127" s="218"/>
      <c r="G127" s="128" t="str">
        <f>SubjectDetails!H25</f>
        <v>Director</v>
      </c>
      <c r="H127"/>
      <c r="I127" s="216"/>
      <c r="J127" s="216"/>
      <c r="K127" s="83"/>
      <c r="L127"/>
      <c r="M127" s="83"/>
      <c r="N127" s="50"/>
      <c r="O127" s="7"/>
    </row>
  </sheetData>
  <mergeCells count="16">
    <mergeCell ref="A1:H1"/>
    <mergeCell ref="A2:H2"/>
    <mergeCell ref="A3:H3"/>
    <mergeCell ref="A4:H4"/>
    <mergeCell ref="A126:C126"/>
    <mergeCell ref="E126:F126"/>
    <mergeCell ref="A6:B6"/>
    <mergeCell ref="A5:H5"/>
    <mergeCell ref="D6:H6"/>
    <mergeCell ref="I126:J126"/>
    <mergeCell ref="A127:C127"/>
    <mergeCell ref="E127:F127"/>
    <mergeCell ref="I127:J127"/>
    <mergeCell ref="C122:E122"/>
    <mergeCell ref="D123:E123"/>
    <mergeCell ref="D124:E124"/>
  </mergeCells>
  <pageMargins left="0.7" right="0.7" top="0.75" bottom="0.75" header="0.3" footer="0.3"/>
  <pageSetup scale="75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45"/>
  <sheetViews>
    <sheetView topLeftCell="A113" zoomScaleNormal="100" workbookViewId="0">
      <selection activeCell="D128" sqref="D128"/>
    </sheetView>
  </sheetViews>
  <sheetFormatPr defaultColWidth="8.85546875" defaultRowHeight="12.75"/>
  <cols>
    <col min="1" max="1" width="8.85546875" style="7"/>
    <col min="2" max="2" width="8.28515625" style="7" bestFit="1" customWidth="1"/>
    <col min="3" max="3" width="47.85546875" style="7" bestFit="1" customWidth="1"/>
    <col min="4" max="4" width="9.28515625" style="7" bestFit="1" customWidth="1"/>
    <col min="5" max="5" width="13" style="7" customWidth="1"/>
    <col min="6" max="6" width="8" style="7" bestFit="1" customWidth="1"/>
    <col min="7" max="8" width="8" style="7" customWidth="1"/>
    <col min="9" max="17" width="8.140625" style="7" customWidth="1"/>
    <col min="18" max="18" width="6.28515625" style="7" customWidth="1"/>
    <col min="19" max="20" width="7.7109375" style="7" customWidth="1"/>
    <col min="21" max="21" width="8.7109375" style="7" customWidth="1"/>
    <col min="22" max="23" width="7.7109375" style="7" customWidth="1"/>
    <col min="24" max="24" width="9" style="7" bestFit="1" customWidth="1"/>
    <col min="25" max="16384" width="8.85546875" style="7"/>
  </cols>
  <sheetData>
    <row r="1" spans="1:27" ht="20.45" customHeight="1">
      <c r="A1" s="226" t="s">
        <v>73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</row>
    <row r="2" spans="1:27" ht="25.15" customHeight="1">
      <c r="A2" s="228" t="s">
        <v>74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7" ht="21.6" customHeight="1">
      <c r="A3" s="230" t="s">
        <v>75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</row>
    <row r="4" spans="1:27" ht="17.45" customHeight="1">
      <c r="A4" s="230" t="s">
        <v>9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</row>
    <row r="5" spans="1:27" ht="14.45" customHeight="1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>
      <c r="A6" s="12" t="str">
        <f>CONCATENATE("Faculty Name: ", Faculty)</f>
        <v>Faculty Name: Anuja Mali</v>
      </c>
      <c r="B6" s="32"/>
      <c r="C6" s="32"/>
      <c r="D6" s="32"/>
      <c r="E6" s="32"/>
      <c r="F6" s="12"/>
      <c r="G6" s="12"/>
      <c r="H6" s="12"/>
      <c r="I6" s="316" t="s">
        <v>104</v>
      </c>
      <c r="J6" s="316"/>
      <c r="K6" s="317"/>
      <c r="L6" s="322">
        <v>3</v>
      </c>
      <c r="M6" s="322"/>
      <c r="N6" s="165">
        <v>70</v>
      </c>
      <c r="O6" s="307" t="s">
        <v>27</v>
      </c>
      <c r="P6" s="308"/>
      <c r="Q6" s="308"/>
      <c r="R6" s="309"/>
      <c r="S6" s="295">
        <v>0.6</v>
      </c>
      <c r="X6" s="6"/>
      <c r="Y6" s="6"/>
      <c r="Z6" s="6"/>
      <c r="AA6" s="6"/>
    </row>
    <row r="7" spans="1:27" ht="15.75">
      <c r="A7" s="12" t="str">
        <f>CONCATENATE("Subject Name &amp; Code: ", Sub_Code)</f>
        <v>Subject Name &amp; Code: Lab IT11L</v>
      </c>
      <c r="B7" s="32"/>
      <c r="C7" s="32"/>
      <c r="D7" s="32"/>
      <c r="E7" s="32"/>
      <c r="F7" s="12"/>
      <c r="G7" s="12"/>
      <c r="H7" s="12"/>
      <c r="I7" s="318"/>
      <c r="J7" s="318"/>
      <c r="K7" s="319"/>
      <c r="L7" s="322">
        <v>2</v>
      </c>
      <c r="M7" s="322"/>
      <c r="N7" s="166">
        <v>60</v>
      </c>
      <c r="O7" s="310"/>
      <c r="P7" s="311"/>
      <c r="Q7" s="311"/>
      <c r="R7" s="312"/>
      <c r="S7" s="296"/>
      <c r="T7" s="12"/>
      <c r="U7" s="12">
        <v>60</v>
      </c>
      <c r="V7" s="12"/>
      <c r="W7" s="12"/>
      <c r="X7" s="12"/>
      <c r="Y7" s="6"/>
      <c r="Z7" s="6"/>
      <c r="AA7" s="6"/>
    </row>
    <row r="8" spans="1:27" ht="16.5" thickBot="1">
      <c r="A8" s="12" t="str">
        <f>CONCATENATE("Class: ",Class_AY)</f>
        <v>Class: MCA I SEM I AY 2023-24</v>
      </c>
      <c r="B8" s="32"/>
      <c r="C8" s="32"/>
      <c r="D8" s="32"/>
      <c r="E8" s="32"/>
      <c r="F8" s="12"/>
      <c r="G8" s="12"/>
      <c r="H8" s="12"/>
      <c r="I8" s="320"/>
      <c r="J8" s="320"/>
      <c r="K8" s="321"/>
      <c r="L8" s="322">
        <v>1</v>
      </c>
      <c r="M8" s="322"/>
      <c r="N8" s="167">
        <v>50</v>
      </c>
      <c r="O8" s="313"/>
      <c r="P8" s="314"/>
      <c r="Q8" s="314"/>
      <c r="R8" s="315"/>
      <c r="S8" s="297"/>
      <c r="T8" s="12"/>
      <c r="U8" s="6"/>
      <c r="V8" s="6"/>
      <c r="W8" s="6"/>
      <c r="X8" s="6"/>
      <c r="Y8" s="6"/>
      <c r="Z8" s="6"/>
      <c r="AA8" s="6"/>
    </row>
    <row r="9" spans="1:27" ht="13.5" thickBot="1"/>
    <row r="10" spans="1:27" ht="21" thickBot="1">
      <c r="A10" s="298" t="s">
        <v>56</v>
      </c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300"/>
    </row>
    <row r="11" spans="1:27">
      <c r="A11" s="302" t="s">
        <v>106</v>
      </c>
      <c r="B11" s="305" t="s">
        <v>6</v>
      </c>
      <c r="C11" s="294" t="s">
        <v>1</v>
      </c>
      <c r="D11" s="294" t="s">
        <v>97</v>
      </c>
      <c r="E11" s="294"/>
      <c r="F11" s="294"/>
      <c r="G11" s="294"/>
      <c r="H11" s="294"/>
      <c r="I11" s="294" t="s">
        <v>101</v>
      </c>
      <c r="J11" s="294"/>
      <c r="K11" s="294"/>
      <c r="L11" s="294"/>
      <c r="M11" s="294"/>
      <c r="N11" s="294" t="s">
        <v>98</v>
      </c>
      <c r="O11" s="294"/>
      <c r="P11" s="294"/>
      <c r="Q11" s="294"/>
      <c r="R11" s="294"/>
      <c r="S11" s="294" t="s">
        <v>217</v>
      </c>
      <c r="T11" s="294"/>
      <c r="U11" s="294"/>
      <c r="V11" s="294"/>
      <c r="W11" s="294"/>
      <c r="X11" s="301" t="s">
        <v>11</v>
      </c>
    </row>
    <row r="12" spans="1:27" ht="14.25">
      <c r="A12" s="303"/>
      <c r="B12" s="294"/>
      <c r="C12" s="294"/>
      <c r="D12" s="119">
        <v>10</v>
      </c>
      <c r="E12" s="119">
        <v>15</v>
      </c>
      <c r="F12" s="119">
        <v>15</v>
      </c>
      <c r="G12" s="119">
        <v>15</v>
      </c>
      <c r="H12" s="103"/>
      <c r="I12" s="122">
        <v>5</v>
      </c>
      <c r="J12" s="122">
        <v>5</v>
      </c>
      <c r="K12" s="122">
        <v>5</v>
      </c>
      <c r="L12" s="122">
        <v>5</v>
      </c>
      <c r="M12" s="103"/>
      <c r="N12" s="122">
        <v>5</v>
      </c>
      <c r="O12" s="122">
        <v>5</v>
      </c>
      <c r="P12" s="122">
        <v>5</v>
      </c>
      <c r="Q12" s="122">
        <v>5</v>
      </c>
      <c r="R12" s="103"/>
      <c r="S12" s="13" t="s">
        <v>2</v>
      </c>
      <c r="T12" s="13" t="s">
        <v>3</v>
      </c>
      <c r="U12" s="13" t="s">
        <v>4</v>
      </c>
      <c r="V12" s="13" t="s">
        <v>10</v>
      </c>
      <c r="W12" s="13"/>
      <c r="X12" s="301"/>
    </row>
    <row r="13" spans="1:27" ht="13.5" thickBot="1">
      <c r="A13" s="304"/>
      <c r="B13" s="306"/>
      <c r="C13" s="294"/>
      <c r="D13" s="120" t="s">
        <v>2</v>
      </c>
      <c r="E13" s="120" t="s">
        <v>3</v>
      </c>
      <c r="F13" s="120" t="s">
        <v>4</v>
      </c>
      <c r="G13" s="120" t="s">
        <v>10</v>
      </c>
      <c r="H13" s="159"/>
      <c r="I13" s="120" t="s">
        <v>2</v>
      </c>
      <c r="J13" s="120" t="s">
        <v>3</v>
      </c>
      <c r="K13" s="120" t="s">
        <v>4</v>
      </c>
      <c r="L13" s="120" t="s">
        <v>10</v>
      </c>
      <c r="M13" s="159"/>
      <c r="N13" s="120" t="s">
        <v>2</v>
      </c>
      <c r="O13" s="120" t="s">
        <v>3</v>
      </c>
      <c r="P13" s="120" t="s">
        <v>4</v>
      </c>
      <c r="Q13" s="120" t="s">
        <v>10</v>
      </c>
      <c r="R13" s="159"/>
      <c r="S13" s="132">
        <f>D12+I12+N12</f>
        <v>20</v>
      </c>
      <c r="T13" s="183">
        <f t="shared" ref="T13" si="0">E12+J12+O12</f>
        <v>25</v>
      </c>
      <c r="U13" s="183">
        <f>F12+K12+P12</f>
        <v>25</v>
      </c>
      <c r="V13" s="183">
        <f>G12+L12+Q12</f>
        <v>25</v>
      </c>
      <c r="W13" s="132"/>
      <c r="X13" s="132">
        <f>SUM(S13:W13)</f>
        <v>95</v>
      </c>
    </row>
    <row r="14" spans="1:27" ht="15.75">
      <c r="A14" s="159">
        <v>1</v>
      </c>
      <c r="B14" s="157">
        <v>22101</v>
      </c>
      <c r="C14" s="158" t="s">
        <v>108</v>
      </c>
      <c r="D14" s="164">
        <f>'CCE1'!D11</f>
        <v>9</v>
      </c>
      <c r="E14" s="164">
        <f>'CCE1'!E11</f>
        <v>12</v>
      </c>
      <c r="F14" s="164">
        <f>'CCE1'!F11</f>
        <v>15</v>
      </c>
      <c r="G14" s="164">
        <f>'CCE1'!G11</f>
        <v>15</v>
      </c>
      <c r="H14" s="164"/>
      <c r="I14" s="164">
        <f>'CCE2'!D11</f>
        <v>5</v>
      </c>
      <c r="J14" s="164">
        <f>'CCE2'!E11</f>
        <v>5</v>
      </c>
      <c r="K14" s="164">
        <f>'CCE2'!F11</f>
        <v>5</v>
      </c>
      <c r="L14" s="164">
        <f>'CCE2'!G11</f>
        <v>5</v>
      </c>
      <c r="M14" s="164"/>
      <c r="N14" s="164">
        <f>'CCE3'!D11</f>
        <v>5</v>
      </c>
      <c r="O14" s="164">
        <f>'CCE3'!E11</f>
        <v>5</v>
      </c>
      <c r="P14" s="164">
        <f>'CCE3'!F11</f>
        <v>5</v>
      </c>
      <c r="Q14" s="164">
        <f>'CCE3'!G11</f>
        <v>5</v>
      </c>
      <c r="R14" s="164"/>
      <c r="S14" s="162">
        <f>IFERROR(SUM(D14,I14,N14),"AB")</f>
        <v>19</v>
      </c>
      <c r="T14" s="162">
        <f>IFERROR(SUM(E14,J14,O14),"AB")</f>
        <v>22</v>
      </c>
      <c r="U14" s="162">
        <f>IFERROR(SUM(F14,K14,P14),"AB")</f>
        <v>25</v>
      </c>
      <c r="V14" s="162">
        <f>IFERROR(SUM(G14,L14,Q14),"AB")</f>
        <v>25</v>
      </c>
      <c r="W14" s="162"/>
      <c r="X14" s="162">
        <f t="shared" ref="X14:X77" si="1">IFERROR(SUM(S14:W14),"AB")</f>
        <v>91</v>
      </c>
    </row>
    <row r="15" spans="1:27" ht="15.75">
      <c r="A15" s="159">
        <v>2</v>
      </c>
      <c r="B15" s="157">
        <v>22102</v>
      </c>
      <c r="C15" s="158" t="s">
        <v>109</v>
      </c>
      <c r="D15" s="164">
        <f>'CCE1'!D12</f>
        <v>9</v>
      </c>
      <c r="E15" s="164">
        <f>'CCE1'!E12</f>
        <v>15</v>
      </c>
      <c r="F15" s="164">
        <f>'CCE1'!F12</f>
        <v>12</v>
      </c>
      <c r="G15" s="164">
        <f>'CCE1'!G12</f>
        <v>13</v>
      </c>
      <c r="H15" s="164"/>
      <c r="I15" s="164">
        <f>'CCE2'!D12</f>
        <v>5</v>
      </c>
      <c r="J15" s="164">
        <f>'CCE2'!E12</f>
        <v>5</v>
      </c>
      <c r="K15" s="164">
        <f>'CCE2'!F12</f>
        <v>5</v>
      </c>
      <c r="L15" s="164">
        <f>'CCE2'!G12</f>
        <v>5</v>
      </c>
      <c r="M15" s="164"/>
      <c r="N15" s="164">
        <f>'CCE3'!D12</f>
        <v>5</v>
      </c>
      <c r="O15" s="164">
        <f>'CCE3'!E12</f>
        <v>5</v>
      </c>
      <c r="P15" s="164">
        <f>'CCE3'!F12</f>
        <v>5</v>
      </c>
      <c r="Q15" s="164">
        <f>'CCE3'!G12</f>
        <v>5</v>
      </c>
      <c r="R15" s="164"/>
      <c r="S15" s="162">
        <f t="shared" ref="S15:V77" si="2">IFERROR(SUM(D15,I15,N15),"AB")</f>
        <v>19</v>
      </c>
      <c r="T15" s="162">
        <f t="shared" si="2"/>
        <v>25</v>
      </c>
      <c r="U15" s="162">
        <f t="shared" si="2"/>
        <v>22</v>
      </c>
      <c r="V15" s="162">
        <f t="shared" si="2"/>
        <v>23</v>
      </c>
      <c r="W15" s="162"/>
      <c r="X15" s="162">
        <f t="shared" si="1"/>
        <v>89</v>
      </c>
    </row>
    <row r="16" spans="1:27" ht="15.75">
      <c r="A16" s="159">
        <v>3</v>
      </c>
      <c r="B16" s="157">
        <v>22103</v>
      </c>
      <c r="C16" s="158" t="s">
        <v>110</v>
      </c>
      <c r="D16" s="164">
        <f>'CCE1'!D13</f>
        <v>9</v>
      </c>
      <c r="E16" s="164">
        <f>'CCE1'!E13</f>
        <v>13</v>
      </c>
      <c r="F16" s="164">
        <f>'CCE1'!F13</f>
        <v>15</v>
      </c>
      <c r="G16" s="164">
        <f>'CCE1'!G13</f>
        <v>14</v>
      </c>
      <c r="H16" s="164"/>
      <c r="I16" s="164">
        <f>'CCE2'!D13</f>
        <v>5</v>
      </c>
      <c r="J16" s="164">
        <f>'CCE2'!E13</f>
        <v>5</v>
      </c>
      <c r="K16" s="164">
        <f>'CCE2'!F13</f>
        <v>5</v>
      </c>
      <c r="L16" s="164">
        <f>'CCE2'!G13</f>
        <v>5</v>
      </c>
      <c r="M16" s="164"/>
      <c r="N16" s="164">
        <f>'CCE3'!D13</f>
        <v>5</v>
      </c>
      <c r="O16" s="164">
        <f>'CCE3'!E13</f>
        <v>5</v>
      </c>
      <c r="P16" s="164">
        <f>'CCE3'!F13</f>
        <v>5</v>
      </c>
      <c r="Q16" s="164">
        <f>'CCE3'!G13</f>
        <v>5</v>
      </c>
      <c r="R16" s="164"/>
      <c r="S16" s="162">
        <f t="shared" si="2"/>
        <v>19</v>
      </c>
      <c r="T16" s="162">
        <f t="shared" si="2"/>
        <v>23</v>
      </c>
      <c r="U16" s="162">
        <f t="shared" si="2"/>
        <v>25</v>
      </c>
      <c r="V16" s="162">
        <f t="shared" si="2"/>
        <v>24</v>
      </c>
      <c r="W16" s="162"/>
      <c r="X16" s="162">
        <f t="shared" si="1"/>
        <v>91</v>
      </c>
    </row>
    <row r="17" spans="1:24" ht="15.75">
      <c r="A17" s="159">
        <v>4</v>
      </c>
      <c r="B17" s="157">
        <v>22104</v>
      </c>
      <c r="C17" s="158" t="s">
        <v>111</v>
      </c>
      <c r="D17" s="164">
        <f>'CCE1'!D14</f>
        <v>10</v>
      </c>
      <c r="E17" s="164">
        <f>'CCE1'!E14</f>
        <v>14</v>
      </c>
      <c r="F17" s="164">
        <f>'CCE1'!F14</f>
        <v>12</v>
      </c>
      <c r="G17" s="164">
        <f>'CCE1'!G14</f>
        <v>13</v>
      </c>
      <c r="H17" s="164"/>
      <c r="I17" s="164">
        <f>'CCE2'!D14</f>
        <v>5</v>
      </c>
      <c r="J17" s="164">
        <f>'CCE2'!E14</f>
        <v>5</v>
      </c>
      <c r="K17" s="164">
        <f>'CCE2'!F14</f>
        <v>5</v>
      </c>
      <c r="L17" s="164">
        <f>'CCE2'!G14</f>
        <v>5</v>
      </c>
      <c r="M17" s="164"/>
      <c r="N17" s="164">
        <f>'CCE3'!D14</f>
        <v>5</v>
      </c>
      <c r="O17" s="164">
        <f>'CCE3'!E14</f>
        <v>5</v>
      </c>
      <c r="P17" s="164">
        <f>'CCE3'!F14</f>
        <v>5</v>
      </c>
      <c r="Q17" s="164">
        <f>'CCE3'!G14</f>
        <v>5</v>
      </c>
      <c r="R17" s="164"/>
      <c r="S17" s="162">
        <f t="shared" si="2"/>
        <v>20</v>
      </c>
      <c r="T17" s="162">
        <f t="shared" si="2"/>
        <v>24</v>
      </c>
      <c r="U17" s="162">
        <f t="shared" si="2"/>
        <v>22</v>
      </c>
      <c r="V17" s="162">
        <f t="shared" si="2"/>
        <v>23</v>
      </c>
      <c r="W17" s="162"/>
      <c r="X17" s="162">
        <f t="shared" si="1"/>
        <v>89</v>
      </c>
    </row>
    <row r="18" spans="1:24" ht="15.75">
      <c r="A18" s="159">
        <v>5</v>
      </c>
      <c r="B18" s="157">
        <v>22105</v>
      </c>
      <c r="C18" s="158" t="s">
        <v>112</v>
      </c>
      <c r="D18" s="164">
        <f>'CCE1'!D15</f>
        <v>9</v>
      </c>
      <c r="E18" s="164">
        <f>'CCE1'!E15</f>
        <v>12</v>
      </c>
      <c r="F18" s="164">
        <f>'CCE1'!F15</f>
        <v>10</v>
      </c>
      <c r="G18" s="164">
        <f>'CCE1'!G15</f>
        <v>10</v>
      </c>
      <c r="H18" s="164"/>
      <c r="I18" s="164">
        <f>'CCE2'!D15</f>
        <v>5</v>
      </c>
      <c r="J18" s="164">
        <f>'CCE2'!E15</f>
        <v>5</v>
      </c>
      <c r="K18" s="164">
        <f>'CCE2'!F15</f>
        <v>5</v>
      </c>
      <c r="L18" s="164">
        <f>'CCE2'!G15</f>
        <v>5</v>
      </c>
      <c r="M18" s="164"/>
      <c r="N18" s="164">
        <f>'CCE3'!D15</f>
        <v>5</v>
      </c>
      <c r="O18" s="164">
        <f>'CCE3'!E15</f>
        <v>5</v>
      </c>
      <c r="P18" s="164">
        <f>'CCE3'!F15</f>
        <v>5</v>
      </c>
      <c r="Q18" s="164">
        <f>'CCE3'!G15</f>
        <v>5</v>
      </c>
      <c r="R18" s="164"/>
      <c r="S18" s="162">
        <f t="shared" si="2"/>
        <v>19</v>
      </c>
      <c r="T18" s="162">
        <f t="shared" si="2"/>
        <v>22</v>
      </c>
      <c r="U18" s="162">
        <f t="shared" si="2"/>
        <v>20</v>
      </c>
      <c r="V18" s="162">
        <f t="shared" si="2"/>
        <v>20</v>
      </c>
      <c r="W18" s="162"/>
      <c r="X18" s="162">
        <f t="shared" si="1"/>
        <v>81</v>
      </c>
    </row>
    <row r="19" spans="1:24" ht="15.75">
      <c r="A19" s="159">
        <v>6</v>
      </c>
      <c r="B19" s="157">
        <v>22106</v>
      </c>
      <c r="C19" s="158" t="s">
        <v>113</v>
      </c>
      <c r="D19" s="164">
        <f>'CCE1'!D16</f>
        <v>9</v>
      </c>
      <c r="E19" s="164">
        <f>'CCE1'!E16</f>
        <v>14</v>
      </c>
      <c r="F19" s="164">
        <f>'CCE1'!F16</f>
        <v>12</v>
      </c>
      <c r="G19" s="164">
        <f>'CCE1'!G16</f>
        <v>13</v>
      </c>
      <c r="H19" s="164"/>
      <c r="I19" s="164">
        <f>'CCE2'!D16</f>
        <v>5</v>
      </c>
      <c r="J19" s="164">
        <f>'CCE2'!E16</f>
        <v>5</v>
      </c>
      <c r="K19" s="164">
        <f>'CCE2'!F16</f>
        <v>5</v>
      </c>
      <c r="L19" s="164">
        <f>'CCE2'!G16</f>
        <v>5</v>
      </c>
      <c r="M19" s="164"/>
      <c r="N19" s="164">
        <f>'CCE3'!D16</f>
        <v>5</v>
      </c>
      <c r="O19" s="164">
        <f>'CCE3'!E16</f>
        <v>5</v>
      </c>
      <c r="P19" s="164">
        <f>'CCE3'!F16</f>
        <v>5</v>
      </c>
      <c r="Q19" s="164">
        <f>'CCE3'!G16</f>
        <v>5</v>
      </c>
      <c r="R19" s="164"/>
      <c r="S19" s="162">
        <f t="shared" si="2"/>
        <v>19</v>
      </c>
      <c r="T19" s="162">
        <f t="shared" si="2"/>
        <v>24</v>
      </c>
      <c r="U19" s="162">
        <f t="shared" si="2"/>
        <v>22</v>
      </c>
      <c r="V19" s="162">
        <f t="shared" si="2"/>
        <v>23</v>
      </c>
      <c r="W19" s="162"/>
      <c r="X19" s="162">
        <f t="shared" si="1"/>
        <v>88</v>
      </c>
    </row>
    <row r="20" spans="1:24" ht="15.75">
      <c r="A20" s="159">
        <v>7</v>
      </c>
      <c r="B20" s="157">
        <v>22107</v>
      </c>
      <c r="C20" s="158" t="s">
        <v>114</v>
      </c>
      <c r="D20" s="164">
        <f>'CCE1'!D17</f>
        <v>9</v>
      </c>
      <c r="E20" s="164">
        <f>'CCE1'!E17</f>
        <v>13</v>
      </c>
      <c r="F20" s="164">
        <f>'CCE1'!F17</f>
        <v>14</v>
      </c>
      <c r="G20" s="164">
        <f>'CCE1'!G17</f>
        <v>15</v>
      </c>
      <c r="H20" s="164"/>
      <c r="I20" s="164">
        <f>'CCE2'!D17</f>
        <v>5</v>
      </c>
      <c r="J20" s="164">
        <f>'CCE2'!E17</f>
        <v>5</v>
      </c>
      <c r="K20" s="164">
        <f>'CCE2'!F17</f>
        <v>5</v>
      </c>
      <c r="L20" s="164">
        <f>'CCE2'!G17</f>
        <v>5</v>
      </c>
      <c r="M20" s="164"/>
      <c r="N20" s="164">
        <f>'CCE3'!D17</f>
        <v>5</v>
      </c>
      <c r="O20" s="164">
        <f>'CCE3'!E17</f>
        <v>5</v>
      </c>
      <c r="P20" s="164">
        <f>'CCE3'!F17</f>
        <v>5</v>
      </c>
      <c r="Q20" s="164">
        <f>'CCE3'!G17</f>
        <v>5</v>
      </c>
      <c r="R20" s="164"/>
      <c r="S20" s="162">
        <f t="shared" si="2"/>
        <v>19</v>
      </c>
      <c r="T20" s="162">
        <f t="shared" si="2"/>
        <v>23</v>
      </c>
      <c r="U20" s="162">
        <f t="shared" si="2"/>
        <v>24</v>
      </c>
      <c r="V20" s="162">
        <f t="shared" si="2"/>
        <v>25</v>
      </c>
      <c r="W20" s="162"/>
      <c r="X20" s="162">
        <f t="shared" si="1"/>
        <v>91</v>
      </c>
    </row>
    <row r="21" spans="1:24" ht="15.75">
      <c r="A21" s="159">
        <v>8</v>
      </c>
      <c r="B21" s="157">
        <v>22108</v>
      </c>
      <c r="C21" s="158" t="s">
        <v>115</v>
      </c>
      <c r="D21" s="164">
        <f>'CCE1'!D18</f>
        <v>9</v>
      </c>
      <c r="E21" s="164">
        <f>'CCE1'!E18</f>
        <v>14</v>
      </c>
      <c r="F21" s="164">
        <f>'CCE1'!F18</f>
        <v>13</v>
      </c>
      <c r="G21" s="164">
        <f>'CCE1'!G18</f>
        <v>12</v>
      </c>
      <c r="H21" s="164"/>
      <c r="I21" s="164">
        <f>'CCE2'!D18</f>
        <v>5</v>
      </c>
      <c r="J21" s="164">
        <f>'CCE2'!E18</f>
        <v>5</v>
      </c>
      <c r="K21" s="164">
        <f>'CCE2'!F18</f>
        <v>5</v>
      </c>
      <c r="L21" s="164">
        <f>'CCE2'!G18</f>
        <v>5</v>
      </c>
      <c r="M21" s="164"/>
      <c r="N21" s="164">
        <f>'CCE3'!D18</f>
        <v>5</v>
      </c>
      <c r="O21" s="164">
        <f>'CCE3'!E18</f>
        <v>5</v>
      </c>
      <c r="P21" s="164">
        <f>'CCE3'!F18</f>
        <v>5</v>
      </c>
      <c r="Q21" s="164">
        <f>'CCE3'!G18</f>
        <v>5</v>
      </c>
      <c r="R21" s="164"/>
      <c r="S21" s="162">
        <f t="shared" si="2"/>
        <v>19</v>
      </c>
      <c r="T21" s="162">
        <f t="shared" si="2"/>
        <v>24</v>
      </c>
      <c r="U21" s="162">
        <f t="shared" si="2"/>
        <v>23</v>
      </c>
      <c r="V21" s="162">
        <f t="shared" si="2"/>
        <v>22</v>
      </c>
      <c r="W21" s="162"/>
      <c r="X21" s="162">
        <f t="shared" si="1"/>
        <v>88</v>
      </c>
    </row>
    <row r="22" spans="1:24" ht="15.75">
      <c r="A22" s="159">
        <v>9</v>
      </c>
      <c r="B22" s="157">
        <v>22109</v>
      </c>
      <c r="C22" s="158" t="s">
        <v>116</v>
      </c>
      <c r="D22" s="164">
        <f>'CCE1'!D19</f>
        <v>9</v>
      </c>
      <c r="E22" s="164">
        <f>'CCE1'!E19</f>
        <v>14</v>
      </c>
      <c r="F22" s="164">
        <f>'CCE1'!F19</f>
        <v>12</v>
      </c>
      <c r="G22" s="164">
        <f>'CCE1'!G19</f>
        <v>12</v>
      </c>
      <c r="H22" s="164"/>
      <c r="I22" s="164">
        <f>'CCE2'!D19</f>
        <v>5</v>
      </c>
      <c r="J22" s="164">
        <f>'CCE2'!E19</f>
        <v>5</v>
      </c>
      <c r="K22" s="164">
        <f>'CCE2'!F19</f>
        <v>5</v>
      </c>
      <c r="L22" s="164">
        <f>'CCE2'!G19</f>
        <v>5</v>
      </c>
      <c r="M22" s="164"/>
      <c r="N22" s="164">
        <f>'CCE3'!D19</f>
        <v>5</v>
      </c>
      <c r="O22" s="164">
        <f>'CCE3'!E19</f>
        <v>5</v>
      </c>
      <c r="P22" s="164">
        <f>'CCE3'!F19</f>
        <v>5</v>
      </c>
      <c r="Q22" s="164">
        <f>'CCE3'!G19</f>
        <v>5</v>
      </c>
      <c r="R22" s="164"/>
      <c r="S22" s="162">
        <f t="shared" si="2"/>
        <v>19</v>
      </c>
      <c r="T22" s="162">
        <f t="shared" si="2"/>
        <v>24</v>
      </c>
      <c r="U22" s="162">
        <f t="shared" si="2"/>
        <v>22</v>
      </c>
      <c r="V22" s="162">
        <f t="shared" si="2"/>
        <v>22</v>
      </c>
      <c r="W22" s="162"/>
      <c r="X22" s="162">
        <f t="shared" si="1"/>
        <v>87</v>
      </c>
    </row>
    <row r="23" spans="1:24" ht="15.75">
      <c r="A23" s="159">
        <v>10</v>
      </c>
      <c r="B23" s="157">
        <v>22110</v>
      </c>
      <c r="C23" s="158" t="s">
        <v>117</v>
      </c>
      <c r="D23" s="164">
        <f>'CCE1'!D20</f>
        <v>10</v>
      </c>
      <c r="E23" s="164">
        <f>'CCE1'!E20</f>
        <v>13</v>
      </c>
      <c r="F23" s="164">
        <f>'CCE1'!F20</f>
        <v>12</v>
      </c>
      <c r="G23" s="164">
        <f>'CCE1'!G20</f>
        <v>13</v>
      </c>
      <c r="H23" s="164"/>
      <c r="I23" s="164">
        <f>'CCE2'!D20</f>
        <v>5</v>
      </c>
      <c r="J23" s="164">
        <f>'CCE2'!E20</f>
        <v>5</v>
      </c>
      <c r="K23" s="164">
        <f>'CCE2'!F20</f>
        <v>5</v>
      </c>
      <c r="L23" s="164">
        <f>'CCE2'!G20</f>
        <v>5</v>
      </c>
      <c r="M23" s="164"/>
      <c r="N23" s="164">
        <f>'CCE3'!D20</f>
        <v>5</v>
      </c>
      <c r="O23" s="164">
        <f>'CCE3'!E20</f>
        <v>5</v>
      </c>
      <c r="P23" s="164">
        <f>'CCE3'!F20</f>
        <v>5</v>
      </c>
      <c r="Q23" s="164">
        <f>'CCE3'!G20</f>
        <v>5</v>
      </c>
      <c r="R23" s="164"/>
      <c r="S23" s="162">
        <f t="shared" si="2"/>
        <v>20</v>
      </c>
      <c r="T23" s="162">
        <f t="shared" si="2"/>
        <v>23</v>
      </c>
      <c r="U23" s="162">
        <f t="shared" si="2"/>
        <v>22</v>
      </c>
      <c r="V23" s="162">
        <f t="shared" si="2"/>
        <v>23</v>
      </c>
      <c r="W23" s="162"/>
      <c r="X23" s="162">
        <f t="shared" si="1"/>
        <v>88</v>
      </c>
    </row>
    <row r="24" spans="1:24" ht="15.75">
      <c r="A24" s="159">
        <v>11</v>
      </c>
      <c r="B24" s="157">
        <v>22111</v>
      </c>
      <c r="C24" s="158" t="s">
        <v>118</v>
      </c>
      <c r="D24" s="164">
        <f>'CCE1'!D21</f>
        <v>9</v>
      </c>
      <c r="E24" s="164">
        <f>'CCE1'!E21</f>
        <v>13</v>
      </c>
      <c r="F24" s="164">
        <f>'CCE1'!F21</f>
        <v>13</v>
      </c>
      <c r="G24" s="164">
        <f>'CCE1'!G21</f>
        <v>13</v>
      </c>
      <c r="H24" s="164"/>
      <c r="I24" s="164">
        <f>'CCE2'!D21</f>
        <v>5</v>
      </c>
      <c r="J24" s="164">
        <f>'CCE2'!E21</f>
        <v>5</v>
      </c>
      <c r="K24" s="164">
        <f>'CCE2'!F21</f>
        <v>5</v>
      </c>
      <c r="L24" s="164">
        <f>'CCE2'!G21</f>
        <v>5</v>
      </c>
      <c r="M24" s="164"/>
      <c r="N24" s="164">
        <f>'CCE3'!D21</f>
        <v>5</v>
      </c>
      <c r="O24" s="164">
        <f>'CCE3'!E21</f>
        <v>5</v>
      </c>
      <c r="P24" s="164">
        <f>'CCE3'!F21</f>
        <v>5</v>
      </c>
      <c r="Q24" s="164">
        <f>'CCE3'!G21</f>
        <v>5</v>
      </c>
      <c r="R24" s="164"/>
      <c r="S24" s="162">
        <f t="shared" si="2"/>
        <v>19</v>
      </c>
      <c r="T24" s="162">
        <f t="shared" si="2"/>
        <v>23</v>
      </c>
      <c r="U24" s="162">
        <f t="shared" si="2"/>
        <v>23</v>
      </c>
      <c r="V24" s="162">
        <f t="shared" si="2"/>
        <v>23</v>
      </c>
      <c r="W24" s="162"/>
      <c r="X24" s="162">
        <f t="shared" si="1"/>
        <v>88</v>
      </c>
    </row>
    <row r="25" spans="1:24" ht="15.75">
      <c r="A25" s="159">
        <v>12</v>
      </c>
      <c r="B25" s="157">
        <v>22112</v>
      </c>
      <c r="C25" s="158" t="s">
        <v>119</v>
      </c>
      <c r="D25" s="164">
        <f>'CCE1'!D22</f>
        <v>9</v>
      </c>
      <c r="E25" s="164">
        <f>'CCE1'!E22</f>
        <v>12</v>
      </c>
      <c r="F25" s="164">
        <f>'CCE1'!F22</f>
        <v>14</v>
      </c>
      <c r="G25" s="164">
        <f>'CCE1'!G22</f>
        <v>14</v>
      </c>
      <c r="H25" s="164"/>
      <c r="I25" s="164">
        <f>'CCE2'!D22</f>
        <v>5</v>
      </c>
      <c r="J25" s="164">
        <f>'CCE2'!E22</f>
        <v>5</v>
      </c>
      <c r="K25" s="164">
        <f>'CCE2'!F22</f>
        <v>5</v>
      </c>
      <c r="L25" s="164">
        <f>'CCE2'!G22</f>
        <v>5</v>
      </c>
      <c r="M25" s="164"/>
      <c r="N25" s="164">
        <f>'CCE3'!D22</f>
        <v>5</v>
      </c>
      <c r="O25" s="164">
        <f>'CCE3'!E22</f>
        <v>5</v>
      </c>
      <c r="P25" s="164">
        <f>'CCE3'!F22</f>
        <v>5</v>
      </c>
      <c r="Q25" s="164">
        <f>'CCE3'!G22</f>
        <v>5</v>
      </c>
      <c r="R25" s="164"/>
      <c r="S25" s="162">
        <f t="shared" si="2"/>
        <v>19</v>
      </c>
      <c r="T25" s="162">
        <f t="shared" si="2"/>
        <v>22</v>
      </c>
      <c r="U25" s="162">
        <f t="shared" si="2"/>
        <v>24</v>
      </c>
      <c r="V25" s="162">
        <f t="shared" si="2"/>
        <v>24</v>
      </c>
      <c r="W25" s="162"/>
      <c r="X25" s="162">
        <f t="shared" si="1"/>
        <v>89</v>
      </c>
    </row>
    <row r="26" spans="1:24" ht="15.75">
      <c r="A26" s="159">
        <v>13</v>
      </c>
      <c r="B26" s="157">
        <v>22113</v>
      </c>
      <c r="C26" s="158" t="s">
        <v>120</v>
      </c>
      <c r="D26" s="164">
        <f>'CCE1'!D23</f>
        <v>9</v>
      </c>
      <c r="E26" s="164">
        <f>'CCE1'!E23</f>
        <v>13</v>
      </c>
      <c r="F26" s="164">
        <f>'CCE1'!F23</f>
        <v>13</v>
      </c>
      <c r="G26" s="164">
        <f>'CCE1'!G23</f>
        <v>13</v>
      </c>
      <c r="H26" s="164"/>
      <c r="I26" s="164">
        <f>'CCE2'!D23</f>
        <v>5</v>
      </c>
      <c r="J26" s="164">
        <f>'CCE2'!E23</f>
        <v>5</v>
      </c>
      <c r="K26" s="164">
        <f>'CCE2'!F23</f>
        <v>5</v>
      </c>
      <c r="L26" s="164">
        <f>'CCE2'!G23</f>
        <v>5</v>
      </c>
      <c r="M26" s="164"/>
      <c r="N26" s="164">
        <f>'CCE3'!D23</f>
        <v>5</v>
      </c>
      <c r="O26" s="164">
        <f>'CCE3'!E23</f>
        <v>5</v>
      </c>
      <c r="P26" s="164">
        <f>'CCE3'!F23</f>
        <v>5</v>
      </c>
      <c r="Q26" s="164">
        <f>'CCE3'!G23</f>
        <v>5</v>
      </c>
      <c r="R26" s="164"/>
      <c r="S26" s="162">
        <f t="shared" si="2"/>
        <v>19</v>
      </c>
      <c r="T26" s="162">
        <f t="shared" si="2"/>
        <v>23</v>
      </c>
      <c r="U26" s="162">
        <f t="shared" si="2"/>
        <v>23</v>
      </c>
      <c r="V26" s="162">
        <f t="shared" si="2"/>
        <v>23</v>
      </c>
      <c r="W26" s="162"/>
      <c r="X26" s="162">
        <f t="shared" si="1"/>
        <v>88</v>
      </c>
    </row>
    <row r="27" spans="1:24" ht="15.75">
      <c r="A27" s="159">
        <v>14</v>
      </c>
      <c r="B27" s="157">
        <v>22114</v>
      </c>
      <c r="C27" s="158" t="s">
        <v>121</v>
      </c>
      <c r="D27" s="164">
        <f>'CCE1'!D24</f>
        <v>9</v>
      </c>
      <c r="E27" s="164">
        <f>'CCE1'!E24</f>
        <v>15</v>
      </c>
      <c r="F27" s="164">
        <f>'CCE1'!F24</f>
        <v>11</v>
      </c>
      <c r="G27" s="164">
        <f>'CCE1'!G24</f>
        <v>11</v>
      </c>
      <c r="H27" s="164"/>
      <c r="I27" s="164">
        <f>'CCE2'!D24</f>
        <v>5</v>
      </c>
      <c r="J27" s="164">
        <f>'CCE2'!E24</f>
        <v>5</v>
      </c>
      <c r="K27" s="164">
        <f>'CCE2'!F24</f>
        <v>5</v>
      </c>
      <c r="L27" s="164">
        <f>'CCE2'!G24</f>
        <v>5</v>
      </c>
      <c r="M27" s="164"/>
      <c r="N27" s="164">
        <f>'CCE3'!D24</f>
        <v>5</v>
      </c>
      <c r="O27" s="164">
        <f>'CCE3'!E24</f>
        <v>5</v>
      </c>
      <c r="P27" s="164">
        <f>'CCE3'!F24</f>
        <v>5</v>
      </c>
      <c r="Q27" s="164">
        <f>'CCE3'!G24</f>
        <v>5</v>
      </c>
      <c r="R27" s="164"/>
      <c r="S27" s="162">
        <f t="shared" si="2"/>
        <v>19</v>
      </c>
      <c r="T27" s="162">
        <f t="shared" si="2"/>
        <v>25</v>
      </c>
      <c r="U27" s="162">
        <f t="shared" si="2"/>
        <v>21</v>
      </c>
      <c r="V27" s="162">
        <f t="shared" si="2"/>
        <v>21</v>
      </c>
      <c r="W27" s="162"/>
      <c r="X27" s="162">
        <f t="shared" si="1"/>
        <v>86</v>
      </c>
    </row>
    <row r="28" spans="1:24" ht="15.75">
      <c r="A28" s="159">
        <v>15</v>
      </c>
      <c r="B28" s="157">
        <v>22115</v>
      </c>
      <c r="C28" s="158" t="s">
        <v>122</v>
      </c>
      <c r="D28" s="164">
        <f>'CCE1'!D25</f>
        <v>10</v>
      </c>
      <c r="E28" s="164">
        <f>'CCE1'!E25</f>
        <v>12</v>
      </c>
      <c r="F28" s="164">
        <f>'CCE1'!F25</f>
        <v>14</v>
      </c>
      <c r="G28" s="164">
        <f>'CCE1'!G25</f>
        <v>13</v>
      </c>
      <c r="H28" s="164"/>
      <c r="I28" s="164">
        <f>'CCE2'!D25</f>
        <v>5</v>
      </c>
      <c r="J28" s="164">
        <f>'CCE2'!E25</f>
        <v>5</v>
      </c>
      <c r="K28" s="164">
        <f>'CCE2'!F25</f>
        <v>5</v>
      </c>
      <c r="L28" s="164">
        <f>'CCE2'!G25</f>
        <v>5</v>
      </c>
      <c r="M28" s="164"/>
      <c r="N28" s="164">
        <f>'CCE3'!D25</f>
        <v>5</v>
      </c>
      <c r="O28" s="164">
        <f>'CCE3'!E25</f>
        <v>5</v>
      </c>
      <c r="P28" s="164">
        <f>'CCE3'!F25</f>
        <v>5</v>
      </c>
      <c r="Q28" s="164">
        <f>'CCE3'!G25</f>
        <v>5</v>
      </c>
      <c r="R28" s="164"/>
      <c r="S28" s="162">
        <f t="shared" si="2"/>
        <v>20</v>
      </c>
      <c r="T28" s="162">
        <f t="shared" si="2"/>
        <v>22</v>
      </c>
      <c r="U28" s="162">
        <f t="shared" si="2"/>
        <v>24</v>
      </c>
      <c r="V28" s="162">
        <f t="shared" si="2"/>
        <v>23</v>
      </c>
      <c r="W28" s="162"/>
      <c r="X28" s="162">
        <f t="shared" si="1"/>
        <v>89</v>
      </c>
    </row>
    <row r="29" spans="1:24" s="160" customFormat="1" ht="15.75">
      <c r="A29" s="159">
        <v>16</v>
      </c>
      <c r="B29" s="157">
        <v>22116</v>
      </c>
      <c r="C29" s="158" t="s">
        <v>123</v>
      </c>
      <c r="D29" s="164">
        <f>'CCE1'!D26</f>
        <v>9</v>
      </c>
      <c r="E29" s="164">
        <f>'CCE1'!E26</f>
        <v>15</v>
      </c>
      <c r="F29" s="164">
        <f>'CCE1'!F26</f>
        <v>11</v>
      </c>
      <c r="G29" s="164">
        <f>'CCE1'!G26</f>
        <v>11</v>
      </c>
      <c r="H29" s="163"/>
      <c r="I29" s="164">
        <f>'CCE2'!D26</f>
        <v>5</v>
      </c>
      <c r="J29" s="164">
        <f>'CCE2'!E26</f>
        <v>5</v>
      </c>
      <c r="K29" s="164">
        <f>'CCE2'!F26</f>
        <v>5</v>
      </c>
      <c r="L29" s="164">
        <f>'CCE2'!G26</f>
        <v>5</v>
      </c>
      <c r="M29" s="163"/>
      <c r="N29" s="164">
        <f>'CCE3'!D26</f>
        <v>5</v>
      </c>
      <c r="O29" s="164">
        <f>'CCE3'!E26</f>
        <v>5</v>
      </c>
      <c r="P29" s="164">
        <f>'CCE3'!F26</f>
        <v>5</v>
      </c>
      <c r="Q29" s="164">
        <f>'CCE3'!G26</f>
        <v>5</v>
      </c>
      <c r="R29" s="164"/>
      <c r="S29" s="162">
        <f t="shared" si="2"/>
        <v>19</v>
      </c>
      <c r="T29" s="162">
        <f t="shared" si="2"/>
        <v>25</v>
      </c>
      <c r="U29" s="162">
        <f t="shared" si="2"/>
        <v>21</v>
      </c>
      <c r="V29" s="162">
        <f t="shared" si="2"/>
        <v>21</v>
      </c>
      <c r="W29" s="162"/>
      <c r="X29" s="162">
        <f t="shared" si="1"/>
        <v>86</v>
      </c>
    </row>
    <row r="30" spans="1:24" s="160" customFormat="1" ht="15.75">
      <c r="A30" s="159">
        <v>17</v>
      </c>
      <c r="B30" s="157">
        <v>22117</v>
      </c>
      <c r="C30" s="158" t="s">
        <v>124</v>
      </c>
      <c r="D30" s="164">
        <f>'CCE1'!D27</f>
        <v>9</v>
      </c>
      <c r="E30" s="164">
        <f>'CCE1'!E27</f>
        <v>12</v>
      </c>
      <c r="F30" s="164">
        <f>'CCE1'!F27</f>
        <v>14</v>
      </c>
      <c r="G30" s="164">
        <f>'CCE1'!G27</f>
        <v>14</v>
      </c>
      <c r="H30" s="163"/>
      <c r="I30" s="164">
        <f>'CCE2'!D27</f>
        <v>5</v>
      </c>
      <c r="J30" s="164">
        <f>'CCE2'!E27</f>
        <v>5</v>
      </c>
      <c r="K30" s="164">
        <f>'CCE2'!F27</f>
        <v>5</v>
      </c>
      <c r="L30" s="164">
        <f>'CCE2'!G27</f>
        <v>5</v>
      </c>
      <c r="M30" s="163"/>
      <c r="N30" s="164">
        <f>'CCE3'!D27</f>
        <v>5</v>
      </c>
      <c r="O30" s="164">
        <f>'CCE3'!E27</f>
        <v>5</v>
      </c>
      <c r="P30" s="164">
        <f>'CCE3'!F27</f>
        <v>5</v>
      </c>
      <c r="Q30" s="164">
        <f>'CCE3'!G27</f>
        <v>5</v>
      </c>
      <c r="R30" s="164"/>
      <c r="S30" s="162">
        <f t="shared" si="2"/>
        <v>19</v>
      </c>
      <c r="T30" s="162">
        <f t="shared" si="2"/>
        <v>22</v>
      </c>
      <c r="U30" s="162">
        <f t="shared" si="2"/>
        <v>24</v>
      </c>
      <c r="V30" s="162">
        <f t="shared" si="2"/>
        <v>24</v>
      </c>
      <c r="W30" s="162"/>
      <c r="X30" s="162">
        <f t="shared" si="1"/>
        <v>89</v>
      </c>
    </row>
    <row r="31" spans="1:24" s="160" customFormat="1" ht="15.75">
      <c r="A31" s="159">
        <v>18</v>
      </c>
      <c r="B31" s="157">
        <v>22118</v>
      </c>
      <c r="C31" s="158" t="s">
        <v>125</v>
      </c>
      <c r="D31" s="164">
        <f>'CCE1'!D28</f>
        <v>9</v>
      </c>
      <c r="E31" s="164">
        <f>'CCE1'!E28</f>
        <v>13</v>
      </c>
      <c r="F31" s="164">
        <f>'CCE1'!F28</f>
        <v>14</v>
      </c>
      <c r="G31" s="164">
        <f>'CCE1'!G28</f>
        <v>14</v>
      </c>
      <c r="H31" s="163"/>
      <c r="I31" s="164">
        <f>'CCE2'!D28</f>
        <v>5</v>
      </c>
      <c r="J31" s="164">
        <f>'CCE2'!E28</f>
        <v>5</v>
      </c>
      <c r="K31" s="164">
        <f>'CCE2'!F28</f>
        <v>5</v>
      </c>
      <c r="L31" s="164">
        <f>'CCE2'!G28</f>
        <v>5</v>
      </c>
      <c r="M31" s="163"/>
      <c r="N31" s="164">
        <f>'CCE3'!D28</f>
        <v>5</v>
      </c>
      <c r="O31" s="164">
        <f>'CCE3'!E28</f>
        <v>5</v>
      </c>
      <c r="P31" s="164">
        <f>'CCE3'!F28</f>
        <v>5</v>
      </c>
      <c r="Q31" s="164">
        <f>'CCE3'!G28</f>
        <v>5</v>
      </c>
      <c r="R31" s="164"/>
      <c r="S31" s="162">
        <f t="shared" si="2"/>
        <v>19</v>
      </c>
      <c r="T31" s="162">
        <f t="shared" si="2"/>
        <v>23</v>
      </c>
      <c r="U31" s="162">
        <f t="shared" si="2"/>
        <v>24</v>
      </c>
      <c r="V31" s="162">
        <f t="shared" si="2"/>
        <v>24</v>
      </c>
      <c r="W31" s="162"/>
      <c r="X31" s="162">
        <f t="shared" si="1"/>
        <v>90</v>
      </c>
    </row>
    <row r="32" spans="1:24" s="160" customFormat="1" ht="15.75">
      <c r="A32" s="159">
        <v>19</v>
      </c>
      <c r="B32" s="157">
        <v>22119</v>
      </c>
      <c r="C32" s="158" t="s">
        <v>126</v>
      </c>
      <c r="D32" s="164">
        <f>'CCE1'!D29</f>
        <v>10</v>
      </c>
      <c r="E32" s="164">
        <f>'CCE1'!E29</f>
        <v>12</v>
      </c>
      <c r="F32" s="164">
        <f>'CCE1'!F29</f>
        <v>12</v>
      </c>
      <c r="G32" s="164">
        <f>'CCE1'!G29</f>
        <v>12</v>
      </c>
      <c r="H32" s="163"/>
      <c r="I32" s="164">
        <f>'CCE2'!D29</f>
        <v>5</v>
      </c>
      <c r="J32" s="164">
        <f>'CCE2'!E29</f>
        <v>5</v>
      </c>
      <c r="K32" s="164">
        <f>'CCE2'!F29</f>
        <v>5</v>
      </c>
      <c r="L32" s="164">
        <f>'CCE2'!G29</f>
        <v>5</v>
      </c>
      <c r="M32" s="163"/>
      <c r="N32" s="164">
        <f>'CCE3'!D29</f>
        <v>5</v>
      </c>
      <c r="O32" s="164">
        <f>'CCE3'!E29</f>
        <v>5</v>
      </c>
      <c r="P32" s="164">
        <f>'CCE3'!F29</f>
        <v>5</v>
      </c>
      <c r="Q32" s="164">
        <f>'CCE3'!G29</f>
        <v>5</v>
      </c>
      <c r="R32" s="164"/>
      <c r="S32" s="162">
        <f t="shared" si="2"/>
        <v>20</v>
      </c>
      <c r="T32" s="162">
        <f t="shared" si="2"/>
        <v>22</v>
      </c>
      <c r="U32" s="162">
        <f t="shared" si="2"/>
        <v>22</v>
      </c>
      <c r="V32" s="162">
        <f t="shared" si="2"/>
        <v>22</v>
      </c>
      <c r="W32" s="162"/>
      <c r="X32" s="162">
        <f t="shared" si="1"/>
        <v>86</v>
      </c>
    </row>
    <row r="33" spans="1:24" s="160" customFormat="1" ht="15.75">
      <c r="A33" s="159">
        <v>20</v>
      </c>
      <c r="B33" s="157">
        <v>22120</v>
      </c>
      <c r="C33" s="158" t="s">
        <v>127</v>
      </c>
      <c r="D33" s="164">
        <f>'CCE1'!D30</f>
        <v>9</v>
      </c>
      <c r="E33" s="164">
        <f>'CCE1'!E30</f>
        <v>15</v>
      </c>
      <c r="F33" s="164">
        <f>'CCE1'!F30</f>
        <v>13</v>
      </c>
      <c r="G33" s="164">
        <f>'CCE1'!G30</f>
        <v>12</v>
      </c>
      <c r="H33" s="163"/>
      <c r="I33" s="164">
        <f>'CCE2'!D30</f>
        <v>5</v>
      </c>
      <c r="J33" s="164">
        <f>'CCE2'!E30</f>
        <v>5</v>
      </c>
      <c r="K33" s="164">
        <f>'CCE2'!F30</f>
        <v>5</v>
      </c>
      <c r="L33" s="164">
        <f>'CCE2'!G30</f>
        <v>5</v>
      </c>
      <c r="M33" s="163"/>
      <c r="N33" s="164">
        <f>'CCE3'!D30</f>
        <v>5</v>
      </c>
      <c r="O33" s="164">
        <f>'CCE3'!E30</f>
        <v>5</v>
      </c>
      <c r="P33" s="164">
        <f>'CCE3'!F30</f>
        <v>5</v>
      </c>
      <c r="Q33" s="164">
        <f>'CCE3'!G30</f>
        <v>5</v>
      </c>
      <c r="R33" s="164"/>
      <c r="S33" s="162">
        <f t="shared" si="2"/>
        <v>19</v>
      </c>
      <c r="T33" s="162">
        <f t="shared" si="2"/>
        <v>25</v>
      </c>
      <c r="U33" s="162">
        <f t="shared" si="2"/>
        <v>23</v>
      </c>
      <c r="V33" s="162">
        <f t="shared" si="2"/>
        <v>22</v>
      </c>
      <c r="W33" s="162"/>
      <c r="X33" s="162">
        <f t="shared" si="1"/>
        <v>89</v>
      </c>
    </row>
    <row r="34" spans="1:24" s="160" customFormat="1" ht="15.75">
      <c r="A34" s="159">
        <v>21</v>
      </c>
      <c r="B34" s="157">
        <v>22121</v>
      </c>
      <c r="C34" s="158" t="s">
        <v>128</v>
      </c>
      <c r="D34" s="164">
        <f>'CCE1'!D31</f>
        <v>9</v>
      </c>
      <c r="E34" s="164">
        <f>'CCE1'!E31</f>
        <v>14</v>
      </c>
      <c r="F34" s="164">
        <f>'CCE1'!F31</f>
        <v>13</v>
      </c>
      <c r="G34" s="164">
        <f>'CCE1'!G31</f>
        <v>14</v>
      </c>
      <c r="H34" s="163"/>
      <c r="I34" s="164">
        <f>'CCE2'!D31</f>
        <v>5</v>
      </c>
      <c r="J34" s="164">
        <f>'CCE2'!E31</f>
        <v>5</v>
      </c>
      <c r="K34" s="164">
        <f>'CCE2'!F31</f>
        <v>5</v>
      </c>
      <c r="L34" s="164">
        <f>'CCE2'!G31</f>
        <v>5</v>
      </c>
      <c r="M34" s="163"/>
      <c r="N34" s="164">
        <f>'CCE3'!D31</f>
        <v>5</v>
      </c>
      <c r="O34" s="164">
        <f>'CCE3'!E31</f>
        <v>5</v>
      </c>
      <c r="P34" s="164">
        <f>'CCE3'!F31</f>
        <v>5</v>
      </c>
      <c r="Q34" s="164">
        <f>'CCE3'!G31</f>
        <v>5</v>
      </c>
      <c r="R34" s="164"/>
      <c r="S34" s="162">
        <f t="shared" si="2"/>
        <v>19</v>
      </c>
      <c r="T34" s="162">
        <f t="shared" si="2"/>
        <v>24</v>
      </c>
      <c r="U34" s="162">
        <f t="shared" si="2"/>
        <v>23</v>
      </c>
      <c r="V34" s="162">
        <f t="shared" si="2"/>
        <v>24</v>
      </c>
      <c r="W34" s="162"/>
      <c r="X34" s="162">
        <f t="shared" si="1"/>
        <v>90</v>
      </c>
    </row>
    <row r="35" spans="1:24" s="160" customFormat="1" ht="15.75">
      <c r="A35" s="159">
        <v>22</v>
      </c>
      <c r="B35" s="157">
        <v>22122</v>
      </c>
      <c r="C35" s="158" t="s">
        <v>129</v>
      </c>
      <c r="D35" s="164">
        <f>'CCE1'!D32</f>
        <v>9</v>
      </c>
      <c r="E35" s="164">
        <f>'CCE1'!E32</f>
        <v>15</v>
      </c>
      <c r="F35" s="164">
        <f>'CCE1'!F32</f>
        <v>13</v>
      </c>
      <c r="G35" s="164">
        <f>'CCE1'!G32</f>
        <v>13</v>
      </c>
      <c r="H35" s="163"/>
      <c r="I35" s="164">
        <f>'CCE2'!D32</f>
        <v>5</v>
      </c>
      <c r="J35" s="164">
        <f>'CCE2'!E32</f>
        <v>5</v>
      </c>
      <c r="K35" s="164">
        <f>'CCE2'!F32</f>
        <v>5</v>
      </c>
      <c r="L35" s="164">
        <f>'CCE2'!G32</f>
        <v>5</v>
      </c>
      <c r="M35" s="163"/>
      <c r="N35" s="164">
        <f>'CCE3'!D32</f>
        <v>5</v>
      </c>
      <c r="O35" s="164">
        <f>'CCE3'!E32</f>
        <v>5</v>
      </c>
      <c r="P35" s="164">
        <f>'CCE3'!F32</f>
        <v>5</v>
      </c>
      <c r="Q35" s="164">
        <f>'CCE3'!G32</f>
        <v>5</v>
      </c>
      <c r="R35" s="164"/>
      <c r="S35" s="162">
        <f t="shared" si="2"/>
        <v>19</v>
      </c>
      <c r="T35" s="162">
        <f t="shared" si="2"/>
        <v>25</v>
      </c>
      <c r="U35" s="162">
        <f t="shared" si="2"/>
        <v>23</v>
      </c>
      <c r="V35" s="162">
        <f t="shared" si="2"/>
        <v>23</v>
      </c>
      <c r="W35" s="162"/>
      <c r="X35" s="162">
        <f t="shared" si="1"/>
        <v>90</v>
      </c>
    </row>
    <row r="36" spans="1:24" s="160" customFormat="1" ht="15.75">
      <c r="A36" s="159">
        <v>23</v>
      </c>
      <c r="B36" s="157">
        <v>22123</v>
      </c>
      <c r="C36" s="158" t="s">
        <v>130</v>
      </c>
      <c r="D36" s="164">
        <f>'CCE1'!D33</f>
        <v>9</v>
      </c>
      <c r="E36" s="164">
        <f>'CCE1'!E33</f>
        <v>15</v>
      </c>
      <c r="F36" s="164">
        <f>'CCE1'!F33</f>
        <v>11</v>
      </c>
      <c r="G36" s="164">
        <f>'CCE1'!G33</f>
        <v>11</v>
      </c>
      <c r="H36" s="163"/>
      <c r="I36" s="164">
        <f>'CCE2'!D33</f>
        <v>5</v>
      </c>
      <c r="J36" s="164">
        <f>'CCE2'!E33</f>
        <v>5</v>
      </c>
      <c r="K36" s="164">
        <f>'CCE2'!F33</f>
        <v>5</v>
      </c>
      <c r="L36" s="164">
        <f>'CCE2'!G33</f>
        <v>5</v>
      </c>
      <c r="M36" s="163"/>
      <c r="N36" s="164">
        <f>'CCE3'!D33</f>
        <v>5</v>
      </c>
      <c r="O36" s="164">
        <f>'CCE3'!E33</f>
        <v>5</v>
      </c>
      <c r="P36" s="164">
        <f>'CCE3'!F33</f>
        <v>5</v>
      </c>
      <c r="Q36" s="164">
        <f>'CCE3'!G33</f>
        <v>5</v>
      </c>
      <c r="R36" s="164"/>
      <c r="S36" s="162">
        <f t="shared" si="2"/>
        <v>19</v>
      </c>
      <c r="T36" s="162">
        <f t="shared" si="2"/>
        <v>25</v>
      </c>
      <c r="U36" s="162">
        <f t="shared" si="2"/>
        <v>21</v>
      </c>
      <c r="V36" s="162">
        <f t="shared" si="2"/>
        <v>21</v>
      </c>
      <c r="W36" s="162"/>
      <c r="X36" s="162">
        <f t="shared" si="1"/>
        <v>86</v>
      </c>
    </row>
    <row r="37" spans="1:24" s="160" customFormat="1" ht="15.75">
      <c r="A37" s="159">
        <v>24</v>
      </c>
      <c r="B37" s="157">
        <v>22124</v>
      </c>
      <c r="C37" s="158" t="s">
        <v>131</v>
      </c>
      <c r="D37" s="164">
        <f>'CCE1'!D34</f>
        <v>10</v>
      </c>
      <c r="E37" s="164">
        <f>'CCE1'!E34</f>
        <v>15</v>
      </c>
      <c r="F37" s="164">
        <f>'CCE1'!F34</f>
        <v>11</v>
      </c>
      <c r="G37" s="164">
        <f>'CCE1'!G34</f>
        <v>10</v>
      </c>
      <c r="H37" s="163"/>
      <c r="I37" s="164">
        <f>'CCE2'!D34</f>
        <v>5</v>
      </c>
      <c r="J37" s="164">
        <f>'CCE2'!E34</f>
        <v>5</v>
      </c>
      <c r="K37" s="164">
        <f>'CCE2'!F34</f>
        <v>5</v>
      </c>
      <c r="L37" s="164">
        <f>'CCE2'!G34</f>
        <v>5</v>
      </c>
      <c r="M37" s="163"/>
      <c r="N37" s="164">
        <f>'CCE3'!D34</f>
        <v>5</v>
      </c>
      <c r="O37" s="164">
        <f>'CCE3'!E34</f>
        <v>5</v>
      </c>
      <c r="P37" s="164">
        <f>'CCE3'!F34</f>
        <v>5</v>
      </c>
      <c r="Q37" s="164">
        <f>'CCE3'!G34</f>
        <v>5</v>
      </c>
      <c r="R37" s="164"/>
      <c r="S37" s="162">
        <f t="shared" si="2"/>
        <v>20</v>
      </c>
      <c r="T37" s="162">
        <f t="shared" si="2"/>
        <v>25</v>
      </c>
      <c r="U37" s="162">
        <f t="shared" si="2"/>
        <v>21</v>
      </c>
      <c r="V37" s="162">
        <f t="shared" si="2"/>
        <v>20</v>
      </c>
      <c r="W37" s="162"/>
      <c r="X37" s="162">
        <f t="shared" si="1"/>
        <v>86</v>
      </c>
    </row>
    <row r="38" spans="1:24" s="160" customFormat="1" ht="15.75">
      <c r="A38" s="159">
        <v>25</v>
      </c>
      <c r="B38" s="157">
        <v>22125</v>
      </c>
      <c r="C38" s="158" t="s">
        <v>132</v>
      </c>
      <c r="D38" s="164">
        <f>'CCE1'!D35</f>
        <v>10</v>
      </c>
      <c r="E38" s="164">
        <f>'CCE1'!E35</f>
        <v>15</v>
      </c>
      <c r="F38" s="164">
        <f>'CCE1'!F35</f>
        <v>13</v>
      </c>
      <c r="G38" s="164">
        <f>'CCE1'!G35</f>
        <v>13</v>
      </c>
      <c r="H38" s="163"/>
      <c r="I38" s="164">
        <f>'CCE2'!D35</f>
        <v>5</v>
      </c>
      <c r="J38" s="164">
        <f>'CCE2'!E35</f>
        <v>5</v>
      </c>
      <c r="K38" s="164">
        <f>'CCE2'!F35</f>
        <v>5</v>
      </c>
      <c r="L38" s="164">
        <f>'CCE2'!G35</f>
        <v>5</v>
      </c>
      <c r="M38" s="163"/>
      <c r="N38" s="164">
        <f>'CCE3'!D35</f>
        <v>5</v>
      </c>
      <c r="O38" s="164">
        <f>'CCE3'!E35</f>
        <v>5</v>
      </c>
      <c r="P38" s="164">
        <f>'CCE3'!F35</f>
        <v>5</v>
      </c>
      <c r="Q38" s="164">
        <f>'CCE3'!G35</f>
        <v>5</v>
      </c>
      <c r="R38" s="164"/>
      <c r="S38" s="162">
        <f t="shared" si="2"/>
        <v>20</v>
      </c>
      <c r="T38" s="162">
        <f t="shared" si="2"/>
        <v>25</v>
      </c>
      <c r="U38" s="162">
        <f t="shared" si="2"/>
        <v>23</v>
      </c>
      <c r="V38" s="162">
        <f t="shared" si="2"/>
        <v>23</v>
      </c>
      <c r="W38" s="162"/>
      <c r="X38" s="162">
        <f t="shared" si="1"/>
        <v>91</v>
      </c>
    </row>
    <row r="39" spans="1:24" s="160" customFormat="1" ht="15.75">
      <c r="A39" s="159">
        <v>26</v>
      </c>
      <c r="B39" s="157">
        <v>22126</v>
      </c>
      <c r="C39" s="158" t="s">
        <v>133</v>
      </c>
      <c r="D39" s="164">
        <f>'CCE1'!D36</f>
        <v>10</v>
      </c>
      <c r="E39" s="164">
        <f>'CCE1'!E36</f>
        <v>15</v>
      </c>
      <c r="F39" s="164">
        <f>'CCE1'!F36</f>
        <v>13</v>
      </c>
      <c r="G39" s="164">
        <f>'CCE1'!G36</f>
        <v>13</v>
      </c>
      <c r="H39" s="163"/>
      <c r="I39" s="164">
        <f>'CCE2'!D36</f>
        <v>5</v>
      </c>
      <c r="J39" s="164">
        <f>'CCE2'!E36</f>
        <v>5</v>
      </c>
      <c r="K39" s="164">
        <f>'CCE2'!F36</f>
        <v>5</v>
      </c>
      <c r="L39" s="164">
        <f>'CCE2'!G36</f>
        <v>5</v>
      </c>
      <c r="M39" s="163"/>
      <c r="N39" s="164">
        <f>'CCE3'!D36</f>
        <v>5</v>
      </c>
      <c r="O39" s="164">
        <f>'CCE3'!E36</f>
        <v>5</v>
      </c>
      <c r="P39" s="164">
        <f>'CCE3'!F36</f>
        <v>5</v>
      </c>
      <c r="Q39" s="164">
        <f>'CCE3'!G36</f>
        <v>5</v>
      </c>
      <c r="R39" s="164"/>
      <c r="S39" s="162">
        <f t="shared" si="2"/>
        <v>20</v>
      </c>
      <c r="T39" s="162">
        <f t="shared" si="2"/>
        <v>25</v>
      </c>
      <c r="U39" s="162">
        <f t="shared" si="2"/>
        <v>23</v>
      </c>
      <c r="V39" s="162">
        <f t="shared" si="2"/>
        <v>23</v>
      </c>
      <c r="W39" s="162"/>
      <c r="X39" s="162">
        <f t="shared" si="1"/>
        <v>91</v>
      </c>
    </row>
    <row r="40" spans="1:24" s="160" customFormat="1" ht="15.75">
      <c r="A40" s="159">
        <v>27</v>
      </c>
      <c r="B40" s="157">
        <v>22127</v>
      </c>
      <c r="C40" s="158" t="s">
        <v>134</v>
      </c>
      <c r="D40" s="164">
        <f>'CCE1'!D37</f>
        <v>10</v>
      </c>
      <c r="E40" s="164">
        <f>'CCE1'!E37</f>
        <v>14</v>
      </c>
      <c r="F40" s="164">
        <f>'CCE1'!F37</f>
        <v>12</v>
      </c>
      <c r="G40" s="164">
        <f>'CCE1'!G37</f>
        <v>12</v>
      </c>
      <c r="H40" s="163"/>
      <c r="I40" s="164">
        <f>'CCE2'!D37</f>
        <v>5</v>
      </c>
      <c r="J40" s="164">
        <f>'CCE2'!E37</f>
        <v>5</v>
      </c>
      <c r="K40" s="164">
        <f>'CCE2'!F37</f>
        <v>5</v>
      </c>
      <c r="L40" s="164">
        <f>'CCE2'!G37</f>
        <v>5</v>
      </c>
      <c r="M40" s="163"/>
      <c r="N40" s="164">
        <f>'CCE3'!D37</f>
        <v>5</v>
      </c>
      <c r="O40" s="164">
        <f>'CCE3'!E37</f>
        <v>5</v>
      </c>
      <c r="P40" s="164">
        <f>'CCE3'!F37</f>
        <v>5</v>
      </c>
      <c r="Q40" s="164">
        <f>'CCE3'!G37</f>
        <v>5</v>
      </c>
      <c r="R40" s="164"/>
      <c r="S40" s="162">
        <f t="shared" si="2"/>
        <v>20</v>
      </c>
      <c r="T40" s="162">
        <f t="shared" si="2"/>
        <v>24</v>
      </c>
      <c r="U40" s="162">
        <f t="shared" si="2"/>
        <v>22</v>
      </c>
      <c r="V40" s="162">
        <f t="shared" si="2"/>
        <v>22</v>
      </c>
      <c r="W40" s="162"/>
      <c r="X40" s="162">
        <f t="shared" si="1"/>
        <v>88</v>
      </c>
    </row>
    <row r="41" spans="1:24" s="160" customFormat="1" ht="15.75">
      <c r="A41" s="159">
        <v>28</v>
      </c>
      <c r="B41" s="157">
        <v>22128</v>
      </c>
      <c r="C41" s="158" t="s">
        <v>135</v>
      </c>
      <c r="D41" s="164">
        <f>'CCE1'!D38</f>
        <v>9</v>
      </c>
      <c r="E41" s="164">
        <f>'CCE1'!E38</f>
        <v>13</v>
      </c>
      <c r="F41" s="164">
        <f>'CCE1'!F38</f>
        <v>11</v>
      </c>
      <c r="G41" s="164">
        <f>'CCE1'!G38</f>
        <v>11</v>
      </c>
      <c r="H41" s="163"/>
      <c r="I41" s="164">
        <f>'CCE2'!D38</f>
        <v>5</v>
      </c>
      <c r="J41" s="164">
        <f>'CCE2'!E38</f>
        <v>5</v>
      </c>
      <c r="K41" s="164">
        <f>'CCE2'!F38</f>
        <v>5</v>
      </c>
      <c r="L41" s="164">
        <f>'CCE2'!G38</f>
        <v>5</v>
      </c>
      <c r="M41" s="163"/>
      <c r="N41" s="164">
        <f>'CCE3'!D38</f>
        <v>5</v>
      </c>
      <c r="O41" s="164">
        <f>'CCE3'!E38</f>
        <v>5</v>
      </c>
      <c r="P41" s="164">
        <f>'CCE3'!F38</f>
        <v>5</v>
      </c>
      <c r="Q41" s="164">
        <f>'CCE3'!G38</f>
        <v>5</v>
      </c>
      <c r="R41" s="164"/>
      <c r="S41" s="162">
        <f t="shared" si="2"/>
        <v>19</v>
      </c>
      <c r="T41" s="162">
        <f t="shared" si="2"/>
        <v>23</v>
      </c>
      <c r="U41" s="162">
        <f t="shared" si="2"/>
        <v>21</v>
      </c>
      <c r="V41" s="162">
        <f t="shared" si="2"/>
        <v>21</v>
      </c>
      <c r="W41" s="162"/>
      <c r="X41" s="162">
        <f t="shared" si="1"/>
        <v>84</v>
      </c>
    </row>
    <row r="42" spans="1:24" s="160" customFormat="1" ht="15.75">
      <c r="A42" s="159">
        <v>29</v>
      </c>
      <c r="B42" s="157">
        <v>22129</v>
      </c>
      <c r="C42" s="158" t="s">
        <v>136</v>
      </c>
      <c r="D42" s="164">
        <f>'CCE1'!D39</f>
        <v>9</v>
      </c>
      <c r="E42" s="164">
        <f>'CCE1'!E39</f>
        <v>12</v>
      </c>
      <c r="F42" s="164">
        <f>'CCE1'!F39</f>
        <v>13</v>
      </c>
      <c r="G42" s="164">
        <f>'CCE1'!G39</f>
        <v>13</v>
      </c>
      <c r="H42" s="163"/>
      <c r="I42" s="164">
        <f>'CCE2'!D39</f>
        <v>5</v>
      </c>
      <c r="J42" s="164">
        <f>'CCE2'!E39</f>
        <v>5</v>
      </c>
      <c r="K42" s="164">
        <f>'CCE2'!F39</f>
        <v>5</v>
      </c>
      <c r="L42" s="164">
        <f>'CCE2'!G39</f>
        <v>5</v>
      </c>
      <c r="M42" s="163"/>
      <c r="N42" s="164">
        <f>'CCE3'!D39</f>
        <v>5</v>
      </c>
      <c r="O42" s="164">
        <f>'CCE3'!E39</f>
        <v>5</v>
      </c>
      <c r="P42" s="164">
        <f>'CCE3'!F39</f>
        <v>5</v>
      </c>
      <c r="Q42" s="164">
        <f>'CCE3'!G39</f>
        <v>5</v>
      </c>
      <c r="R42" s="164"/>
      <c r="S42" s="162">
        <f t="shared" si="2"/>
        <v>19</v>
      </c>
      <c r="T42" s="162">
        <f t="shared" si="2"/>
        <v>22</v>
      </c>
      <c r="U42" s="162">
        <f t="shared" si="2"/>
        <v>23</v>
      </c>
      <c r="V42" s="162">
        <f t="shared" si="2"/>
        <v>23</v>
      </c>
      <c r="W42" s="162"/>
      <c r="X42" s="162">
        <f t="shared" si="1"/>
        <v>87</v>
      </c>
    </row>
    <row r="43" spans="1:24" s="160" customFormat="1" ht="15.75">
      <c r="A43" s="159">
        <v>30</v>
      </c>
      <c r="B43" s="157">
        <v>22130</v>
      </c>
      <c r="C43" s="158" t="s">
        <v>137</v>
      </c>
      <c r="D43" s="164">
        <f>'CCE1'!D40</f>
        <v>9</v>
      </c>
      <c r="E43" s="164">
        <f>'CCE1'!E40</f>
        <v>13</v>
      </c>
      <c r="F43" s="164">
        <f>'CCE1'!F40</f>
        <v>9</v>
      </c>
      <c r="G43" s="164">
        <f>'CCE1'!G40</f>
        <v>9</v>
      </c>
      <c r="H43" s="163"/>
      <c r="I43" s="164">
        <f>'CCE2'!D40</f>
        <v>5</v>
      </c>
      <c r="J43" s="164">
        <f>'CCE2'!E40</f>
        <v>5</v>
      </c>
      <c r="K43" s="164">
        <f>'CCE2'!F40</f>
        <v>5</v>
      </c>
      <c r="L43" s="164">
        <f>'CCE2'!G40</f>
        <v>5</v>
      </c>
      <c r="M43" s="163"/>
      <c r="N43" s="164">
        <f>'CCE3'!D40</f>
        <v>5</v>
      </c>
      <c r="O43" s="164">
        <f>'CCE3'!E40</f>
        <v>5</v>
      </c>
      <c r="P43" s="164">
        <f>'CCE3'!F40</f>
        <v>5</v>
      </c>
      <c r="Q43" s="164">
        <f>'CCE3'!G40</f>
        <v>5</v>
      </c>
      <c r="R43" s="164"/>
      <c r="S43" s="162">
        <f t="shared" si="2"/>
        <v>19</v>
      </c>
      <c r="T43" s="162">
        <f t="shared" si="2"/>
        <v>23</v>
      </c>
      <c r="U43" s="162">
        <f t="shared" si="2"/>
        <v>19</v>
      </c>
      <c r="V43" s="162">
        <f t="shared" si="2"/>
        <v>19</v>
      </c>
      <c r="W43" s="162"/>
      <c r="X43" s="162">
        <f t="shared" si="1"/>
        <v>80</v>
      </c>
    </row>
    <row r="44" spans="1:24" s="160" customFormat="1" ht="15.75">
      <c r="A44" s="159">
        <v>31</v>
      </c>
      <c r="B44" s="157">
        <v>22131</v>
      </c>
      <c r="C44" s="158" t="s">
        <v>138</v>
      </c>
      <c r="D44" s="164">
        <f>'CCE1'!D41</f>
        <v>10</v>
      </c>
      <c r="E44" s="164">
        <f>'CCE1'!E41</f>
        <v>12</v>
      </c>
      <c r="F44" s="164">
        <f>'CCE1'!F41</f>
        <v>12</v>
      </c>
      <c r="G44" s="164">
        <f>'CCE1'!G41</f>
        <v>12</v>
      </c>
      <c r="H44" s="163"/>
      <c r="I44" s="164">
        <f>'CCE2'!D41</f>
        <v>5</v>
      </c>
      <c r="J44" s="164">
        <f>'CCE2'!E41</f>
        <v>5</v>
      </c>
      <c r="K44" s="164">
        <f>'CCE2'!F41</f>
        <v>5</v>
      </c>
      <c r="L44" s="164">
        <f>'CCE2'!G41</f>
        <v>5</v>
      </c>
      <c r="M44" s="163"/>
      <c r="N44" s="164">
        <f>'CCE3'!D41</f>
        <v>5</v>
      </c>
      <c r="O44" s="164">
        <f>'CCE3'!E41</f>
        <v>5</v>
      </c>
      <c r="P44" s="164">
        <f>'CCE3'!F41</f>
        <v>5</v>
      </c>
      <c r="Q44" s="164">
        <f>'CCE3'!G41</f>
        <v>5</v>
      </c>
      <c r="R44" s="164"/>
      <c r="S44" s="162">
        <f t="shared" si="2"/>
        <v>20</v>
      </c>
      <c r="T44" s="162">
        <f t="shared" si="2"/>
        <v>22</v>
      </c>
      <c r="U44" s="162">
        <f t="shared" si="2"/>
        <v>22</v>
      </c>
      <c r="V44" s="162">
        <f t="shared" si="2"/>
        <v>22</v>
      </c>
      <c r="W44" s="162"/>
      <c r="X44" s="162">
        <f t="shared" si="1"/>
        <v>86</v>
      </c>
    </row>
    <row r="45" spans="1:24" s="160" customFormat="1" ht="15.75">
      <c r="A45" s="159">
        <v>32</v>
      </c>
      <c r="B45" s="157">
        <v>22132</v>
      </c>
      <c r="C45" s="158" t="s">
        <v>139</v>
      </c>
      <c r="D45" s="164">
        <f>'CCE1'!D42</f>
        <v>10</v>
      </c>
      <c r="E45" s="164">
        <f>'CCE1'!E42</f>
        <v>15</v>
      </c>
      <c r="F45" s="164">
        <f>'CCE1'!F42</f>
        <v>12</v>
      </c>
      <c r="G45" s="164">
        <f>'CCE1'!G42</f>
        <v>11</v>
      </c>
      <c r="H45" s="163"/>
      <c r="I45" s="164">
        <f>'CCE2'!D42</f>
        <v>5</v>
      </c>
      <c r="J45" s="164">
        <f>'CCE2'!E42</f>
        <v>5</v>
      </c>
      <c r="K45" s="164">
        <f>'CCE2'!F42</f>
        <v>5</v>
      </c>
      <c r="L45" s="164">
        <f>'CCE2'!G42</f>
        <v>5</v>
      </c>
      <c r="M45" s="163"/>
      <c r="N45" s="164">
        <f>'CCE3'!D42</f>
        <v>5</v>
      </c>
      <c r="O45" s="164">
        <f>'CCE3'!E42</f>
        <v>5</v>
      </c>
      <c r="P45" s="164">
        <f>'CCE3'!F42</f>
        <v>5</v>
      </c>
      <c r="Q45" s="164">
        <f>'CCE3'!G42</f>
        <v>5</v>
      </c>
      <c r="R45" s="164"/>
      <c r="S45" s="162">
        <f t="shared" si="2"/>
        <v>20</v>
      </c>
      <c r="T45" s="162">
        <f t="shared" si="2"/>
        <v>25</v>
      </c>
      <c r="U45" s="162">
        <f t="shared" si="2"/>
        <v>22</v>
      </c>
      <c r="V45" s="162">
        <f t="shared" si="2"/>
        <v>21</v>
      </c>
      <c r="W45" s="162"/>
      <c r="X45" s="162">
        <f t="shared" si="1"/>
        <v>88</v>
      </c>
    </row>
    <row r="46" spans="1:24" s="160" customFormat="1" ht="15.75">
      <c r="A46" s="159">
        <v>33</v>
      </c>
      <c r="B46" s="157">
        <v>22133</v>
      </c>
      <c r="C46" s="158" t="s">
        <v>140</v>
      </c>
      <c r="D46" s="164">
        <f>'CCE1'!D43</f>
        <v>10</v>
      </c>
      <c r="E46" s="164">
        <f>'CCE1'!E43</f>
        <v>13</v>
      </c>
      <c r="F46" s="164">
        <f>'CCE1'!F43</f>
        <v>13</v>
      </c>
      <c r="G46" s="164">
        <f>'CCE1'!G43</f>
        <v>14</v>
      </c>
      <c r="H46" s="163"/>
      <c r="I46" s="164">
        <f>'CCE2'!D43</f>
        <v>5</v>
      </c>
      <c r="J46" s="164">
        <f>'CCE2'!E43</f>
        <v>5</v>
      </c>
      <c r="K46" s="164">
        <f>'CCE2'!F43</f>
        <v>5</v>
      </c>
      <c r="L46" s="164">
        <f>'CCE2'!G43</f>
        <v>5</v>
      </c>
      <c r="M46" s="163"/>
      <c r="N46" s="164">
        <f>'CCE3'!D43</f>
        <v>5</v>
      </c>
      <c r="O46" s="164">
        <f>'CCE3'!E43</f>
        <v>5</v>
      </c>
      <c r="P46" s="164">
        <f>'CCE3'!F43</f>
        <v>5</v>
      </c>
      <c r="Q46" s="164">
        <f>'CCE3'!G43</f>
        <v>5</v>
      </c>
      <c r="R46" s="164"/>
      <c r="S46" s="162">
        <f t="shared" si="2"/>
        <v>20</v>
      </c>
      <c r="T46" s="162">
        <f t="shared" si="2"/>
        <v>23</v>
      </c>
      <c r="U46" s="162">
        <f t="shared" si="2"/>
        <v>23</v>
      </c>
      <c r="V46" s="162">
        <f t="shared" si="2"/>
        <v>24</v>
      </c>
      <c r="W46" s="162"/>
      <c r="X46" s="162">
        <f t="shared" si="1"/>
        <v>90</v>
      </c>
    </row>
    <row r="47" spans="1:24" s="160" customFormat="1" ht="15.75">
      <c r="A47" s="159">
        <v>34</v>
      </c>
      <c r="B47" s="157">
        <v>22134</v>
      </c>
      <c r="C47" s="158" t="s">
        <v>141</v>
      </c>
      <c r="D47" s="164">
        <f>'CCE1'!D44</f>
        <v>10</v>
      </c>
      <c r="E47" s="164">
        <f>'CCE1'!E44</f>
        <v>14</v>
      </c>
      <c r="F47" s="164">
        <f>'CCE1'!F44</f>
        <v>13</v>
      </c>
      <c r="G47" s="164">
        <f>'CCE1'!G44</f>
        <v>12</v>
      </c>
      <c r="H47" s="163"/>
      <c r="I47" s="164">
        <f>'CCE2'!D44</f>
        <v>5</v>
      </c>
      <c r="J47" s="164">
        <f>'CCE2'!E44</f>
        <v>5</v>
      </c>
      <c r="K47" s="164">
        <f>'CCE2'!F44</f>
        <v>5</v>
      </c>
      <c r="L47" s="164">
        <f>'CCE2'!G44</f>
        <v>5</v>
      </c>
      <c r="M47" s="163"/>
      <c r="N47" s="164">
        <f>'CCE3'!D44</f>
        <v>5</v>
      </c>
      <c r="O47" s="164">
        <f>'CCE3'!E44</f>
        <v>5</v>
      </c>
      <c r="P47" s="164">
        <f>'CCE3'!F44</f>
        <v>5</v>
      </c>
      <c r="Q47" s="164">
        <f>'CCE3'!G44</f>
        <v>5</v>
      </c>
      <c r="R47" s="164"/>
      <c r="S47" s="162">
        <f t="shared" si="2"/>
        <v>20</v>
      </c>
      <c r="T47" s="162">
        <f t="shared" si="2"/>
        <v>24</v>
      </c>
      <c r="U47" s="162">
        <f t="shared" si="2"/>
        <v>23</v>
      </c>
      <c r="V47" s="162">
        <f t="shared" si="2"/>
        <v>22</v>
      </c>
      <c r="W47" s="162"/>
      <c r="X47" s="162">
        <f t="shared" si="1"/>
        <v>89</v>
      </c>
    </row>
    <row r="48" spans="1:24" s="160" customFormat="1" ht="15.75">
      <c r="A48" s="159">
        <v>35</v>
      </c>
      <c r="B48" s="157">
        <v>22135</v>
      </c>
      <c r="C48" s="158" t="s">
        <v>142</v>
      </c>
      <c r="D48" s="164">
        <f>'CCE1'!D45</f>
        <v>10</v>
      </c>
      <c r="E48" s="164">
        <f>'CCE1'!E45</f>
        <v>15</v>
      </c>
      <c r="F48" s="164">
        <f>'CCE1'!F45</f>
        <v>10</v>
      </c>
      <c r="G48" s="164">
        <f>'CCE1'!G45</f>
        <v>10</v>
      </c>
      <c r="H48" s="163"/>
      <c r="I48" s="164">
        <f>'CCE2'!D45</f>
        <v>5</v>
      </c>
      <c r="J48" s="164">
        <f>'CCE2'!E45</f>
        <v>5</v>
      </c>
      <c r="K48" s="164">
        <f>'CCE2'!F45</f>
        <v>5</v>
      </c>
      <c r="L48" s="164">
        <f>'CCE2'!G45</f>
        <v>5</v>
      </c>
      <c r="M48" s="163"/>
      <c r="N48" s="164">
        <f>'CCE3'!D45</f>
        <v>5</v>
      </c>
      <c r="O48" s="164">
        <f>'CCE3'!E45</f>
        <v>5</v>
      </c>
      <c r="P48" s="164">
        <f>'CCE3'!F45</f>
        <v>5</v>
      </c>
      <c r="Q48" s="164">
        <f>'CCE3'!G45</f>
        <v>5</v>
      </c>
      <c r="R48" s="164"/>
      <c r="S48" s="162">
        <f t="shared" si="2"/>
        <v>20</v>
      </c>
      <c r="T48" s="162">
        <f t="shared" si="2"/>
        <v>25</v>
      </c>
      <c r="U48" s="162">
        <f t="shared" si="2"/>
        <v>20</v>
      </c>
      <c r="V48" s="162">
        <f t="shared" si="2"/>
        <v>20</v>
      </c>
      <c r="W48" s="162"/>
      <c r="X48" s="162">
        <f t="shared" si="1"/>
        <v>85</v>
      </c>
    </row>
    <row r="49" spans="1:24" s="160" customFormat="1" ht="15.75">
      <c r="A49" s="159">
        <v>36</v>
      </c>
      <c r="B49" s="157">
        <v>22136</v>
      </c>
      <c r="C49" s="158" t="s">
        <v>143</v>
      </c>
      <c r="D49" s="164">
        <f>'CCE1'!D46</f>
        <v>10</v>
      </c>
      <c r="E49" s="164">
        <f>'CCE1'!E46</f>
        <v>14</v>
      </c>
      <c r="F49" s="164">
        <f>'CCE1'!F46</f>
        <v>11</v>
      </c>
      <c r="G49" s="164">
        <f>'CCE1'!G46</f>
        <v>10</v>
      </c>
      <c r="H49" s="163"/>
      <c r="I49" s="164">
        <f>'CCE2'!D46</f>
        <v>5</v>
      </c>
      <c r="J49" s="164">
        <f>'CCE2'!E46</f>
        <v>5</v>
      </c>
      <c r="K49" s="164">
        <f>'CCE2'!F46</f>
        <v>5</v>
      </c>
      <c r="L49" s="164">
        <f>'CCE2'!G46</f>
        <v>5</v>
      </c>
      <c r="M49" s="163"/>
      <c r="N49" s="164">
        <f>'CCE3'!D46</f>
        <v>5</v>
      </c>
      <c r="O49" s="164">
        <f>'CCE3'!E46</f>
        <v>5</v>
      </c>
      <c r="P49" s="164">
        <f>'CCE3'!F46</f>
        <v>5</v>
      </c>
      <c r="Q49" s="164">
        <f>'CCE3'!G46</f>
        <v>5</v>
      </c>
      <c r="R49" s="164"/>
      <c r="S49" s="162">
        <f t="shared" si="2"/>
        <v>20</v>
      </c>
      <c r="T49" s="162">
        <f t="shared" si="2"/>
        <v>24</v>
      </c>
      <c r="U49" s="162">
        <f t="shared" si="2"/>
        <v>21</v>
      </c>
      <c r="V49" s="162">
        <f t="shared" si="2"/>
        <v>20</v>
      </c>
      <c r="W49" s="162"/>
      <c r="X49" s="162">
        <f t="shared" si="1"/>
        <v>85</v>
      </c>
    </row>
    <row r="50" spans="1:24" s="160" customFormat="1" ht="15.75">
      <c r="A50" s="159">
        <v>37</v>
      </c>
      <c r="B50" s="157">
        <v>22137</v>
      </c>
      <c r="C50" s="158" t="s">
        <v>144</v>
      </c>
      <c r="D50" s="164">
        <f>'CCE1'!D47</f>
        <v>9</v>
      </c>
      <c r="E50" s="164">
        <f>'CCE1'!E47</f>
        <v>12</v>
      </c>
      <c r="F50" s="164">
        <f>'CCE1'!F47</f>
        <v>11</v>
      </c>
      <c r="G50" s="164">
        <f>'CCE1'!G47</f>
        <v>11</v>
      </c>
      <c r="H50" s="163"/>
      <c r="I50" s="164">
        <f>'CCE2'!D47</f>
        <v>5</v>
      </c>
      <c r="J50" s="164">
        <f>'CCE2'!E47</f>
        <v>5</v>
      </c>
      <c r="K50" s="164">
        <f>'CCE2'!F47</f>
        <v>5</v>
      </c>
      <c r="L50" s="164">
        <f>'CCE2'!G47</f>
        <v>5</v>
      </c>
      <c r="M50" s="163"/>
      <c r="N50" s="164">
        <f>'CCE3'!D47</f>
        <v>5</v>
      </c>
      <c r="O50" s="164">
        <f>'CCE3'!E47</f>
        <v>5</v>
      </c>
      <c r="P50" s="164">
        <f>'CCE3'!F47</f>
        <v>5</v>
      </c>
      <c r="Q50" s="164">
        <f>'CCE3'!G47</f>
        <v>5</v>
      </c>
      <c r="R50" s="164"/>
      <c r="S50" s="162">
        <f t="shared" si="2"/>
        <v>19</v>
      </c>
      <c r="T50" s="162">
        <f t="shared" si="2"/>
        <v>22</v>
      </c>
      <c r="U50" s="162">
        <f t="shared" si="2"/>
        <v>21</v>
      </c>
      <c r="V50" s="162">
        <f t="shared" si="2"/>
        <v>21</v>
      </c>
      <c r="W50" s="162"/>
      <c r="X50" s="162">
        <f t="shared" si="1"/>
        <v>83</v>
      </c>
    </row>
    <row r="51" spans="1:24" s="160" customFormat="1" ht="15.75">
      <c r="A51" s="159">
        <v>38</v>
      </c>
      <c r="B51" s="157">
        <v>22138</v>
      </c>
      <c r="C51" s="158" t="s">
        <v>145</v>
      </c>
      <c r="D51" s="164">
        <f>'CCE1'!D48</f>
        <v>9</v>
      </c>
      <c r="E51" s="164">
        <f>'CCE1'!E48</f>
        <v>13</v>
      </c>
      <c r="F51" s="164">
        <f>'CCE1'!F48</f>
        <v>12</v>
      </c>
      <c r="G51" s="164">
        <f>'CCE1'!G48</f>
        <v>11</v>
      </c>
      <c r="H51" s="163"/>
      <c r="I51" s="164">
        <f>'CCE2'!D48</f>
        <v>5</v>
      </c>
      <c r="J51" s="164">
        <f>'CCE2'!E48</f>
        <v>5</v>
      </c>
      <c r="K51" s="164">
        <f>'CCE2'!F48</f>
        <v>5</v>
      </c>
      <c r="L51" s="164">
        <f>'CCE2'!G48</f>
        <v>5</v>
      </c>
      <c r="M51" s="163"/>
      <c r="N51" s="164">
        <f>'CCE3'!D48</f>
        <v>5</v>
      </c>
      <c r="O51" s="164">
        <f>'CCE3'!E48</f>
        <v>5</v>
      </c>
      <c r="P51" s="164">
        <f>'CCE3'!F48</f>
        <v>5</v>
      </c>
      <c r="Q51" s="164">
        <f>'CCE3'!G48</f>
        <v>5</v>
      </c>
      <c r="R51" s="164"/>
      <c r="S51" s="162">
        <f t="shared" si="2"/>
        <v>19</v>
      </c>
      <c r="T51" s="162">
        <f t="shared" si="2"/>
        <v>23</v>
      </c>
      <c r="U51" s="162">
        <f t="shared" si="2"/>
        <v>22</v>
      </c>
      <c r="V51" s="162">
        <f t="shared" si="2"/>
        <v>21</v>
      </c>
      <c r="W51" s="162"/>
      <c r="X51" s="162">
        <f t="shared" si="1"/>
        <v>85</v>
      </c>
    </row>
    <row r="52" spans="1:24" s="160" customFormat="1" ht="15.75">
      <c r="A52" s="159">
        <v>39</v>
      </c>
      <c r="B52" s="157">
        <v>22139</v>
      </c>
      <c r="C52" s="158" t="s">
        <v>146</v>
      </c>
      <c r="D52" s="164">
        <f>'CCE1'!D49</f>
        <v>9</v>
      </c>
      <c r="E52" s="164">
        <f>'CCE1'!E49</f>
        <v>12</v>
      </c>
      <c r="F52" s="164">
        <f>'CCE1'!F49</f>
        <v>14</v>
      </c>
      <c r="G52" s="164">
        <f>'CCE1'!G49</f>
        <v>14</v>
      </c>
      <c r="H52" s="163"/>
      <c r="I52" s="164">
        <f>'CCE2'!D49</f>
        <v>5</v>
      </c>
      <c r="J52" s="164">
        <f>'CCE2'!E49</f>
        <v>5</v>
      </c>
      <c r="K52" s="164">
        <f>'CCE2'!F49</f>
        <v>5</v>
      </c>
      <c r="L52" s="164">
        <f>'CCE2'!G49</f>
        <v>5</v>
      </c>
      <c r="M52" s="163"/>
      <c r="N52" s="164">
        <f>'CCE3'!D49</f>
        <v>5</v>
      </c>
      <c r="O52" s="164">
        <f>'CCE3'!E49</f>
        <v>5</v>
      </c>
      <c r="P52" s="164">
        <f>'CCE3'!F49</f>
        <v>5</v>
      </c>
      <c r="Q52" s="164">
        <f>'CCE3'!G49</f>
        <v>5</v>
      </c>
      <c r="R52" s="164"/>
      <c r="S52" s="162">
        <f t="shared" si="2"/>
        <v>19</v>
      </c>
      <c r="T52" s="162">
        <f t="shared" si="2"/>
        <v>22</v>
      </c>
      <c r="U52" s="162">
        <f t="shared" si="2"/>
        <v>24</v>
      </c>
      <c r="V52" s="162">
        <f t="shared" si="2"/>
        <v>24</v>
      </c>
      <c r="W52" s="162"/>
      <c r="X52" s="162">
        <f t="shared" si="1"/>
        <v>89</v>
      </c>
    </row>
    <row r="53" spans="1:24" s="160" customFormat="1" ht="15.75">
      <c r="A53" s="159">
        <v>40</v>
      </c>
      <c r="B53" s="157">
        <v>22140</v>
      </c>
      <c r="C53" s="158" t="s">
        <v>147</v>
      </c>
      <c r="D53" s="164">
        <f>'CCE1'!D50</f>
        <v>10</v>
      </c>
      <c r="E53" s="164">
        <f>'CCE1'!E50</f>
        <v>14</v>
      </c>
      <c r="F53" s="164">
        <f>'CCE1'!F50</f>
        <v>12</v>
      </c>
      <c r="G53" s="164">
        <f>'CCE1'!G50</f>
        <v>13</v>
      </c>
      <c r="H53" s="163"/>
      <c r="I53" s="164">
        <f>'CCE2'!D50</f>
        <v>5</v>
      </c>
      <c r="J53" s="164">
        <f>'CCE2'!E50</f>
        <v>5</v>
      </c>
      <c r="K53" s="164">
        <f>'CCE2'!F50</f>
        <v>5</v>
      </c>
      <c r="L53" s="164">
        <f>'CCE2'!G50</f>
        <v>5</v>
      </c>
      <c r="M53" s="163"/>
      <c r="N53" s="164">
        <f>'CCE3'!D50</f>
        <v>5</v>
      </c>
      <c r="O53" s="164">
        <f>'CCE3'!E50</f>
        <v>5</v>
      </c>
      <c r="P53" s="164">
        <f>'CCE3'!F50</f>
        <v>5</v>
      </c>
      <c r="Q53" s="164">
        <f>'CCE3'!G50</f>
        <v>5</v>
      </c>
      <c r="R53" s="164"/>
      <c r="S53" s="162">
        <f t="shared" si="2"/>
        <v>20</v>
      </c>
      <c r="T53" s="162">
        <f t="shared" si="2"/>
        <v>24</v>
      </c>
      <c r="U53" s="162">
        <f t="shared" si="2"/>
        <v>22</v>
      </c>
      <c r="V53" s="162">
        <f t="shared" si="2"/>
        <v>23</v>
      </c>
      <c r="W53" s="162"/>
      <c r="X53" s="162">
        <f t="shared" si="1"/>
        <v>89</v>
      </c>
    </row>
    <row r="54" spans="1:24" s="160" customFormat="1" ht="15.75">
      <c r="A54" s="159">
        <v>41</v>
      </c>
      <c r="B54" s="157">
        <v>22141</v>
      </c>
      <c r="C54" s="158" t="s">
        <v>148</v>
      </c>
      <c r="D54" s="164">
        <f>'CCE1'!D51</f>
        <v>9</v>
      </c>
      <c r="E54" s="164">
        <f>'CCE1'!E51</f>
        <v>15</v>
      </c>
      <c r="F54" s="164">
        <f>'CCE1'!F51</f>
        <v>11</v>
      </c>
      <c r="G54" s="164">
        <f>'CCE1'!G51</f>
        <v>10</v>
      </c>
      <c r="H54" s="163"/>
      <c r="I54" s="164">
        <f>'CCE2'!D51</f>
        <v>5</v>
      </c>
      <c r="J54" s="164">
        <f>'CCE2'!E51</f>
        <v>5</v>
      </c>
      <c r="K54" s="164">
        <f>'CCE2'!F51</f>
        <v>5</v>
      </c>
      <c r="L54" s="164">
        <f>'CCE2'!G51</f>
        <v>5</v>
      </c>
      <c r="M54" s="163"/>
      <c r="N54" s="164">
        <f>'CCE3'!D51</f>
        <v>5</v>
      </c>
      <c r="O54" s="164">
        <f>'CCE3'!E51</f>
        <v>5</v>
      </c>
      <c r="P54" s="164">
        <f>'CCE3'!F51</f>
        <v>5</v>
      </c>
      <c r="Q54" s="164">
        <f>'CCE3'!G51</f>
        <v>5</v>
      </c>
      <c r="R54" s="164"/>
      <c r="S54" s="162">
        <f t="shared" si="2"/>
        <v>19</v>
      </c>
      <c r="T54" s="162">
        <f t="shared" si="2"/>
        <v>25</v>
      </c>
      <c r="U54" s="162">
        <f t="shared" si="2"/>
        <v>21</v>
      </c>
      <c r="V54" s="162">
        <f t="shared" si="2"/>
        <v>20</v>
      </c>
      <c r="W54" s="162"/>
      <c r="X54" s="162">
        <f t="shared" si="1"/>
        <v>85</v>
      </c>
    </row>
    <row r="55" spans="1:24" s="160" customFormat="1" ht="15.75">
      <c r="A55" s="159">
        <v>42</v>
      </c>
      <c r="B55" s="157">
        <v>22142</v>
      </c>
      <c r="C55" s="158" t="s">
        <v>149</v>
      </c>
      <c r="D55" s="164">
        <f>'CCE1'!D52</f>
        <v>9</v>
      </c>
      <c r="E55" s="164">
        <f>'CCE1'!E52</f>
        <v>15</v>
      </c>
      <c r="F55" s="164">
        <f>'CCE1'!F52</f>
        <v>8</v>
      </c>
      <c r="G55" s="164">
        <f>'CCE1'!G52</f>
        <v>8</v>
      </c>
      <c r="H55" s="163"/>
      <c r="I55" s="164">
        <f>'CCE2'!D52</f>
        <v>5</v>
      </c>
      <c r="J55" s="164">
        <f>'CCE2'!E52</f>
        <v>5</v>
      </c>
      <c r="K55" s="164">
        <f>'CCE2'!F52</f>
        <v>5</v>
      </c>
      <c r="L55" s="164">
        <f>'CCE2'!G52</f>
        <v>5</v>
      </c>
      <c r="M55" s="163"/>
      <c r="N55" s="164">
        <f>'CCE3'!D52</f>
        <v>5</v>
      </c>
      <c r="O55" s="164">
        <f>'CCE3'!E52</f>
        <v>5</v>
      </c>
      <c r="P55" s="164">
        <f>'CCE3'!F52</f>
        <v>5</v>
      </c>
      <c r="Q55" s="164">
        <f>'CCE3'!G52</f>
        <v>5</v>
      </c>
      <c r="R55" s="164"/>
      <c r="S55" s="162">
        <f t="shared" si="2"/>
        <v>19</v>
      </c>
      <c r="T55" s="162">
        <f t="shared" si="2"/>
        <v>25</v>
      </c>
      <c r="U55" s="162">
        <f t="shared" si="2"/>
        <v>18</v>
      </c>
      <c r="V55" s="162">
        <f t="shared" si="2"/>
        <v>18</v>
      </c>
      <c r="W55" s="162"/>
      <c r="X55" s="162">
        <f t="shared" si="1"/>
        <v>80</v>
      </c>
    </row>
    <row r="56" spans="1:24" s="160" customFormat="1" ht="15.75">
      <c r="A56" s="159">
        <v>43</v>
      </c>
      <c r="B56" s="157">
        <v>22143</v>
      </c>
      <c r="C56" s="158" t="s">
        <v>150</v>
      </c>
      <c r="D56" s="164">
        <f>'CCE1'!D53</f>
        <v>9</v>
      </c>
      <c r="E56" s="164">
        <f>'CCE1'!E53</f>
        <v>13</v>
      </c>
      <c r="F56" s="164">
        <f>'CCE1'!F53</f>
        <v>12</v>
      </c>
      <c r="G56" s="164">
        <f>'CCE1'!G53</f>
        <v>13</v>
      </c>
      <c r="H56" s="163"/>
      <c r="I56" s="164">
        <f>'CCE2'!D53</f>
        <v>5</v>
      </c>
      <c r="J56" s="164">
        <f>'CCE2'!E53</f>
        <v>5</v>
      </c>
      <c r="K56" s="164">
        <f>'CCE2'!F53</f>
        <v>5</v>
      </c>
      <c r="L56" s="164">
        <f>'CCE2'!G53</f>
        <v>5</v>
      </c>
      <c r="M56" s="163"/>
      <c r="N56" s="164">
        <f>'CCE3'!D53</f>
        <v>5</v>
      </c>
      <c r="O56" s="164">
        <f>'CCE3'!E53</f>
        <v>5</v>
      </c>
      <c r="P56" s="164">
        <f>'CCE3'!F53</f>
        <v>5</v>
      </c>
      <c r="Q56" s="164">
        <f>'CCE3'!G53</f>
        <v>5</v>
      </c>
      <c r="R56" s="164"/>
      <c r="S56" s="162">
        <f t="shared" si="2"/>
        <v>19</v>
      </c>
      <c r="T56" s="162">
        <f t="shared" si="2"/>
        <v>23</v>
      </c>
      <c r="U56" s="162">
        <f t="shared" si="2"/>
        <v>22</v>
      </c>
      <c r="V56" s="162">
        <f t="shared" si="2"/>
        <v>23</v>
      </c>
      <c r="W56" s="162"/>
      <c r="X56" s="162">
        <f t="shared" si="1"/>
        <v>87</v>
      </c>
    </row>
    <row r="57" spans="1:24" s="160" customFormat="1" ht="15.75">
      <c r="A57" s="159">
        <v>44</v>
      </c>
      <c r="B57" s="157">
        <v>22144</v>
      </c>
      <c r="C57" s="158" t="s">
        <v>151</v>
      </c>
      <c r="D57" s="164">
        <f>'CCE1'!D54</f>
        <v>9</v>
      </c>
      <c r="E57" s="164">
        <f>'CCE1'!E54</f>
        <v>13</v>
      </c>
      <c r="F57" s="164">
        <f>'CCE1'!F54</f>
        <v>12</v>
      </c>
      <c r="G57" s="164">
        <f>'CCE1'!G54</f>
        <v>12</v>
      </c>
      <c r="H57" s="163"/>
      <c r="I57" s="164">
        <f>'CCE2'!D54</f>
        <v>5</v>
      </c>
      <c r="J57" s="164">
        <f>'CCE2'!E54</f>
        <v>5</v>
      </c>
      <c r="K57" s="164">
        <f>'CCE2'!F54</f>
        <v>5</v>
      </c>
      <c r="L57" s="164">
        <f>'CCE2'!G54</f>
        <v>5</v>
      </c>
      <c r="M57" s="163"/>
      <c r="N57" s="164">
        <f>'CCE3'!D54</f>
        <v>5</v>
      </c>
      <c r="O57" s="164">
        <f>'CCE3'!E54</f>
        <v>5</v>
      </c>
      <c r="P57" s="164">
        <f>'CCE3'!F54</f>
        <v>5</v>
      </c>
      <c r="Q57" s="164">
        <f>'CCE3'!G54</f>
        <v>5</v>
      </c>
      <c r="R57" s="164"/>
      <c r="S57" s="162">
        <f t="shared" si="2"/>
        <v>19</v>
      </c>
      <c r="T57" s="162">
        <f t="shared" si="2"/>
        <v>23</v>
      </c>
      <c r="U57" s="162">
        <f t="shared" si="2"/>
        <v>22</v>
      </c>
      <c r="V57" s="162">
        <f t="shared" si="2"/>
        <v>22</v>
      </c>
      <c r="W57" s="162"/>
      <c r="X57" s="162">
        <f t="shared" si="1"/>
        <v>86</v>
      </c>
    </row>
    <row r="58" spans="1:24" s="160" customFormat="1" ht="15.75">
      <c r="A58" s="159">
        <v>45</v>
      </c>
      <c r="B58" s="157">
        <v>22145</v>
      </c>
      <c r="C58" s="158" t="s">
        <v>152</v>
      </c>
      <c r="D58" s="164">
        <f>'CCE1'!D55</f>
        <v>10</v>
      </c>
      <c r="E58" s="164">
        <f>'CCE1'!E55</f>
        <v>14</v>
      </c>
      <c r="F58" s="164">
        <f>'CCE1'!F55</f>
        <v>11</v>
      </c>
      <c r="G58" s="164">
        <f>'CCE1'!G55</f>
        <v>10</v>
      </c>
      <c r="H58" s="163"/>
      <c r="I58" s="164">
        <f>'CCE2'!D55</f>
        <v>5</v>
      </c>
      <c r="J58" s="164">
        <f>'CCE2'!E55</f>
        <v>5</v>
      </c>
      <c r="K58" s="164">
        <f>'CCE2'!F55</f>
        <v>5</v>
      </c>
      <c r="L58" s="164">
        <f>'CCE2'!G55</f>
        <v>5</v>
      </c>
      <c r="M58" s="163"/>
      <c r="N58" s="164">
        <f>'CCE3'!D55</f>
        <v>5</v>
      </c>
      <c r="O58" s="164">
        <f>'CCE3'!E55</f>
        <v>5</v>
      </c>
      <c r="P58" s="164">
        <f>'CCE3'!F55</f>
        <v>5</v>
      </c>
      <c r="Q58" s="164">
        <f>'CCE3'!G55</f>
        <v>5</v>
      </c>
      <c r="R58" s="164"/>
      <c r="S58" s="162">
        <f t="shared" si="2"/>
        <v>20</v>
      </c>
      <c r="T58" s="162">
        <f t="shared" si="2"/>
        <v>24</v>
      </c>
      <c r="U58" s="162">
        <f t="shared" si="2"/>
        <v>21</v>
      </c>
      <c r="V58" s="162">
        <f t="shared" si="2"/>
        <v>20</v>
      </c>
      <c r="W58" s="162"/>
      <c r="X58" s="162">
        <f t="shared" si="1"/>
        <v>85</v>
      </c>
    </row>
    <row r="59" spans="1:24" s="160" customFormat="1" ht="15.75">
      <c r="A59" s="159">
        <v>46</v>
      </c>
      <c r="B59" s="157">
        <v>22146</v>
      </c>
      <c r="C59" s="158" t="s">
        <v>153</v>
      </c>
      <c r="D59" s="164">
        <f>'CCE1'!D56</f>
        <v>10</v>
      </c>
      <c r="E59" s="164">
        <f>'CCE1'!E56</f>
        <v>12</v>
      </c>
      <c r="F59" s="164">
        <f>'CCE1'!F56</f>
        <v>14</v>
      </c>
      <c r="G59" s="164">
        <f>'CCE1'!G56</f>
        <v>14</v>
      </c>
      <c r="H59" s="163"/>
      <c r="I59" s="164">
        <f>'CCE2'!D56</f>
        <v>5</v>
      </c>
      <c r="J59" s="164">
        <f>'CCE2'!E56</f>
        <v>5</v>
      </c>
      <c r="K59" s="164">
        <f>'CCE2'!F56</f>
        <v>5</v>
      </c>
      <c r="L59" s="164">
        <f>'CCE2'!G56</f>
        <v>5</v>
      </c>
      <c r="M59" s="163"/>
      <c r="N59" s="164">
        <f>'CCE3'!D56</f>
        <v>5</v>
      </c>
      <c r="O59" s="164">
        <f>'CCE3'!E56</f>
        <v>5</v>
      </c>
      <c r="P59" s="164">
        <f>'CCE3'!F56</f>
        <v>5</v>
      </c>
      <c r="Q59" s="164">
        <f>'CCE3'!G56</f>
        <v>5</v>
      </c>
      <c r="R59" s="164"/>
      <c r="S59" s="162">
        <f t="shared" si="2"/>
        <v>20</v>
      </c>
      <c r="T59" s="162">
        <f t="shared" si="2"/>
        <v>22</v>
      </c>
      <c r="U59" s="162">
        <f t="shared" si="2"/>
        <v>24</v>
      </c>
      <c r="V59" s="162">
        <f t="shared" si="2"/>
        <v>24</v>
      </c>
      <c r="W59" s="162"/>
      <c r="X59" s="162">
        <f t="shared" si="1"/>
        <v>90</v>
      </c>
    </row>
    <row r="60" spans="1:24" s="160" customFormat="1" ht="15.75">
      <c r="A60" s="159">
        <v>47</v>
      </c>
      <c r="B60" s="157">
        <v>22147</v>
      </c>
      <c r="C60" s="158" t="s">
        <v>154</v>
      </c>
      <c r="D60" s="164">
        <f>'CCE1'!D57</f>
        <v>10</v>
      </c>
      <c r="E60" s="164">
        <f>'CCE1'!E57</f>
        <v>14</v>
      </c>
      <c r="F60" s="164">
        <f>'CCE1'!F57</f>
        <v>10</v>
      </c>
      <c r="G60" s="164">
        <f>'CCE1'!G57</f>
        <v>9</v>
      </c>
      <c r="H60" s="163"/>
      <c r="I60" s="164">
        <f>'CCE2'!D57</f>
        <v>5</v>
      </c>
      <c r="J60" s="164">
        <f>'CCE2'!E57</f>
        <v>5</v>
      </c>
      <c r="K60" s="164">
        <f>'CCE2'!F57</f>
        <v>5</v>
      </c>
      <c r="L60" s="164">
        <f>'CCE2'!G57</f>
        <v>5</v>
      </c>
      <c r="M60" s="163"/>
      <c r="N60" s="164">
        <f>'CCE3'!D57</f>
        <v>5</v>
      </c>
      <c r="O60" s="164">
        <f>'CCE3'!E57</f>
        <v>5</v>
      </c>
      <c r="P60" s="164">
        <f>'CCE3'!F57</f>
        <v>5</v>
      </c>
      <c r="Q60" s="164">
        <f>'CCE3'!G57</f>
        <v>5</v>
      </c>
      <c r="R60" s="164"/>
      <c r="S60" s="162">
        <f t="shared" si="2"/>
        <v>20</v>
      </c>
      <c r="T60" s="162">
        <f t="shared" si="2"/>
        <v>24</v>
      </c>
      <c r="U60" s="162">
        <f t="shared" si="2"/>
        <v>20</v>
      </c>
      <c r="V60" s="162">
        <f t="shared" si="2"/>
        <v>19</v>
      </c>
      <c r="W60" s="162"/>
      <c r="X60" s="162">
        <f t="shared" si="1"/>
        <v>83</v>
      </c>
    </row>
    <row r="61" spans="1:24" s="160" customFormat="1" ht="15.75">
      <c r="A61" s="159">
        <v>48</v>
      </c>
      <c r="B61" s="157">
        <v>22148</v>
      </c>
      <c r="C61" s="158" t="s">
        <v>155</v>
      </c>
      <c r="D61" s="164">
        <f>'CCE1'!D58</f>
        <v>9</v>
      </c>
      <c r="E61" s="164">
        <f>'CCE1'!E58</f>
        <v>13</v>
      </c>
      <c r="F61" s="164">
        <f>'CCE1'!F58</f>
        <v>14</v>
      </c>
      <c r="G61" s="164">
        <f>'CCE1'!G58</f>
        <v>14</v>
      </c>
      <c r="H61" s="163"/>
      <c r="I61" s="164">
        <f>'CCE2'!D58</f>
        <v>5</v>
      </c>
      <c r="J61" s="164">
        <f>'CCE2'!E58</f>
        <v>5</v>
      </c>
      <c r="K61" s="164">
        <f>'CCE2'!F58</f>
        <v>5</v>
      </c>
      <c r="L61" s="164">
        <f>'CCE2'!G58</f>
        <v>5</v>
      </c>
      <c r="M61" s="163"/>
      <c r="N61" s="164">
        <f>'CCE3'!D58</f>
        <v>5</v>
      </c>
      <c r="O61" s="164">
        <f>'CCE3'!E58</f>
        <v>5</v>
      </c>
      <c r="P61" s="164">
        <f>'CCE3'!F58</f>
        <v>5</v>
      </c>
      <c r="Q61" s="164">
        <f>'CCE3'!G58</f>
        <v>5</v>
      </c>
      <c r="R61" s="164"/>
      <c r="S61" s="162">
        <f t="shared" si="2"/>
        <v>19</v>
      </c>
      <c r="T61" s="162">
        <f t="shared" si="2"/>
        <v>23</v>
      </c>
      <c r="U61" s="162">
        <f t="shared" si="2"/>
        <v>24</v>
      </c>
      <c r="V61" s="162">
        <f t="shared" si="2"/>
        <v>24</v>
      </c>
      <c r="W61" s="162"/>
      <c r="X61" s="162">
        <f t="shared" si="1"/>
        <v>90</v>
      </c>
    </row>
    <row r="62" spans="1:24" s="160" customFormat="1" ht="15.75">
      <c r="A62" s="159">
        <v>49</v>
      </c>
      <c r="B62" s="157">
        <v>22149</v>
      </c>
      <c r="C62" s="158" t="s">
        <v>156</v>
      </c>
      <c r="D62" s="164">
        <f>'CCE1'!D59</f>
        <v>9</v>
      </c>
      <c r="E62" s="164">
        <f>'CCE1'!E59</f>
        <v>13</v>
      </c>
      <c r="F62" s="164">
        <f>'CCE1'!F59</f>
        <v>9</v>
      </c>
      <c r="G62" s="164">
        <f>'CCE1'!G59</f>
        <v>9</v>
      </c>
      <c r="H62" s="163"/>
      <c r="I62" s="164">
        <f>'CCE2'!D59</f>
        <v>5</v>
      </c>
      <c r="J62" s="164">
        <f>'CCE2'!E59</f>
        <v>5</v>
      </c>
      <c r="K62" s="164">
        <f>'CCE2'!F59</f>
        <v>5</v>
      </c>
      <c r="L62" s="164">
        <f>'CCE2'!G59</f>
        <v>5</v>
      </c>
      <c r="M62" s="163"/>
      <c r="N62" s="164">
        <f>'CCE3'!D59</f>
        <v>5</v>
      </c>
      <c r="O62" s="164">
        <f>'CCE3'!E59</f>
        <v>5</v>
      </c>
      <c r="P62" s="164">
        <f>'CCE3'!F59</f>
        <v>5</v>
      </c>
      <c r="Q62" s="164">
        <f>'CCE3'!G59</f>
        <v>5</v>
      </c>
      <c r="R62" s="164"/>
      <c r="S62" s="162">
        <f t="shared" si="2"/>
        <v>19</v>
      </c>
      <c r="T62" s="162">
        <f t="shared" si="2"/>
        <v>23</v>
      </c>
      <c r="U62" s="162">
        <f t="shared" si="2"/>
        <v>19</v>
      </c>
      <c r="V62" s="162">
        <f t="shared" si="2"/>
        <v>19</v>
      </c>
      <c r="W62" s="162"/>
      <c r="X62" s="162">
        <f t="shared" si="1"/>
        <v>80</v>
      </c>
    </row>
    <row r="63" spans="1:24" s="160" customFormat="1" ht="15.75">
      <c r="A63" s="159">
        <v>50</v>
      </c>
      <c r="B63" s="157">
        <v>22150</v>
      </c>
      <c r="C63" s="158" t="s">
        <v>157</v>
      </c>
      <c r="D63" s="164">
        <f>'CCE1'!D60</f>
        <v>9</v>
      </c>
      <c r="E63" s="164">
        <f>'CCE1'!E60</f>
        <v>13</v>
      </c>
      <c r="F63" s="164">
        <f>'CCE1'!F60</f>
        <v>13</v>
      </c>
      <c r="G63" s="164">
        <f>'CCE1'!G60</f>
        <v>13</v>
      </c>
      <c r="H63" s="163"/>
      <c r="I63" s="164">
        <f>'CCE2'!D60</f>
        <v>5</v>
      </c>
      <c r="J63" s="164">
        <f>'CCE2'!E60</f>
        <v>5</v>
      </c>
      <c r="K63" s="164">
        <f>'CCE2'!F60</f>
        <v>5</v>
      </c>
      <c r="L63" s="164">
        <f>'CCE2'!G60</f>
        <v>5</v>
      </c>
      <c r="M63" s="163"/>
      <c r="N63" s="164">
        <f>'CCE3'!D60</f>
        <v>5</v>
      </c>
      <c r="O63" s="164">
        <f>'CCE3'!E60</f>
        <v>5</v>
      </c>
      <c r="P63" s="164">
        <f>'CCE3'!F60</f>
        <v>5</v>
      </c>
      <c r="Q63" s="164">
        <f>'CCE3'!G60</f>
        <v>5</v>
      </c>
      <c r="R63" s="164"/>
      <c r="S63" s="162">
        <f t="shared" si="2"/>
        <v>19</v>
      </c>
      <c r="T63" s="162">
        <f t="shared" si="2"/>
        <v>23</v>
      </c>
      <c r="U63" s="162">
        <f t="shared" si="2"/>
        <v>23</v>
      </c>
      <c r="V63" s="162">
        <f t="shared" si="2"/>
        <v>23</v>
      </c>
      <c r="W63" s="162"/>
      <c r="X63" s="162">
        <f t="shared" si="1"/>
        <v>88</v>
      </c>
    </row>
    <row r="64" spans="1:24" s="160" customFormat="1" ht="15.75">
      <c r="A64" s="159">
        <v>51</v>
      </c>
      <c r="B64" s="157">
        <v>22151</v>
      </c>
      <c r="C64" s="158" t="s">
        <v>158</v>
      </c>
      <c r="D64" s="164">
        <f>'CCE1'!D61</f>
        <v>10</v>
      </c>
      <c r="E64" s="164">
        <f>'CCE1'!E61</f>
        <v>15</v>
      </c>
      <c r="F64" s="164">
        <f>'CCE1'!F61</f>
        <v>13</v>
      </c>
      <c r="G64" s="164">
        <f>'CCE1'!G61</f>
        <v>12</v>
      </c>
      <c r="H64" s="163"/>
      <c r="I64" s="164">
        <f>'CCE2'!D61</f>
        <v>5</v>
      </c>
      <c r="J64" s="164">
        <f>'CCE2'!E61</f>
        <v>5</v>
      </c>
      <c r="K64" s="164">
        <f>'CCE2'!F61</f>
        <v>5</v>
      </c>
      <c r="L64" s="164">
        <f>'CCE2'!G61</f>
        <v>5</v>
      </c>
      <c r="M64" s="163"/>
      <c r="N64" s="164">
        <f>'CCE3'!D61</f>
        <v>5</v>
      </c>
      <c r="O64" s="164">
        <f>'CCE3'!E61</f>
        <v>5</v>
      </c>
      <c r="P64" s="164">
        <f>'CCE3'!F61</f>
        <v>5</v>
      </c>
      <c r="Q64" s="164">
        <f>'CCE3'!G61</f>
        <v>5</v>
      </c>
      <c r="R64" s="164"/>
      <c r="S64" s="162">
        <f t="shared" si="2"/>
        <v>20</v>
      </c>
      <c r="T64" s="162">
        <f t="shared" si="2"/>
        <v>25</v>
      </c>
      <c r="U64" s="162">
        <f t="shared" si="2"/>
        <v>23</v>
      </c>
      <c r="V64" s="162">
        <f t="shared" si="2"/>
        <v>22</v>
      </c>
      <c r="W64" s="162"/>
      <c r="X64" s="162">
        <f t="shared" si="1"/>
        <v>90</v>
      </c>
    </row>
    <row r="65" spans="1:24" s="160" customFormat="1" ht="15.75">
      <c r="A65" s="159">
        <v>52</v>
      </c>
      <c r="B65" s="157">
        <v>22152</v>
      </c>
      <c r="C65" s="158" t="s">
        <v>159</v>
      </c>
      <c r="D65" s="164">
        <f>'CCE1'!D62</f>
        <v>9</v>
      </c>
      <c r="E65" s="164">
        <f>'CCE1'!E62</f>
        <v>15</v>
      </c>
      <c r="F65" s="164">
        <f>'CCE1'!F62</f>
        <v>12</v>
      </c>
      <c r="G65" s="164">
        <f>'CCE1'!G62</f>
        <v>12</v>
      </c>
      <c r="H65" s="163"/>
      <c r="I65" s="164">
        <f>'CCE2'!D62</f>
        <v>5</v>
      </c>
      <c r="J65" s="164">
        <f>'CCE2'!E62</f>
        <v>5</v>
      </c>
      <c r="K65" s="164">
        <f>'CCE2'!F62</f>
        <v>5</v>
      </c>
      <c r="L65" s="164">
        <f>'CCE2'!G62</f>
        <v>5</v>
      </c>
      <c r="M65" s="163"/>
      <c r="N65" s="164">
        <f>'CCE3'!D62</f>
        <v>5</v>
      </c>
      <c r="O65" s="164">
        <f>'CCE3'!E62</f>
        <v>5</v>
      </c>
      <c r="P65" s="164">
        <f>'CCE3'!F62</f>
        <v>5</v>
      </c>
      <c r="Q65" s="164">
        <f>'CCE3'!G62</f>
        <v>5</v>
      </c>
      <c r="R65" s="164"/>
      <c r="S65" s="162">
        <f t="shared" si="2"/>
        <v>19</v>
      </c>
      <c r="T65" s="162">
        <f t="shared" si="2"/>
        <v>25</v>
      </c>
      <c r="U65" s="162">
        <f t="shared" si="2"/>
        <v>22</v>
      </c>
      <c r="V65" s="162">
        <f t="shared" si="2"/>
        <v>22</v>
      </c>
      <c r="W65" s="162"/>
      <c r="X65" s="162">
        <f t="shared" si="1"/>
        <v>88</v>
      </c>
    </row>
    <row r="66" spans="1:24" s="160" customFormat="1" ht="15.75">
      <c r="A66" s="159">
        <v>53</v>
      </c>
      <c r="B66" s="157">
        <v>22153</v>
      </c>
      <c r="C66" s="158" t="s">
        <v>160</v>
      </c>
      <c r="D66" s="164">
        <f>'CCE1'!D63</f>
        <v>9</v>
      </c>
      <c r="E66" s="164">
        <f>'CCE1'!E63</f>
        <v>14</v>
      </c>
      <c r="F66" s="164">
        <f>'CCE1'!F63</f>
        <v>11</v>
      </c>
      <c r="G66" s="164">
        <f>'CCE1'!G63</f>
        <v>10</v>
      </c>
      <c r="H66" s="163"/>
      <c r="I66" s="164">
        <f>'CCE2'!D63</f>
        <v>5</v>
      </c>
      <c r="J66" s="164">
        <f>'CCE2'!E63</f>
        <v>5</v>
      </c>
      <c r="K66" s="164">
        <f>'CCE2'!F63</f>
        <v>5</v>
      </c>
      <c r="L66" s="164">
        <f>'CCE2'!G63</f>
        <v>5</v>
      </c>
      <c r="M66" s="163"/>
      <c r="N66" s="164">
        <f>'CCE3'!D63</f>
        <v>5</v>
      </c>
      <c r="O66" s="164">
        <f>'CCE3'!E63</f>
        <v>5</v>
      </c>
      <c r="P66" s="164">
        <f>'CCE3'!F63</f>
        <v>5</v>
      </c>
      <c r="Q66" s="164">
        <f>'CCE3'!G63</f>
        <v>5</v>
      </c>
      <c r="R66" s="164"/>
      <c r="S66" s="162">
        <f t="shared" si="2"/>
        <v>19</v>
      </c>
      <c r="T66" s="162">
        <f t="shared" si="2"/>
        <v>24</v>
      </c>
      <c r="U66" s="162">
        <f t="shared" si="2"/>
        <v>21</v>
      </c>
      <c r="V66" s="162">
        <f t="shared" si="2"/>
        <v>20</v>
      </c>
      <c r="W66" s="162"/>
      <c r="X66" s="162">
        <f t="shared" si="1"/>
        <v>84</v>
      </c>
    </row>
    <row r="67" spans="1:24" s="160" customFormat="1" ht="15.75">
      <c r="A67" s="159">
        <v>54</v>
      </c>
      <c r="B67" s="157">
        <v>22154</v>
      </c>
      <c r="C67" s="158" t="s">
        <v>161</v>
      </c>
      <c r="D67" s="164">
        <f>'CCE1'!D64</f>
        <v>9</v>
      </c>
      <c r="E67" s="164">
        <f>'CCE1'!E64</f>
        <v>15</v>
      </c>
      <c r="F67" s="164">
        <f>'CCE1'!F64</f>
        <v>13</v>
      </c>
      <c r="G67" s="164">
        <f>'CCE1'!G64</f>
        <v>13</v>
      </c>
      <c r="H67" s="163"/>
      <c r="I67" s="164">
        <f>'CCE2'!D64</f>
        <v>5</v>
      </c>
      <c r="J67" s="164">
        <f>'CCE2'!E64</f>
        <v>5</v>
      </c>
      <c r="K67" s="164">
        <f>'CCE2'!F64</f>
        <v>5</v>
      </c>
      <c r="L67" s="164">
        <f>'CCE2'!G64</f>
        <v>5</v>
      </c>
      <c r="M67" s="163"/>
      <c r="N67" s="164">
        <f>'CCE3'!D64</f>
        <v>5</v>
      </c>
      <c r="O67" s="164">
        <f>'CCE3'!E64</f>
        <v>5</v>
      </c>
      <c r="P67" s="164">
        <f>'CCE3'!F64</f>
        <v>5</v>
      </c>
      <c r="Q67" s="164">
        <f>'CCE3'!G64</f>
        <v>5</v>
      </c>
      <c r="R67" s="164"/>
      <c r="S67" s="162">
        <f t="shared" si="2"/>
        <v>19</v>
      </c>
      <c r="T67" s="162">
        <f t="shared" si="2"/>
        <v>25</v>
      </c>
      <c r="U67" s="162">
        <f t="shared" si="2"/>
        <v>23</v>
      </c>
      <c r="V67" s="162">
        <f t="shared" si="2"/>
        <v>23</v>
      </c>
      <c r="W67" s="162"/>
      <c r="X67" s="162">
        <f t="shared" si="1"/>
        <v>90</v>
      </c>
    </row>
    <row r="68" spans="1:24" s="160" customFormat="1" ht="15.75">
      <c r="A68" s="159">
        <v>55</v>
      </c>
      <c r="B68" s="157">
        <v>22155</v>
      </c>
      <c r="C68" s="158" t="s">
        <v>162</v>
      </c>
      <c r="D68" s="164">
        <f>'CCE1'!D65</f>
        <v>9</v>
      </c>
      <c r="E68" s="164">
        <f>'CCE1'!E65</f>
        <v>12</v>
      </c>
      <c r="F68" s="164">
        <f>'CCE1'!F65</f>
        <v>14</v>
      </c>
      <c r="G68" s="164">
        <f>'CCE1'!G65</f>
        <v>13</v>
      </c>
      <c r="H68" s="163"/>
      <c r="I68" s="164">
        <f>'CCE2'!D65</f>
        <v>5</v>
      </c>
      <c r="J68" s="164">
        <f>'CCE2'!E65</f>
        <v>5</v>
      </c>
      <c r="K68" s="164">
        <f>'CCE2'!F65</f>
        <v>5</v>
      </c>
      <c r="L68" s="164">
        <f>'CCE2'!G65</f>
        <v>5</v>
      </c>
      <c r="M68" s="163"/>
      <c r="N68" s="164">
        <f>'CCE3'!D65</f>
        <v>5</v>
      </c>
      <c r="O68" s="164">
        <f>'CCE3'!E65</f>
        <v>5</v>
      </c>
      <c r="P68" s="164">
        <f>'CCE3'!F65</f>
        <v>5</v>
      </c>
      <c r="Q68" s="164">
        <f>'CCE3'!G65</f>
        <v>5</v>
      </c>
      <c r="R68" s="164"/>
      <c r="S68" s="162">
        <f t="shared" si="2"/>
        <v>19</v>
      </c>
      <c r="T68" s="162">
        <f t="shared" si="2"/>
        <v>22</v>
      </c>
      <c r="U68" s="162">
        <f t="shared" si="2"/>
        <v>24</v>
      </c>
      <c r="V68" s="162">
        <f t="shared" si="2"/>
        <v>23</v>
      </c>
      <c r="W68" s="162"/>
      <c r="X68" s="162">
        <f t="shared" si="1"/>
        <v>88</v>
      </c>
    </row>
    <row r="69" spans="1:24" s="160" customFormat="1" ht="15.75">
      <c r="A69" s="159">
        <v>56</v>
      </c>
      <c r="B69" s="157">
        <v>22156</v>
      </c>
      <c r="C69" s="158" t="s">
        <v>163</v>
      </c>
      <c r="D69" s="164">
        <f>'CCE1'!D66</f>
        <v>10</v>
      </c>
      <c r="E69" s="164">
        <f>'CCE1'!E66</f>
        <v>13</v>
      </c>
      <c r="F69" s="164">
        <f>'CCE1'!F66</f>
        <v>11</v>
      </c>
      <c r="G69" s="164">
        <f>'CCE1'!G66</f>
        <v>11</v>
      </c>
      <c r="H69" s="163"/>
      <c r="I69" s="164">
        <f>'CCE2'!D66</f>
        <v>5</v>
      </c>
      <c r="J69" s="164">
        <f>'CCE2'!E66</f>
        <v>5</v>
      </c>
      <c r="K69" s="164">
        <f>'CCE2'!F66</f>
        <v>5</v>
      </c>
      <c r="L69" s="164">
        <f>'CCE2'!G66</f>
        <v>5</v>
      </c>
      <c r="M69" s="163"/>
      <c r="N69" s="164">
        <f>'CCE3'!D66</f>
        <v>5</v>
      </c>
      <c r="O69" s="164">
        <f>'CCE3'!E66</f>
        <v>5</v>
      </c>
      <c r="P69" s="164">
        <f>'CCE3'!F66</f>
        <v>5</v>
      </c>
      <c r="Q69" s="164">
        <f>'CCE3'!G66</f>
        <v>5</v>
      </c>
      <c r="R69" s="164"/>
      <c r="S69" s="162">
        <f t="shared" si="2"/>
        <v>20</v>
      </c>
      <c r="T69" s="162">
        <f t="shared" si="2"/>
        <v>23</v>
      </c>
      <c r="U69" s="162">
        <f t="shared" si="2"/>
        <v>21</v>
      </c>
      <c r="V69" s="162">
        <f t="shared" si="2"/>
        <v>21</v>
      </c>
      <c r="W69" s="162"/>
      <c r="X69" s="162">
        <f t="shared" si="1"/>
        <v>85</v>
      </c>
    </row>
    <row r="70" spans="1:24" s="160" customFormat="1" ht="15.75">
      <c r="A70" s="159">
        <v>57</v>
      </c>
      <c r="B70" s="157">
        <v>22157</v>
      </c>
      <c r="C70" s="158" t="s">
        <v>164</v>
      </c>
      <c r="D70" s="164">
        <f>'CCE1'!D67</f>
        <v>9</v>
      </c>
      <c r="E70" s="164">
        <f>'CCE1'!E67</f>
        <v>14</v>
      </c>
      <c r="F70" s="164">
        <f>'CCE1'!F67</f>
        <v>11</v>
      </c>
      <c r="G70" s="164">
        <f>'CCE1'!G67</f>
        <v>11</v>
      </c>
      <c r="H70" s="163"/>
      <c r="I70" s="164">
        <f>'CCE2'!D67</f>
        <v>5</v>
      </c>
      <c r="J70" s="164">
        <f>'CCE2'!E67</f>
        <v>5</v>
      </c>
      <c r="K70" s="164">
        <f>'CCE2'!F67</f>
        <v>5</v>
      </c>
      <c r="L70" s="164">
        <f>'CCE2'!G67</f>
        <v>5</v>
      </c>
      <c r="M70" s="163"/>
      <c r="N70" s="164">
        <f>'CCE3'!D67</f>
        <v>5</v>
      </c>
      <c r="O70" s="164">
        <f>'CCE3'!E67</f>
        <v>5</v>
      </c>
      <c r="P70" s="164">
        <f>'CCE3'!F67</f>
        <v>5</v>
      </c>
      <c r="Q70" s="164">
        <f>'CCE3'!G67</f>
        <v>5</v>
      </c>
      <c r="R70" s="164"/>
      <c r="S70" s="162">
        <f t="shared" si="2"/>
        <v>19</v>
      </c>
      <c r="T70" s="162">
        <f t="shared" si="2"/>
        <v>24</v>
      </c>
      <c r="U70" s="162">
        <f t="shared" si="2"/>
        <v>21</v>
      </c>
      <c r="V70" s="162">
        <f t="shared" si="2"/>
        <v>21</v>
      </c>
      <c r="W70" s="162"/>
      <c r="X70" s="162">
        <f t="shared" si="1"/>
        <v>85</v>
      </c>
    </row>
    <row r="71" spans="1:24" s="160" customFormat="1" ht="15.75">
      <c r="A71" s="159">
        <v>58</v>
      </c>
      <c r="B71" s="157">
        <v>22158</v>
      </c>
      <c r="C71" s="158" t="s">
        <v>165</v>
      </c>
      <c r="D71" s="164">
        <f>'CCE1'!D68</f>
        <v>9</v>
      </c>
      <c r="E71" s="164">
        <f>'CCE1'!E68</f>
        <v>15</v>
      </c>
      <c r="F71" s="164">
        <f>'CCE1'!F68</f>
        <v>9</v>
      </c>
      <c r="G71" s="164">
        <f>'CCE1'!G68</f>
        <v>8</v>
      </c>
      <c r="H71" s="163"/>
      <c r="I71" s="164">
        <f>'CCE2'!D68</f>
        <v>5</v>
      </c>
      <c r="J71" s="164">
        <f>'CCE2'!E68</f>
        <v>5</v>
      </c>
      <c r="K71" s="164">
        <f>'CCE2'!F68</f>
        <v>5</v>
      </c>
      <c r="L71" s="164">
        <f>'CCE2'!G68</f>
        <v>5</v>
      </c>
      <c r="M71" s="163"/>
      <c r="N71" s="164">
        <f>'CCE3'!D68</f>
        <v>5</v>
      </c>
      <c r="O71" s="164">
        <f>'CCE3'!E68</f>
        <v>5</v>
      </c>
      <c r="P71" s="164">
        <f>'CCE3'!F68</f>
        <v>5</v>
      </c>
      <c r="Q71" s="164">
        <f>'CCE3'!G68</f>
        <v>5</v>
      </c>
      <c r="R71" s="164"/>
      <c r="S71" s="162">
        <f t="shared" si="2"/>
        <v>19</v>
      </c>
      <c r="T71" s="162">
        <f t="shared" si="2"/>
        <v>25</v>
      </c>
      <c r="U71" s="162">
        <f t="shared" si="2"/>
        <v>19</v>
      </c>
      <c r="V71" s="162">
        <f t="shared" si="2"/>
        <v>18</v>
      </c>
      <c r="W71" s="162"/>
      <c r="X71" s="162">
        <f t="shared" si="1"/>
        <v>81</v>
      </c>
    </row>
    <row r="72" spans="1:24" s="160" customFormat="1" ht="15.75">
      <c r="A72" s="159">
        <v>59</v>
      </c>
      <c r="B72" s="157">
        <v>22159</v>
      </c>
      <c r="C72" s="158" t="s">
        <v>166</v>
      </c>
      <c r="D72" s="164">
        <f>'CCE1'!D69</f>
        <v>9</v>
      </c>
      <c r="E72" s="164">
        <f>'CCE1'!E69</f>
        <v>13</v>
      </c>
      <c r="F72" s="164">
        <f>'CCE1'!F69</f>
        <v>14</v>
      </c>
      <c r="G72" s="164">
        <f>'CCE1'!G69</f>
        <v>14</v>
      </c>
      <c r="H72" s="163"/>
      <c r="I72" s="164">
        <f>'CCE2'!D69</f>
        <v>5</v>
      </c>
      <c r="J72" s="164">
        <f>'CCE2'!E69</f>
        <v>5</v>
      </c>
      <c r="K72" s="164">
        <f>'CCE2'!F69</f>
        <v>5</v>
      </c>
      <c r="L72" s="164">
        <f>'CCE2'!G69</f>
        <v>5</v>
      </c>
      <c r="M72" s="163"/>
      <c r="N72" s="164">
        <f>'CCE3'!D69</f>
        <v>5</v>
      </c>
      <c r="O72" s="164">
        <f>'CCE3'!E69</f>
        <v>5</v>
      </c>
      <c r="P72" s="164">
        <f>'CCE3'!F69</f>
        <v>5</v>
      </c>
      <c r="Q72" s="164">
        <f>'CCE3'!G69</f>
        <v>5</v>
      </c>
      <c r="R72" s="164"/>
      <c r="S72" s="162">
        <f t="shared" si="2"/>
        <v>19</v>
      </c>
      <c r="T72" s="162">
        <f t="shared" si="2"/>
        <v>23</v>
      </c>
      <c r="U72" s="162">
        <f t="shared" si="2"/>
        <v>24</v>
      </c>
      <c r="V72" s="162">
        <f t="shared" si="2"/>
        <v>24</v>
      </c>
      <c r="W72" s="162"/>
      <c r="X72" s="162">
        <f t="shared" si="1"/>
        <v>90</v>
      </c>
    </row>
    <row r="73" spans="1:24" s="160" customFormat="1" ht="15.75">
      <c r="A73" s="159">
        <v>60</v>
      </c>
      <c r="B73" s="157">
        <v>22160</v>
      </c>
      <c r="C73" s="158" t="s">
        <v>167</v>
      </c>
      <c r="D73" s="164">
        <f>'CCE1'!D70</f>
        <v>9</v>
      </c>
      <c r="E73" s="164">
        <f>'CCE1'!E70</f>
        <v>14</v>
      </c>
      <c r="F73" s="164">
        <f>'CCE1'!F70</f>
        <v>9</v>
      </c>
      <c r="G73" s="164">
        <f>'CCE1'!G70</f>
        <v>8</v>
      </c>
      <c r="H73" s="163"/>
      <c r="I73" s="164">
        <f>'CCE2'!D70</f>
        <v>5</v>
      </c>
      <c r="J73" s="164">
        <f>'CCE2'!E70</f>
        <v>5</v>
      </c>
      <c r="K73" s="164">
        <f>'CCE2'!F70</f>
        <v>5</v>
      </c>
      <c r="L73" s="164">
        <f>'CCE2'!G70</f>
        <v>5</v>
      </c>
      <c r="M73" s="163"/>
      <c r="N73" s="164">
        <f>'CCE3'!D70</f>
        <v>5</v>
      </c>
      <c r="O73" s="164">
        <f>'CCE3'!E70</f>
        <v>5</v>
      </c>
      <c r="P73" s="164">
        <f>'CCE3'!F70</f>
        <v>5</v>
      </c>
      <c r="Q73" s="164">
        <f>'CCE3'!G70</f>
        <v>5</v>
      </c>
      <c r="R73" s="164"/>
      <c r="S73" s="162">
        <f t="shared" si="2"/>
        <v>19</v>
      </c>
      <c r="T73" s="162">
        <f t="shared" si="2"/>
        <v>24</v>
      </c>
      <c r="U73" s="162">
        <f t="shared" si="2"/>
        <v>19</v>
      </c>
      <c r="V73" s="162">
        <f t="shared" si="2"/>
        <v>18</v>
      </c>
      <c r="W73" s="162"/>
      <c r="X73" s="162">
        <f t="shared" si="1"/>
        <v>80</v>
      </c>
    </row>
    <row r="74" spans="1:24" s="160" customFormat="1" ht="15.75">
      <c r="A74" s="159">
        <v>61</v>
      </c>
      <c r="B74" s="157">
        <v>22161</v>
      </c>
      <c r="C74" s="158" t="s">
        <v>168</v>
      </c>
      <c r="D74" s="164">
        <f>'CCE1'!D71</f>
        <v>9</v>
      </c>
      <c r="E74" s="164">
        <f>'CCE1'!E71</f>
        <v>15</v>
      </c>
      <c r="F74" s="164">
        <f>'CCE1'!F71</f>
        <v>13</v>
      </c>
      <c r="G74" s="164">
        <f>'CCE1'!G71</f>
        <v>12</v>
      </c>
      <c r="H74" s="163"/>
      <c r="I74" s="164">
        <f>'CCE2'!D71</f>
        <v>5</v>
      </c>
      <c r="J74" s="164">
        <f>'CCE2'!E71</f>
        <v>5</v>
      </c>
      <c r="K74" s="164">
        <f>'CCE2'!F71</f>
        <v>5</v>
      </c>
      <c r="L74" s="164">
        <f>'CCE2'!G71</f>
        <v>5</v>
      </c>
      <c r="M74" s="163"/>
      <c r="N74" s="164">
        <f>'CCE3'!D71</f>
        <v>5</v>
      </c>
      <c r="O74" s="164">
        <f>'CCE3'!E71</f>
        <v>5</v>
      </c>
      <c r="P74" s="164">
        <f>'CCE3'!F71</f>
        <v>5</v>
      </c>
      <c r="Q74" s="164">
        <f>'CCE3'!G71</f>
        <v>5</v>
      </c>
      <c r="R74" s="164"/>
      <c r="S74" s="162">
        <f t="shared" si="2"/>
        <v>19</v>
      </c>
      <c r="T74" s="162">
        <f t="shared" si="2"/>
        <v>25</v>
      </c>
      <c r="U74" s="162">
        <f t="shared" si="2"/>
        <v>23</v>
      </c>
      <c r="V74" s="162">
        <f t="shared" si="2"/>
        <v>22</v>
      </c>
      <c r="W74" s="162"/>
      <c r="X74" s="162">
        <f t="shared" si="1"/>
        <v>89</v>
      </c>
    </row>
    <row r="75" spans="1:24" s="160" customFormat="1" ht="15.75">
      <c r="A75" s="159">
        <v>62</v>
      </c>
      <c r="B75" s="157">
        <v>22162</v>
      </c>
      <c r="C75" s="158" t="s">
        <v>169</v>
      </c>
      <c r="D75" s="164">
        <f>'CCE1'!D72</f>
        <v>10</v>
      </c>
      <c r="E75" s="164">
        <f>'CCE1'!E72</f>
        <v>14</v>
      </c>
      <c r="F75" s="164">
        <f>'CCE1'!F72</f>
        <v>9</v>
      </c>
      <c r="G75" s="164">
        <f>'CCE1'!G72</f>
        <v>9</v>
      </c>
      <c r="H75" s="163"/>
      <c r="I75" s="164">
        <f>'CCE2'!D72</f>
        <v>5</v>
      </c>
      <c r="J75" s="164">
        <f>'CCE2'!E72</f>
        <v>5</v>
      </c>
      <c r="K75" s="164">
        <f>'CCE2'!F72</f>
        <v>5</v>
      </c>
      <c r="L75" s="164">
        <f>'CCE2'!G72</f>
        <v>5</v>
      </c>
      <c r="M75" s="163"/>
      <c r="N75" s="164">
        <f>'CCE3'!D72</f>
        <v>5</v>
      </c>
      <c r="O75" s="164">
        <f>'CCE3'!E72</f>
        <v>5</v>
      </c>
      <c r="P75" s="164">
        <f>'CCE3'!F72</f>
        <v>5</v>
      </c>
      <c r="Q75" s="164">
        <f>'CCE3'!G72</f>
        <v>5</v>
      </c>
      <c r="R75" s="164"/>
      <c r="S75" s="162">
        <f t="shared" si="2"/>
        <v>20</v>
      </c>
      <c r="T75" s="162">
        <f t="shared" si="2"/>
        <v>24</v>
      </c>
      <c r="U75" s="162">
        <f t="shared" si="2"/>
        <v>19</v>
      </c>
      <c r="V75" s="162">
        <f t="shared" si="2"/>
        <v>19</v>
      </c>
      <c r="W75" s="162"/>
      <c r="X75" s="162">
        <f t="shared" si="1"/>
        <v>82</v>
      </c>
    </row>
    <row r="76" spans="1:24" s="160" customFormat="1" ht="15.75">
      <c r="A76" s="159">
        <v>63</v>
      </c>
      <c r="B76" s="157">
        <v>22163</v>
      </c>
      <c r="C76" s="158" t="s">
        <v>170</v>
      </c>
      <c r="D76" s="164">
        <f>'CCE1'!D73</f>
        <v>9</v>
      </c>
      <c r="E76" s="164">
        <f>'CCE1'!E73</f>
        <v>12</v>
      </c>
      <c r="F76" s="164">
        <f>'CCE1'!F73</f>
        <v>15</v>
      </c>
      <c r="G76" s="164">
        <f>'CCE1'!G73</f>
        <v>14</v>
      </c>
      <c r="H76" s="163"/>
      <c r="I76" s="164">
        <f>'CCE2'!D73</f>
        <v>5</v>
      </c>
      <c r="J76" s="164">
        <f>'CCE2'!E73</f>
        <v>5</v>
      </c>
      <c r="K76" s="164">
        <f>'CCE2'!F73</f>
        <v>5</v>
      </c>
      <c r="L76" s="164">
        <f>'CCE2'!G73</f>
        <v>5</v>
      </c>
      <c r="M76" s="163"/>
      <c r="N76" s="164">
        <f>'CCE3'!D73</f>
        <v>5</v>
      </c>
      <c r="O76" s="164">
        <f>'CCE3'!E73</f>
        <v>5</v>
      </c>
      <c r="P76" s="164">
        <f>'CCE3'!F73</f>
        <v>5</v>
      </c>
      <c r="Q76" s="164">
        <f>'CCE3'!G73</f>
        <v>5</v>
      </c>
      <c r="R76" s="164"/>
      <c r="S76" s="162">
        <f t="shared" si="2"/>
        <v>19</v>
      </c>
      <c r="T76" s="162">
        <f t="shared" si="2"/>
        <v>22</v>
      </c>
      <c r="U76" s="162">
        <f t="shared" si="2"/>
        <v>25</v>
      </c>
      <c r="V76" s="162">
        <f t="shared" si="2"/>
        <v>24</v>
      </c>
      <c r="W76" s="162"/>
      <c r="X76" s="162">
        <f t="shared" si="1"/>
        <v>90</v>
      </c>
    </row>
    <row r="77" spans="1:24" s="160" customFormat="1" ht="15.75">
      <c r="A77" s="159">
        <v>64</v>
      </c>
      <c r="B77" s="157">
        <v>22164</v>
      </c>
      <c r="C77" s="158" t="s">
        <v>171</v>
      </c>
      <c r="D77" s="164">
        <f>'CCE1'!D74</f>
        <v>9</v>
      </c>
      <c r="E77" s="164">
        <f>'CCE1'!E74</f>
        <v>12</v>
      </c>
      <c r="F77" s="164">
        <f>'CCE1'!F74</f>
        <v>13</v>
      </c>
      <c r="G77" s="164">
        <f>'CCE1'!G74</f>
        <v>13</v>
      </c>
      <c r="H77" s="163"/>
      <c r="I77" s="164">
        <f>'CCE2'!D74</f>
        <v>5</v>
      </c>
      <c r="J77" s="164">
        <f>'CCE2'!E74</f>
        <v>5</v>
      </c>
      <c r="K77" s="164">
        <f>'CCE2'!F74</f>
        <v>5</v>
      </c>
      <c r="L77" s="164">
        <f>'CCE2'!G74</f>
        <v>5</v>
      </c>
      <c r="M77" s="163"/>
      <c r="N77" s="164">
        <f>'CCE3'!D74</f>
        <v>5</v>
      </c>
      <c r="O77" s="164">
        <f>'CCE3'!E74</f>
        <v>5</v>
      </c>
      <c r="P77" s="164">
        <f>'CCE3'!F74</f>
        <v>5</v>
      </c>
      <c r="Q77" s="164">
        <f>'CCE3'!G74</f>
        <v>5</v>
      </c>
      <c r="R77" s="164"/>
      <c r="S77" s="162">
        <f t="shared" si="2"/>
        <v>19</v>
      </c>
      <c r="T77" s="162">
        <f t="shared" si="2"/>
        <v>22</v>
      </c>
      <c r="U77" s="162">
        <f t="shared" si="2"/>
        <v>23</v>
      </c>
      <c r="V77" s="162">
        <f t="shared" ref="V77:V121" si="3">IFERROR(SUM(G77,L77,Q77),"AB")</f>
        <v>23</v>
      </c>
      <c r="W77" s="162"/>
      <c r="X77" s="162">
        <f t="shared" si="1"/>
        <v>87</v>
      </c>
    </row>
    <row r="78" spans="1:24" s="160" customFormat="1" ht="15.75">
      <c r="A78" s="159">
        <v>65</v>
      </c>
      <c r="B78" s="157">
        <v>22165</v>
      </c>
      <c r="C78" s="158" t="s">
        <v>172</v>
      </c>
      <c r="D78" s="164">
        <f>'CCE1'!D75</f>
        <v>10</v>
      </c>
      <c r="E78" s="164">
        <f>'CCE1'!E75</f>
        <v>14</v>
      </c>
      <c r="F78" s="164">
        <f>'CCE1'!F75</f>
        <v>9</v>
      </c>
      <c r="G78" s="164">
        <f>'CCE1'!G75</f>
        <v>8</v>
      </c>
      <c r="H78" s="163"/>
      <c r="I78" s="164">
        <f>'CCE2'!D75</f>
        <v>5</v>
      </c>
      <c r="J78" s="164">
        <f>'CCE2'!E75</f>
        <v>5</v>
      </c>
      <c r="K78" s="164">
        <f>'CCE2'!F75</f>
        <v>5</v>
      </c>
      <c r="L78" s="164">
        <f>'CCE2'!G75</f>
        <v>5</v>
      </c>
      <c r="M78" s="163"/>
      <c r="N78" s="164">
        <f>'CCE3'!D75</f>
        <v>5</v>
      </c>
      <c r="O78" s="164">
        <f>'CCE3'!E75</f>
        <v>5</v>
      </c>
      <c r="P78" s="164">
        <f>'CCE3'!F75</f>
        <v>5</v>
      </c>
      <c r="Q78" s="164">
        <f>'CCE3'!G75</f>
        <v>5</v>
      </c>
      <c r="R78" s="164"/>
      <c r="S78" s="162">
        <f t="shared" ref="S78:U121" si="4">IFERROR(SUM(D78,I78,N78),"AB")</f>
        <v>20</v>
      </c>
      <c r="T78" s="162">
        <f t="shared" si="4"/>
        <v>24</v>
      </c>
      <c r="U78" s="162">
        <f t="shared" si="4"/>
        <v>19</v>
      </c>
      <c r="V78" s="162">
        <f t="shared" si="3"/>
        <v>18</v>
      </c>
      <c r="W78" s="162"/>
      <c r="X78" s="162">
        <f t="shared" ref="X78:X121" si="5">IFERROR(SUM(S78:W78),"AB")</f>
        <v>81</v>
      </c>
    </row>
    <row r="79" spans="1:24" s="160" customFormat="1" ht="15.75">
      <c r="A79" s="159">
        <v>66</v>
      </c>
      <c r="B79" s="157">
        <v>22166</v>
      </c>
      <c r="C79" s="158" t="s">
        <v>173</v>
      </c>
      <c r="D79" s="164">
        <f>'CCE1'!D76</f>
        <v>9</v>
      </c>
      <c r="E79" s="164">
        <f>'CCE1'!E76</f>
        <v>14</v>
      </c>
      <c r="F79" s="164">
        <f>'CCE1'!F76</f>
        <v>10</v>
      </c>
      <c r="G79" s="164">
        <f>'CCE1'!G76</f>
        <v>11</v>
      </c>
      <c r="H79" s="163"/>
      <c r="I79" s="164">
        <f>'CCE2'!D76</f>
        <v>5</v>
      </c>
      <c r="J79" s="164">
        <f>'CCE2'!E76</f>
        <v>5</v>
      </c>
      <c r="K79" s="164">
        <f>'CCE2'!F76</f>
        <v>5</v>
      </c>
      <c r="L79" s="164">
        <f>'CCE2'!G76</f>
        <v>5</v>
      </c>
      <c r="M79" s="163"/>
      <c r="N79" s="164">
        <f>'CCE3'!D76</f>
        <v>5</v>
      </c>
      <c r="O79" s="164">
        <f>'CCE3'!E76</f>
        <v>5</v>
      </c>
      <c r="P79" s="164">
        <f>'CCE3'!F76</f>
        <v>5</v>
      </c>
      <c r="Q79" s="164">
        <f>'CCE3'!G76</f>
        <v>5</v>
      </c>
      <c r="R79" s="164"/>
      <c r="S79" s="162">
        <f t="shared" si="4"/>
        <v>19</v>
      </c>
      <c r="T79" s="162">
        <f t="shared" si="4"/>
        <v>24</v>
      </c>
      <c r="U79" s="162">
        <f t="shared" si="4"/>
        <v>20</v>
      </c>
      <c r="V79" s="162">
        <f t="shared" si="3"/>
        <v>21</v>
      </c>
      <c r="W79" s="162"/>
      <c r="X79" s="162">
        <f t="shared" si="5"/>
        <v>84</v>
      </c>
    </row>
    <row r="80" spans="1:24" s="160" customFormat="1" ht="15.75">
      <c r="A80" s="159">
        <v>67</v>
      </c>
      <c r="B80" s="157">
        <v>22167</v>
      </c>
      <c r="C80" s="158" t="s">
        <v>174</v>
      </c>
      <c r="D80" s="164">
        <f>'CCE1'!D77</f>
        <v>9</v>
      </c>
      <c r="E80" s="164">
        <f>'CCE1'!E77</f>
        <v>13</v>
      </c>
      <c r="F80" s="164">
        <f>'CCE1'!F77</f>
        <v>9</v>
      </c>
      <c r="G80" s="164">
        <f>'CCE1'!G77</f>
        <v>9</v>
      </c>
      <c r="H80" s="163"/>
      <c r="I80" s="164">
        <f>'CCE2'!D77</f>
        <v>5</v>
      </c>
      <c r="J80" s="164">
        <f>'CCE2'!E77</f>
        <v>5</v>
      </c>
      <c r="K80" s="164">
        <f>'CCE2'!F77</f>
        <v>5</v>
      </c>
      <c r="L80" s="164">
        <f>'CCE2'!G77</f>
        <v>5</v>
      </c>
      <c r="M80" s="163"/>
      <c r="N80" s="164">
        <f>'CCE3'!D77</f>
        <v>5</v>
      </c>
      <c r="O80" s="164">
        <f>'CCE3'!E77</f>
        <v>5</v>
      </c>
      <c r="P80" s="164">
        <f>'CCE3'!F77</f>
        <v>5</v>
      </c>
      <c r="Q80" s="164">
        <f>'CCE3'!G77</f>
        <v>5</v>
      </c>
      <c r="R80" s="164"/>
      <c r="S80" s="162">
        <f t="shared" si="4"/>
        <v>19</v>
      </c>
      <c r="T80" s="162">
        <f t="shared" si="4"/>
        <v>23</v>
      </c>
      <c r="U80" s="162">
        <f t="shared" si="4"/>
        <v>19</v>
      </c>
      <c r="V80" s="162">
        <f t="shared" si="3"/>
        <v>19</v>
      </c>
      <c r="W80" s="162"/>
      <c r="X80" s="162">
        <f t="shared" si="5"/>
        <v>80</v>
      </c>
    </row>
    <row r="81" spans="1:24" s="160" customFormat="1" ht="15.75">
      <c r="A81" s="159">
        <v>68</v>
      </c>
      <c r="B81" s="157">
        <v>22168</v>
      </c>
      <c r="C81" s="158" t="s">
        <v>175</v>
      </c>
      <c r="D81" s="164">
        <f>'CCE1'!D78</f>
        <v>9</v>
      </c>
      <c r="E81" s="164">
        <f>'CCE1'!E78</f>
        <v>14</v>
      </c>
      <c r="F81" s="164">
        <f>'CCE1'!F78</f>
        <v>14</v>
      </c>
      <c r="G81" s="164">
        <f>'CCE1'!G78</f>
        <v>13</v>
      </c>
      <c r="H81" s="163"/>
      <c r="I81" s="164">
        <f>'CCE2'!D78</f>
        <v>5</v>
      </c>
      <c r="J81" s="164">
        <f>'CCE2'!E78</f>
        <v>5</v>
      </c>
      <c r="K81" s="164">
        <f>'CCE2'!F78</f>
        <v>5</v>
      </c>
      <c r="L81" s="164">
        <f>'CCE2'!G78</f>
        <v>5</v>
      </c>
      <c r="M81" s="163"/>
      <c r="N81" s="164">
        <f>'CCE3'!D78</f>
        <v>5</v>
      </c>
      <c r="O81" s="164">
        <f>'CCE3'!E78</f>
        <v>5</v>
      </c>
      <c r="P81" s="164">
        <f>'CCE3'!F78</f>
        <v>5</v>
      </c>
      <c r="Q81" s="164">
        <f>'CCE3'!G78</f>
        <v>5</v>
      </c>
      <c r="R81" s="164"/>
      <c r="S81" s="162">
        <f t="shared" si="4"/>
        <v>19</v>
      </c>
      <c r="T81" s="162">
        <f t="shared" si="4"/>
        <v>24</v>
      </c>
      <c r="U81" s="162">
        <f t="shared" si="4"/>
        <v>24</v>
      </c>
      <c r="V81" s="162">
        <f t="shared" si="3"/>
        <v>23</v>
      </c>
      <c r="W81" s="162"/>
      <c r="X81" s="162">
        <f t="shared" si="5"/>
        <v>90</v>
      </c>
    </row>
    <row r="82" spans="1:24" s="160" customFormat="1" ht="15.75">
      <c r="A82" s="159">
        <v>69</v>
      </c>
      <c r="B82" s="157">
        <v>22201</v>
      </c>
      <c r="C82" s="158" t="s">
        <v>176</v>
      </c>
      <c r="D82" s="164">
        <f>'CCE1'!D79</f>
        <v>10</v>
      </c>
      <c r="E82" s="164">
        <f>'CCE1'!E79</f>
        <v>12</v>
      </c>
      <c r="F82" s="164">
        <f>'CCE1'!F79</f>
        <v>13</v>
      </c>
      <c r="G82" s="164">
        <f>'CCE1'!G79</f>
        <v>14</v>
      </c>
      <c r="H82" s="163"/>
      <c r="I82" s="164">
        <f>'CCE2'!D79</f>
        <v>5</v>
      </c>
      <c r="J82" s="164">
        <f>'CCE2'!E79</f>
        <v>5</v>
      </c>
      <c r="K82" s="164">
        <f>'CCE2'!F79</f>
        <v>5</v>
      </c>
      <c r="L82" s="164">
        <f>'CCE2'!G79</f>
        <v>5</v>
      </c>
      <c r="M82" s="163"/>
      <c r="N82" s="164">
        <f>'CCE3'!D79</f>
        <v>5</v>
      </c>
      <c r="O82" s="164">
        <f>'CCE3'!E79</f>
        <v>5</v>
      </c>
      <c r="P82" s="164">
        <f>'CCE3'!F79</f>
        <v>5</v>
      </c>
      <c r="Q82" s="164">
        <f>'CCE3'!G79</f>
        <v>5</v>
      </c>
      <c r="R82" s="164"/>
      <c r="S82" s="162">
        <f t="shared" si="4"/>
        <v>20</v>
      </c>
      <c r="T82" s="162">
        <f t="shared" si="4"/>
        <v>22</v>
      </c>
      <c r="U82" s="162">
        <f t="shared" si="4"/>
        <v>23</v>
      </c>
      <c r="V82" s="162">
        <f t="shared" si="3"/>
        <v>24</v>
      </c>
      <c r="W82" s="162"/>
      <c r="X82" s="162">
        <f t="shared" si="5"/>
        <v>89</v>
      </c>
    </row>
    <row r="83" spans="1:24" s="160" customFormat="1" ht="15.75">
      <c r="A83" s="159">
        <v>70</v>
      </c>
      <c r="B83" s="157">
        <v>22202</v>
      </c>
      <c r="C83" s="158" t="s">
        <v>177</v>
      </c>
      <c r="D83" s="164">
        <f>'CCE1'!D80</f>
        <v>9</v>
      </c>
      <c r="E83" s="164">
        <f>'CCE1'!E80</f>
        <v>12</v>
      </c>
      <c r="F83" s="164">
        <f>'CCE1'!F80</f>
        <v>12</v>
      </c>
      <c r="G83" s="164">
        <f>'CCE1'!G80</f>
        <v>12</v>
      </c>
      <c r="H83" s="163"/>
      <c r="I83" s="164">
        <f>'CCE2'!D80</f>
        <v>5</v>
      </c>
      <c r="J83" s="164">
        <f>'CCE2'!E80</f>
        <v>5</v>
      </c>
      <c r="K83" s="164">
        <f>'CCE2'!F80</f>
        <v>5</v>
      </c>
      <c r="L83" s="164">
        <f>'CCE2'!G80</f>
        <v>5</v>
      </c>
      <c r="M83" s="163"/>
      <c r="N83" s="164">
        <f>'CCE3'!D80</f>
        <v>5</v>
      </c>
      <c r="O83" s="164">
        <f>'CCE3'!E80</f>
        <v>5</v>
      </c>
      <c r="P83" s="164">
        <f>'CCE3'!F80</f>
        <v>5</v>
      </c>
      <c r="Q83" s="164">
        <f>'CCE3'!G80</f>
        <v>5</v>
      </c>
      <c r="R83" s="164"/>
      <c r="S83" s="162">
        <f t="shared" si="4"/>
        <v>19</v>
      </c>
      <c r="T83" s="162">
        <f t="shared" si="4"/>
        <v>22</v>
      </c>
      <c r="U83" s="162">
        <f t="shared" si="4"/>
        <v>22</v>
      </c>
      <c r="V83" s="162">
        <f t="shared" si="3"/>
        <v>22</v>
      </c>
      <c r="W83" s="162"/>
      <c r="X83" s="162">
        <f t="shared" si="5"/>
        <v>85</v>
      </c>
    </row>
    <row r="84" spans="1:24" s="160" customFormat="1" ht="15.75">
      <c r="A84" s="159">
        <v>71</v>
      </c>
      <c r="B84" s="157">
        <v>22203</v>
      </c>
      <c r="C84" s="158" t="s">
        <v>178</v>
      </c>
      <c r="D84" s="164">
        <f>'CCE1'!D81</f>
        <v>9</v>
      </c>
      <c r="E84" s="164">
        <f>'CCE1'!E81</f>
        <v>12</v>
      </c>
      <c r="F84" s="164">
        <f>'CCE1'!F81</f>
        <v>12</v>
      </c>
      <c r="G84" s="164">
        <f>'CCE1'!G81</f>
        <v>12</v>
      </c>
      <c r="H84" s="163"/>
      <c r="I84" s="164">
        <f>'CCE2'!D81</f>
        <v>5</v>
      </c>
      <c r="J84" s="164">
        <f>'CCE2'!E81</f>
        <v>5</v>
      </c>
      <c r="K84" s="164">
        <f>'CCE2'!F81</f>
        <v>5</v>
      </c>
      <c r="L84" s="164">
        <f>'CCE2'!G81</f>
        <v>5</v>
      </c>
      <c r="M84" s="163"/>
      <c r="N84" s="164">
        <f>'CCE3'!D81</f>
        <v>5</v>
      </c>
      <c r="O84" s="164">
        <f>'CCE3'!E81</f>
        <v>5</v>
      </c>
      <c r="P84" s="164">
        <f>'CCE3'!F81</f>
        <v>5</v>
      </c>
      <c r="Q84" s="164">
        <f>'CCE3'!G81</f>
        <v>5</v>
      </c>
      <c r="R84" s="164"/>
      <c r="S84" s="162">
        <f t="shared" si="4"/>
        <v>19</v>
      </c>
      <c r="T84" s="162">
        <f t="shared" si="4"/>
        <v>22</v>
      </c>
      <c r="U84" s="162">
        <f t="shared" si="4"/>
        <v>22</v>
      </c>
      <c r="V84" s="162">
        <f t="shared" si="3"/>
        <v>22</v>
      </c>
      <c r="W84" s="162"/>
      <c r="X84" s="162">
        <f t="shared" si="5"/>
        <v>85</v>
      </c>
    </row>
    <row r="85" spans="1:24" s="160" customFormat="1" ht="15.75">
      <c r="A85" s="159">
        <v>72</v>
      </c>
      <c r="B85" s="157">
        <v>22204</v>
      </c>
      <c r="C85" s="158" t="s">
        <v>179</v>
      </c>
      <c r="D85" s="164">
        <f>'CCE1'!D82</f>
        <v>9</v>
      </c>
      <c r="E85" s="164">
        <f>'CCE1'!E82</f>
        <v>15</v>
      </c>
      <c r="F85" s="164">
        <f>'CCE1'!F82</f>
        <v>11</v>
      </c>
      <c r="G85" s="164">
        <f>'CCE1'!G82</f>
        <v>10</v>
      </c>
      <c r="H85" s="163"/>
      <c r="I85" s="164">
        <f>'CCE2'!D82</f>
        <v>5</v>
      </c>
      <c r="J85" s="164">
        <f>'CCE2'!E82</f>
        <v>5</v>
      </c>
      <c r="K85" s="164">
        <f>'CCE2'!F82</f>
        <v>5</v>
      </c>
      <c r="L85" s="164">
        <f>'CCE2'!G82</f>
        <v>5</v>
      </c>
      <c r="M85" s="163"/>
      <c r="N85" s="164">
        <f>'CCE3'!D82</f>
        <v>5</v>
      </c>
      <c r="O85" s="164">
        <f>'CCE3'!E82</f>
        <v>5</v>
      </c>
      <c r="P85" s="164">
        <f>'CCE3'!F82</f>
        <v>5</v>
      </c>
      <c r="Q85" s="164">
        <f>'CCE3'!G82</f>
        <v>5</v>
      </c>
      <c r="R85" s="164"/>
      <c r="S85" s="162">
        <f t="shared" si="4"/>
        <v>19</v>
      </c>
      <c r="T85" s="162">
        <f t="shared" si="4"/>
        <v>25</v>
      </c>
      <c r="U85" s="162">
        <f t="shared" si="4"/>
        <v>21</v>
      </c>
      <c r="V85" s="162">
        <f t="shared" si="3"/>
        <v>20</v>
      </c>
      <c r="W85" s="162"/>
      <c r="X85" s="162">
        <f t="shared" si="5"/>
        <v>85</v>
      </c>
    </row>
    <row r="86" spans="1:24" s="160" customFormat="1" ht="15.75">
      <c r="A86" s="159">
        <v>73</v>
      </c>
      <c r="B86" s="157">
        <v>22205</v>
      </c>
      <c r="C86" s="158" t="s">
        <v>180</v>
      </c>
      <c r="D86" s="164">
        <f>'CCE1'!D83</f>
        <v>9</v>
      </c>
      <c r="E86" s="164">
        <f>'CCE1'!E83</f>
        <v>12</v>
      </c>
      <c r="F86" s="164">
        <f>'CCE1'!F83</f>
        <v>15</v>
      </c>
      <c r="G86" s="164">
        <f>'CCE1'!G83</f>
        <v>14</v>
      </c>
      <c r="H86" s="163"/>
      <c r="I86" s="164">
        <f>'CCE2'!D83</f>
        <v>5</v>
      </c>
      <c r="J86" s="164">
        <f>'CCE2'!E83</f>
        <v>5</v>
      </c>
      <c r="K86" s="164">
        <f>'CCE2'!F83</f>
        <v>5</v>
      </c>
      <c r="L86" s="164">
        <f>'CCE2'!G83</f>
        <v>5</v>
      </c>
      <c r="M86" s="163"/>
      <c r="N86" s="164">
        <f>'CCE3'!D83</f>
        <v>5</v>
      </c>
      <c r="O86" s="164">
        <f>'CCE3'!E83</f>
        <v>5</v>
      </c>
      <c r="P86" s="164">
        <f>'CCE3'!F83</f>
        <v>5</v>
      </c>
      <c r="Q86" s="164">
        <f>'CCE3'!G83</f>
        <v>5</v>
      </c>
      <c r="R86" s="164"/>
      <c r="S86" s="162">
        <f t="shared" si="4"/>
        <v>19</v>
      </c>
      <c r="T86" s="162">
        <f t="shared" si="4"/>
        <v>22</v>
      </c>
      <c r="U86" s="162">
        <f t="shared" si="4"/>
        <v>25</v>
      </c>
      <c r="V86" s="162">
        <f t="shared" si="3"/>
        <v>24</v>
      </c>
      <c r="W86" s="162"/>
      <c r="X86" s="162">
        <f t="shared" si="5"/>
        <v>90</v>
      </c>
    </row>
    <row r="87" spans="1:24" s="160" customFormat="1" ht="15.75">
      <c r="A87" s="159">
        <v>74</v>
      </c>
      <c r="B87" s="157">
        <v>22206</v>
      </c>
      <c r="C87" s="158" t="s">
        <v>181</v>
      </c>
      <c r="D87" s="164">
        <f>'CCE1'!D84</f>
        <v>9</v>
      </c>
      <c r="E87" s="164">
        <f>'CCE1'!E84</f>
        <v>12</v>
      </c>
      <c r="F87" s="164">
        <f>'CCE1'!F84</f>
        <v>13</v>
      </c>
      <c r="G87" s="164">
        <f>'CCE1'!G84</f>
        <v>13</v>
      </c>
      <c r="H87" s="163"/>
      <c r="I87" s="164">
        <f>'CCE2'!D84</f>
        <v>5</v>
      </c>
      <c r="J87" s="164">
        <f>'CCE2'!E84</f>
        <v>5</v>
      </c>
      <c r="K87" s="164">
        <f>'CCE2'!F84</f>
        <v>5</v>
      </c>
      <c r="L87" s="164">
        <f>'CCE2'!G84</f>
        <v>5</v>
      </c>
      <c r="M87" s="163"/>
      <c r="N87" s="164">
        <f>'CCE3'!D84</f>
        <v>5</v>
      </c>
      <c r="O87" s="164">
        <f>'CCE3'!E84</f>
        <v>5</v>
      </c>
      <c r="P87" s="164">
        <f>'CCE3'!F84</f>
        <v>5</v>
      </c>
      <c r="Q87" s="164">
        <f>'CCE3'!G84</f>
        <v>5</v>
      </c>
      <c r="R87" s="164"/>
      <c r="S87" s="162">
        <f t="shared" si="4"/>
        <v>19</v>
      </c>
      <c r="T87" s="162">
        <f t="shared" si="4"/>
        <v>22</v>
      </c>
      <c r="U87" s="162">
        <f t="shared" si="4"/>
        <v>23</v>
      </c>
      <c r="V87" s="162">
        <f t="shared" si="3"/>
        <v>23</v>
      </c>
      <c r="W87" s="162"/>
      <c r="X87" s="162">
        <f t="shared" si="5"/>
        <v>87</v>
      </c>
    </row>
    <row r="88" spans="1:24" s="160" customFormat="1" ht="15.75">
      <c r="A88" s="159">
        <v>75</v>
      </c>
      <c r="B88" s="157">
        <v>22207</v>
      </c>
      <c r="C88" s="158" t="s">
        <v>182</v>
      </c>
      <c r="D88" s="164">
        <f>'CCE1'!D85</f>
        <v>10</v>
      </c>
      <c r="E88" s="164">
        <f>'CCE1'!E85</f>
        <v>15</v>
      </c>
      <c r="F88" s="164">
        <f>'CCE1'!F85</f>
        <v>10</v>
      </c>
      <c r="G88" s="164">
        <f>'CCE1'!G85</f>
        <v>10</v>
      </c>
      <c r="H88" s="163"/>
      <c r="I88" s="164">
        <f>'CCE2'!D85</f>
        <v>5</v>
      </c>
      <c r="J88" s="164">
        <f>'CCE2'!E85</f>
        <v>5</v>
      </c>
      <c r="K88" s="164">
        <f>'CCE2'!F85</f>
        <v>5</v>
      </c>
      <c r="L88" s="164">
        <f>'CCE2'!G85</f>
        <v>5</v>
      </c>
      <c r="M88" s="163"/>
      <c r="N88" s="164">
        <f>'CCE3'!D85</f>
        <v>5</v>
      </c>
      <c r="O88" s="164">
        <f>'CCE3'!E85</f>
        <v>5</v>
      </c>
      <c r="P88" s="164">
        <f>'CCE3'!F85</f>
        <v>5</v>
      </c>
      <c r="Q88" s="164">
        <f>'CCE3'!G85</f>
        <v>5</v>
      </c>
      <c r="R88" s="164"/>
      <c r="S88" s="162">
        <f t="shared" si="4"/>
        <v>20</v>
      </c>
      <c r="T88" s="162">
        <f t="shared" si="4"/>
        <v>25</v>
      </c>
      <c r="U88" s="162">
        <f t="shared" si="4"/>
        <v>20</v>
      </c>
      <c r="V88" s="162">
        <f t="shared" si="3"/>
        <v>20</v>
      </c>
      <c r="W88" s="162"/>
      <c r="X88" s="162">
        <f t="shared" si="5"/>
        <v>85</v>
      </c>
    </row>
    <row r="89" spans="1:24" s="160" customFormat="1" ht="15.75">
      <c r="A89" s="159">
        <v>76</v>
      </c>
      <c r="B89" s="157">
        <v>22208</v>
      </c>
      <c r="C89" s="158" t="s">
        <v>183</v>
      </c>
      <c r="D89" s="164">
        <f>'CCE1'!D86</f>
        <v>10</v>
      </c>
      <c r="E89" s="164">
        <f>'CCE1'!E86</f>
        <v>12</v>
      </c>
      <c r="F89" s="164">
        <f>'CCE1'!F86</f>
        <v>12</v>
      </c>
      <c r="G89" s="164">
        <f>'CCE1'!G86</f>
        <v>11</v>
      </c>
      <c r="H89" s="163"/>
      <c r="I89" s="164">
        <f>'CCE2'!D86</f>
        <v>5</v>
      </c>
      <c r="J89" s="164">
        <f>'CCE2'!E86</f>
        <v>5</v>
      </c>
      <c r="K89" s="164">
        <f>'CCE2'!F86</f>
        <v>5</v>
      </c>
      <c r="L89" s="164">
        <f>'CCE2'!G86</f>
        <v>5</v>
      </c>
      <c r="M89" s="163"/>
      <c r="N89" s="164">
        <f>'CCE3'!D86</f>
        <v>5</v>
      </c>
      <c r="O89" s="164">
        <f>'CCE3'!E86</f>
        <v>5</v>
      </c>
      <c r="P89" s="164">
        <f>'CCE3'!F86</f>
        <v>5</v>
      </c>
      <c r="Q89" s="164">
        <f>'CCE3'!G86</f>
        <v>5</v>
      </c>
      <c r="R89" s="164"/>
      <c r="S89" s="162">
        <f t="shared" si="4"/>
        <v>20</v>
      </c>
      <c r="T89" s="162">
        <f t="shared" si="4"/>
        <v>22</v>
      </c>
      <c r="U89" s="162">
        <f t="shared" si="4"/>
        <v>22</v>
      </c>
      <c r="V89" s="162">
        <f t="shared" si="3"/>
        <v>21</v>
      </c>
      <c r="W89" s="162"/>
      <c r="X89" s="162">
        <f t="shared" si="5"/>
        <v>85</v>
      </c>
    </row>
    <row r="90" spans="1:24" ht="15.75">
      <c r="A90" s="159">
        <v>77</v>
      </c>
      <c r="B90" s="157">
        <v>22209</v>
      </c>
      <c r="C90" s="158" t="s">
        <v>184</v>
      </c>
      <c r="D90" s="164">
        <f>'CCE1'!D87</f>
        <v>9</v>
      </c>
      <c r="E90" s="164">
        <f>'CCE1'!E87</f>
        <v>12</v>
      </c>
      <c r="F90" s="164">
        <f>'CCE1'!F87</f>
        <v>13</v>
      </c>
      <c r="G90" s="164">
        <f>'CCE1'!G87</f>
        <v>12</v>
      </c>
      <c r="H90" s="161"/>
      <c r="I90" s="164">
        <f>'CCE2'!D87</f>
        <v>5</v>
      </c>
      <c r="J90" s="164">
        <f>'CCE2'!E87</f>
        <v>5</v>
      </c>
      <c r="K90" s="164">
        <f>'CCE2'!F87</f>
        <v>5</v>
      </c>
      <c r="L90" s="164">
        <f>'CCE2'!G87</f>
        <v>5</v>
      </c>
      <c r="M90" s="161"/>
      <c r="N90" s="164">
        <f>'CCE3'!D87</f>
        <v>5</v>
      </c>
      <c r="O90" s="164">
        <f>'CCE3'!E87</f>
        <v>5</v>
      </c>
      <c r="P90" s="164">
        <f>'CCE3'!F87</f>
        <v>5</v>
      </c>
      <c r="Q90" s="164">
        <f>'CCE3'!G87</f>
        <v>5</v>
      </c>
      <c r="R90" s="164"/>
      <c r="S90" s="162">
        <f t="shared" si="4"/>
        <v>19</v>
      </c>
      <c r="T90" s="162">
        <f t="shared" si="4"/>
        <v>22</v>
      </c>
      <c r="U90" s="162">
        <f t="shared" si="4"/>
        <v>23</v>
      </c>
      <c r="V90" s="162">
        <f t="shared" si="3"/>
        <v>22</v>
      </c>
      <c r="W90" s="162"/>
      <c r="X90" s="162">
        <f t="shared" si="5"/>
        <v>86</v>
      </c>
    </row>
    <row r="91" spans="1:24" ht="15.75">
      <c r="A91" s="159">
        <v>78</v>
      </c>
      <c r="B91" s="157">
        <v>22210</v>
      </c>
      <c r="C91" s="158" t="s">
        <v>185</v>
      </c>
      <c r="D91" s="164">
        <f>'CCE1'!D88</f>
        <v>10</v>
      </c>
      <c r="E91" s="164">
        <f>'CCE1'!E88</f>
        <v>13</v>
      </c>
      <c r="F91" s="164">
        <f>'CCE1'!F88</f>
        <v>11</v>
      </c>
      <c r="G91" s="164">
        <f>'CCE1'!G88</f>
        <v>10</v>
      </c>
      <c r="H91" s="163"/>
      <c r="I91" s="164">
        <f>'CCE2'!D88</f>
        <v>5</v>
      </c>
      <c r="J91" s="164">
        <f>'CCE2'!E88</f>
        <v>5</v>
      </c>
      <c r="K91" s="164">
        <f>'CCE2'!F88</f>
        <v>5</v>
      </c>
      <c r="L91" s="164">
        <f>'CCE2'!G88</f>
        <v>5</v>
      </c>
      <c r="M91" s="163"/>
      <c r="N91" s="164">
        <f>'CCE3'!D88</f>
        <v>5</v>
      </c>
      <c r="O91" s="164">
        <f>'CCE3'!E88</f>
        <v>5</v>
      </c>
      <c r="P91" s="164">
        <f>'CCE3'!F88</f>
        <v>5</v>
      </c>
      <c r="Q91" s="164">
        <f>'CCE3'!G88</f>
        <v>5</v>
      </c>
      <c r="R91" s="164"/>
      <c r="S91" s="162">
        <f t="shared" si="4"/>
        <v>20</v>
      </c>
      <c r="T91" s="162">
        <f t="shared" si="4"/>
        <v>23</v>
      </c>
      <c r="U91" s="162">
        <f t="shared" si="4"/>
        <v>21</v>
      </c>
      <c r="V91" s="162">
        <f t="shared" si="3"/>
        <v>20</v>
      </c>
      <c r="W91" s="162"/>
      <c r="X91" s="162">
        <f t="shared" si="5"/>
        <v>84</v>
      </c>
    </row>
    <row r="92" spans="1:24" ht="15.75">
      <c r="A92" s="159">
        <v>79</v>
      </c>
      <c r="B92" s="157">
        <v>22211</v>
      </c>
      <c r="C92" s="158" t="s">
        <v>186</v>
      </c>
      <c r="D92" s="164">
        <f>'CCE1'!D89</f>
        <v>9</v>
      </c>
      <c r="E92" s="164">
        <f>'CCE1'!E89</f>
        <v>12</v>
      </c>
      <c r="F92" s="164">
        <f>'CCE1'!F89</f>
        <v>13</v>
      </c>
      <c r="G92" s="164">
        <f>'CCE1'!G89</f>
        <v>13</v>
      </c>
      <c r="H92" s="163"/>
      <c r="I92" s="164">
        <f>'CCE2'!D89</f>
        <v>5</v>
      </c>
      <c r="J92" s="164">
        <f>'CCE2'!E89</f>
        <v>5</v>
      </c>
      <c r="K92" s="164">
        <f>'CCE2'!F89</f>
        <v>5</v>
      </c>
      <c r="L92" s="164">
        <f>'CCE2'!G89</f>
        <v>5</v>
      </c>
      <c r="M92" s="163"/>
      <c r="N92" s="164">
        <f>'CCE3'!D89</f>
        <v>5</v>
      </c>
      <c r="O92" s="164">
        <f>'CCE3'!E89</f>
        <v>5</v>
      </c>
      <c r="P92" s="164">
        <f>'CCE3'!F89</f>
        <v>5</v>
      </c>
      <c r="Q92" s="164">
        <f>'CCE3'!G89</f>
        <v>5</v>
      </c>
      <c r="R92" s="164"/>
      <c r="S92" s="162">
        <f t="shared" si="4"/>
        <v>19</v>
      </c>
      <c r="T92" s="162">
        <f t="shared" si="4"/>
        <v>22</v>
      </c>
      <c r="U92" s="162">
        <f t="shared" si="4"/>
        <v>23</v>
      </c>
      <c r="V92" s="162">
        <f t="shared" si="3"/>
        <v>23</v>
      </c>
      <c r="W92" s="162"/>
      <c r="X92" s="162">
        <f t="shared" si="5"/>
        <v>87</v>
      </c>
    </row>
    <row r="93" spans="1:24" ht="15.75">
      <c r="A93" s="159">
        <v>80</v>
      </c>
      <c r="B93" s="157">
        <v>22212</v>
      </c>
      <c r="C93" s="158" t="s">
        <v>187</v>
      </c>
      <c r="D93" s="164">
        <f>'CCE1'!D90</f>
        <v>10</v>
      </c>
      <c r="E93" s="164">
        <f>'CCE1'!E90</f>
        <v>14</v>
      </c>
      <c r="F93" s="164">
        <f>'CCE1'!F90</f>
        <v>12</v>
      </c>
      <c r="G93" s="164">
        <f>'CCE1'!G90</f>
        <v>12</v>
      </c>
      <c r="H93" s="163"/>
      <c r="I93" s="164">
        <f>'CCE2'!D90</f>
        <v>5</v>
      </c>
      <c r="J93" s="164">
        <f>'CCE2'!E90</f>
        <v>5</v>
      </c>
      <c r="K93" s="164">
        <f>'CCE2'!F90</f>
        <v>5</v>
      </c>
      <c r="L93" s="164">
        <f>'CCE2'!G90</f>
        <v>5</v>
      </c>
      <c r="M93" s="163"/>
      <c r="N93" s="164">
        <f>'CCE3'!D90</f>
        <v>5</v>
      </c>
      <c r="O93" s="164">
        <f>'CCE3'!E90</f>
        <v>5</v>
      </c>
      <c r="P93" s="164">
        <f>'CCE3'!F90</f>
        <v>5</v>
      </c>
      <c r="Q93" s="164">
        <f>'CCE3'!G90</f>
        <v>5</v>
      </c>
      <c r="R93" s="164"/>
      <c r="S93" s="162">
        <f t="shared" si="4"/>
        <v>20</v>
      </c>
      <c r="T93" s="162">
        <f t="shared" si="4"/>
        <v>24</v>
      </c>
      <c r="U93" s="162">
        <f t="shared" si="4"/>
        <v>22</v>
      </c>
      <c r="V93" s="162">
        <f t="shared" si="3"/>
        <v>22</v>
      </c>
      <c r="W93" s="162"/>
      <c r="X93" s="162">
        <f t="shared" si="5"/>
        <v>88</v>
      </c>
    </row>
    <row r="94" spans="1:24" ht="15.75">
      <c r="A94" s="159">
        <v>81</v>
      </c>
      <c r="B94" s="157">
        <v>22213</v>
      </c>
      <c r="C94" s="158" t="s">
        <v>188</v>
      </c>
      <c r="D94" s="164">
        <f>'CCE1'!D91</f>
        <v>10</v>
      </c>
      <c r="E94" s="164">
        <f>'CCE1'!E91</f>
        <v>13</v>
      </c>
      <c r="F94" s="164">
        <f>'CCE1'!F91</f>
        <v>11</v>
      </c>
      <c r="G94" s="164">
        <f>'CCE1'!G91</f>
        <v>11</v>
      </c>
      <c r="H94" s="163"/>
      <c r="I94" s="164">
        <f>'CCE2'!D91</f>
        <v>5</v>
      </c>
      <c r="J94" s="164">
        <f>'CCE2'!E91</f>
        <v>5</v>
      </c>
      <c r="K94" s="164">
        <f>'CCE2'!F91</f>
        <v>5</v>
      </c>
      <c r="L94" s="164">
        <f>'CCE2'!G91</f>
        <v>5</v>
      </c>
      <c r="M94" s="163"/>
      <c r="N94" s="164">
        <f>'CCE3'!D91</f>
        <v>5</v>
      </c>
      <c r="O94" s="164">
        <f>'CCE3'!E91</f>
        <v>5</v>
      </c>
      <c r="P94" s="164">
        <f>'CCE3'!F91</f>
        <v>5</v>
      </c>
      <c r="Q94" s="164">
        <f>'CCE3'!G91</f>
        <v>5</v>
      </c>
      <c r="R94" s="164"/>
      <c r="S94" s="162">
        <f t="shared" si="4"/>
        <v>20</v>
      </c>
      <c r="T94" s="162">
        <f t="shared" si="4"/>
        <v>23</v>
      </c>
      <c r="U94" s="162">
        <f t="shared" si="4"/>
        <v>21</v>
      </c>
      <c r="V94" s="162">
        <f t="shared" si="3"/>
        <v>21</v>
      </c>
      <c r="W94" s="162"/>
      <c r="X94" s="162">
        <f t="shared" si="5"/>
        <v>85</v>
      </c>
    </row>
    <row r="95" spans="1:24" ht="15.75">
      <c r="A95" s="159">
        <v>82</v>
      </c>
      <c r="B95" s="157">
        <v>22214</v>
      </c>
      <c r="C95" s="158" t="s">
        <v>189</v>
      </c>
      <c r="D95" s="164">
        <f>'CCE1'!D92</f>
        <v>9</v>
      </c>
      <c r="E95" s="164">
        <f>'CCE1'!E92</f>
        <v>12</v>
      </c>
      <c r="F95" s="164">
        <f>'CCE1'!F92</f>
        <v>13</v>
      </c>
      <c r="G95" s="164">
        <f>'CCE1'!G92</f>
        <v>12</v>
      </c>
      <c r="H95" s="163"/>
      <c r="I95" s="164">
        <f>'CCE2'!D92</f>
        <v>5</v>
      </c>
      <c r="J95" s="164">
        <f>'CCE2'!E92</f>
        <v>5</v>
      </c>
      <c r="K95" s="164">
        <f>'CCE2'!F92</f>
        <v>5</v>
      </c>
      <c r="L95" s="164">
        <f>'CCE2'!G92</f>
        <v>5</v>
      </c>
      <c r="M95" s="163"/>
      <c r="N95" s="164">
        <f>'CCE3'!D92</f>
        <v>5</v>
      </c>
      <c r="O95" s="164">
        <f>'CCE3'!E92</f>
        <v>5</v>
      </c>
      <c r="P95" s="164">
        <f>'CCE3'!F92</f>
        <v>5</v>
      </c>
      <c r="Q95" s="164">
        <f>'CCE3'!G92</f>
        <v>5</v>
      </c>
      <c r="R95" s="164"/>
      <c r="S95" s="162">
        <f t="shared" si="4"/>
        <v>19</v>
      </c>
      <c r="T95" s="162">
        <f t="shared" si="4"/>
        <v>22</v>
      </c>
      <c r="U95" s="162">
        <f t="shared" si="4"/>
        <v>23</v>
      </c>
      <c r="V95" s="162">
        <f t="shared" si="3"/>
        <v>22</v>
      </c>
      <c r="W95" s="162"/>
      <c r="X95" s="162">
        <f t="shared" si="5"/>
        <v>86</v>
      </c>
    </row>
    <row r="96" spans="1:24" ht="15.75">
      <c r="A96" s="159">
        <v>83</v>
      </c>
      <c r="B96" s="157">
        <v>22215</v>
      </c>
      <c r="C96" s="158" t="s">
        <v>190</v>
      </c>
      <c r="D96" s="164">
        <f>'CCE1'!D93</f>
        <v>9</v>
      </c>
      <c r="E96" s="164">
        <f>'CCE1'!E93</f>
        <v>12</v>
      </c>
      <c r="F96" s="164">
        <f>'CCE1'!F93</f>
        <v>11</v>
      </c>
      <c r="G96" s="164">
        <f>'CCE1'!G93</f>
        <v>11</v>
      </c>
      <c r="H96" s="163"/>
      <c r="I96" s="164">
        <f>'CCE2'!D93</f>
        <v>5</v>
      </c>
      <c r="J96" s="164">
        <f>'CCE2'!E93</f>
        <v>5</v>
      </c>
      <c r="K96" s="164">
        <f>'CCE2'!F93</f>
        <v>5</v>
      </c>
      <c r="L96" s="164">
        <f>'CCE2'!G93</f>
        <v>5</v>
      </c>
      <c r="M96" s="163"/>
      <c r="N96" s="164">
        <f>'CCE3'!D93</f>
        <v>5</v>
      </c>
      <c r="O96" s="164">
        <f>'CCE3'!E93</f>
        <v>5</v>
      </c>
      <c r="P96" s="164">
        <f>'CCE3'!F93</f>
        <v>5</v>
      </c>
      <c r="Q96" s="164">
        <f>'CCE3'!G93</f>
        <v>5</v>
      </c>
      <c r="R96" s="164"/>
      <c r="S96" s="162">
        <f t="shared" si="4"/>
        <v>19</v>
      </c>
      <c r="T96" s="162">
        <f t="shared" si="4"/>
        <v>22</v>
      </c>
      <c r="U96" s="162">
        <f t="shared" si="4"/>
        <v>21</v>
      </c>
      <c r="V96" s="162">
        <f t="shared" si="3"/>
        <v>21</v>
      </c>
      <c r="W96" s="162"/>
      <c r="X96" s="162">
        <f t="shared" si="5"/>
        <v>83</v>
      </c>
    </row>
    <row r="97" spans="1:24" ht="15.75">
      <c r="A97" s="159">
        <v>84</v>
      </c>
      <c r="B97" s="157">
        <v>22216</v>
      </c>
      <c r="C97" s="158" t="s">
        <v>191</v>
      </c>
      <c r="D97" s="164">
        <f>'CCE1'!D94</f>
        <v>9</v>
      </c>
      <c r="E97" s="164">
        <f>'CCE1'!E94</f>
        <v>12</v>
      </c>
      <c r="F97" s="164">
        <f>'CCE1'!F94</f>
        <v>11</v>
      </c>
      <c r="G97" s="164">
        <f>'CCE1'!G94</f>
        <v>11</v>
      </c>
      <c r="H97" s="163"/>
      <c r="I97" s="164">
        <f>'CCE2'!D94</f>
        <v>5</v>
      </c>
      <c r="J97" s="164">
        <f>'CCE2'!E94</f>
        <v>5</v>
      </c>
      <c r="K97" s="164">
        <f>'CCE2'!F94</f>
        <v>5</v>
      </c>
      <c r="L97" s="164">
        <f>'CCE2'!G94</f>
        <v>5</v>
      </c>
      <c r="M97" s="163"/>
      <c r="N97" s="164">
        <f>'CCE3'!D94</f>
        <v>5</v>
      </c>
      <c r="O97" s="164">
        <f>'CCE3'!E94</f>
        <v>5</v>
      </c>
      <c r="P97" s="164">
        <f>'CCE3'!F94</f>
        <v>5</v>
      </c>
      <c r="Q97" s="164">
        <f>'CCE3'!G94</f>
        <v>5</v>
      </c>
      <c r="R97" s="164"/>
      <c r="S97" s="162">
        <f t="shared" si="4"/>
        <v>19</v>
      </c>
      <c r="T97" s="162">
        <f t="shared" si="4"/>
        <v>22</v>
      </c>
      <c r="U97" s="162">
        <f t="shared" si="4"/>
        <v>21</v>
      </c>
      <c r="V97" s="162">
        <f t="shared" si="3"/>
        <v>21</v>
      </c>
      <c r="W97" s="162"/>
      <c r="X97" s="162">
        <f t="shared" si="5"/>
        <v>83</v>
      </c>
    </row>
    <row r="98" spans="1:24" ht="15.75">
      <c r="A98" s="159">
        <v>85</v>
      </c>
      <c r="B98" s="157">
        <v>22217</v>
      </c>
      <c r="C98" s="158" t="s">
        <v>192</v>
      </c>
      <c r="D98" s="164">
        <f>'CCE1'!D95</f>
        <v>9</v>
      </c>
      <c r="E98" s="164">
        <f>'CCE1'!E95</f>
        <v>12</v>
      </c>
      <c r="F98" s="164">
        <f>'CCE1'!F95</f>
        <v>12</v>
      </c>
      <c r="G98" s="164">
        <f>'CCE1'!G95</f>
        <v>12</v>
      </c>
      <c r="H98" s="163"/>
      <c r="I98" s="164">
        <f>'CCE2'!D95</f>
        <v>5</v>
      </c>
      <c r="J98" s="164">
        <f>'CCE2'!E95</f>
        <v>5</v>
      </c>
      <c r="K98" s="164">
        <f>'CCE2'!F95</f>
        <v>5</v>
      </c>
      <c r="L98" s="164">
        <f>'CCE2'!G95</f>
        <v>5</v>
      </c>
      <c r="M98" s="163"/>
      <c r="N98" s="164">
        <f>'CCE3'!D95</f>
        <v>5</v>
      </c>
      <c r="O98" s="164">
        <f>'CCE3'!E95</f>
        <v>5</v>
      </c>
      <c r="P98" s="164">
        <f>'CCE3'!F95</f>
        <v>5</v>
      </c>
      <c r="Q98" s="164">
        <f>'CCE3'!G95</f>
        <v>5</v>
      </c>
      <c r="R98" s="164"/>
      <c r="S98" s="162">
        <f t="shared" si="4"/>
        <v>19</v>
      </c>
      <c r="T98" s="162">
        <f t="shared" si="4"/>
        <v>22</v>
      </c>
      <c r="U98" s="162">
        <f t="shared" si="4"/>
        <v>22</v>
      </c>
      <c r="V98" s="162">
        <f t="shared" si="3"/>
        <v>22</v>
      </c>
      <c r="W98" s="162"/>
      <c r="X98" s="162">
        <f t="shared" si="5"/>
        <v>85</v>
      </c>
    </row>
    <row r="99" spans="1:24" ht="15.75">
      <c r="A99" s="159">
        <v>86</v>
      </c>
      <c r="B99" s="157">
        <v>22218</v>
      </c>
      <c r="C99" s="158" t="s">
        <v>193</v>
      </c>
      <c r="D99" s="164">
        <f>'CCE1'!D96</f>
        <v>9</v>
      </c>
      <c r="E99" s="164">
        <f>'CCE1'!E96</f>
        <v>15</v>
      </c>
      <c r="F99" s="164">
        <f>'CCE1'!F96</f>
        <v>9</v>
      </c>
      <c r="G99" s="164">
        <f>'CCE1'!G96</f>
        <v>9</v>
      </c>
      <c r="H99" s="163"/>
      <c r="I99" s="164">
        <f>'CCE2'!D96</f>
        <v>5</v>
      </c>
      <c r="J99" s="164">
        <f>'CCE2'!E96</f>
        <v>5</v>
      </c>
      <c r="K99" s="164">
        <f>'CCE2'!F96</f>
        <v>5</v>
      </c>
      <c r="L99" s="164">
        <f>'CCE2'!G96</f>
        <v>5</v>
      </c>
      <c r="M99" s="163"/>
      <c r="N99" s="164">
        <f>'CCE3'!D96</f>
        <v>5</v>
      </c>
      <c r="O99" s="164">
        <f>'CCE3'!E96</f>
        <v>5</v>
      </c>
      <c r="P99" s="164">
        <f>'CCE3'!F96</f>
        <v>5</v>
      </c>
      <c r="Q99" s="164">
        <f>'CCE3'!G96</f>
        <v>5</v>
      </c>
      <c r="R99" s="164"/>
      <c r="S99" s="162">
        <f t="shared" si="4"/>
        <v>19</v>
      </c>
      <c r="T99" s="162">
        <f t="shared" si="4"/>
        <v>25</v>
      </c>
      <c r="U99" s="162">
        <f t="shared" si="4"/>
        <v>19</v>
      </c>
      <c r="V99" s="162">
        <f t="shared" si="3"/>
        <v>19</v>
      </c>
      <c r="W99" s="162"/>
      <c r="X99" s="162">
        <f t="shared" si="5"/>
        <v>82</v>
      </c>
    </row>
    <row r="100" spans="1:24" ht="15.75">
      <c r="A100" s="159">
        <v>87</v>
      </c>
      <c r="B100" s="157">
        <v>22219</v>
      </c>
      <c r="C100" s="158" t="s">
        <v>194</v>
      </c>
      <c r="D100" s="164">
        <f>'CCE1'!D97</f>
        <v>9</v>
      </c>
      <c r="E100" s="164">
        <f>'CCE1'!E97</f>
        <v>15</v>
      </c>
      <c r="F100" s="164">
        <f>'CCE1'!F97</f>
        <v>13</v>
      </c>
      <c r="G100" s="164">
        <f>'CCE1'!G97</f>
        <v>13</v>
      </c>
      <c r="H100" s="163"/>
      <c r="I100" s="164">
        <f>'CCE2'!D97</f>
        <v>5</v>
      </c>
      <c r="J100" s="164">
        <f>'CCE2'!E97</f>
        <v>5</v>
      </c>
      <c r="K100" s="164">
        <f>'CCE2'!F97</f>
        <v>5</v>
      </c>
      <c r="L100" s="164">
        <f>'CCE2'!G97</f>
        <v>5</v>
      </c>
      <c r="M100" s="163"/>
      <c r="N100" s="164">
        <f>'CCE3'!D97</f>
        <v>5</v>
      </c>
      <c r="O100" s="164">
        <f>'CCE3'!E97</f>
        <v>5</v>
      </c>
      <c r="P100" s="164">
        <f>'CCE3'!F97</f>
        <v>5</v>
      </c>
      <c r="Q100" s="164">
        <f>'CCE3'!G97</f>
        <v>5</v>
      </c>
      <c r="R100" s="164"/>
      <c r="S100" s="162">
        <f t="shared" si="4"/>
        <v>19</v>
      </c>
      <c r="T100" s="162">
        <f t="shared" si="4"/>
        <v>25</v>
      </c>
      <c r="U100" s="162">
        <f t="shared" si="4"/>
        <v>23</v>
      </c>
      <c r="V100" s="162">
        <f t="shared" si="3"/>
        <v>23</v>
      </c>
      <c r="W100" s="162"/>
      <c r="X100" s="162">
        <f t="shared" si="5"/>
        <v>90</v>
      </c>
    </row>
    <row r="101" spans="1:24" ht="15.75">
      <c r="A101" s="159">
        <v>88</v>
      </c>
      <c r="B101" s="157">
        <v>22220</v>
      </c>
      <c r="C101" s="158" t="s">
        <v>195</v>
      </c>
      <c r="D101" s="164">
        <f>'CCE1'!D98</f>
        <v>10</v>
      </c>
      <c r="E101" s="164">
        <f>'CCE1'!E98</f>
        <v>13</v>
      </c>
      <c r="F101" s="164">
        <f>'CCE1'!F98</f>
        <v>10</v>
      </c>
      <c r="G101" s="164">
        <f>'CCE1'!G98</f>
        <v>9</v>
      </c>
      <c r="H101" s="163"/>
      <c r="I101" s="164">
        <f>'CCE2'!D98</f>
        <v>5</v>
      </c>
      <c r="J101" s="164">
        <f>'CCE2'!E98</f>
        <v>5</v>
      </c>
      <c r="K101" s="164">
        <f>'CCE2'!F98</f>
        <v>5</v>
      </c>
      <c r="L101" s="164">
        <f>'CCE2'!G98</f>
        <v>5</v>
      </c>
      <c r="M101" s="163"/>
      <c r="N101" s="164">
        <f>'CCE3'!D98</f>
        <v>5</v>
      </c>
      <c r="O101" s="164">
        <f>'CCE3'!E98</f>
        <v>5</v>
      </c>
      <c r="P101" s="164">
        <f>'CCE3'!F98</f>
        <v>5</v>
      </c>
      <c r="Q101" s="164">
        <f>'CCE3'!G98</f>
        <v>5</v>
      </c>
      <c r="R101" s="164"/>
      <c r="S101" s="162">
        <f t="shared" si="4"/>
        <v>20</v>
      </c>
      <c r="T101" s="162">
        <f t="shared" si="4"/>
        <v>23</v>
      </c>
      <c r="U101" s="162">
        <f t="shared" si="4"/>
        <v>20</v>
      </c>
      <c r="V101" s="162">
        <f t="shared" si="3"/>
        <v>19</v>
      </c>
      <c r="W101" s="162"/>
      <c r="X101" s="162">
        <f t="shared" si="5"/>
        <v>82</v>
      </c>
    </row>
    <row r="102" spans="1:24" ht="15.75">
      <c r="A102" s="159">
        <v>89</v>
      </c>
      <c r="B102" s="157">
        <v>22221</v>
      </c>
      <c r="C102" s="158" t="s">
        <v>196</v>
      </c>
      <c r="D102" s="164">
        <f>'CCE1'!D99</f>
        <v>9</v>
      </c>
      <c r="E102" s="164">
        <f>'CCE1'!E99</f>
        <v>15</v>
      </c>
      <c r="F102" s="164">
        <f>'CCE1'!F99</f>
        <v>9</v>
      </c>
      <c r="G102" s="164">
        <f>'CCE1'!G99</f>
        <v>8</v>
      </c>
      <c r="H102" s="163"/>
      <c r="I102" s="164">
        <f>'CCE2'!D99</f>
        <v>5</v>
      </c>
      <c r="J102" s="164">
        <f>'CCE2'!E99</f>
        <v>5</v>
      </c>
      <c r="K102" s="164">
        <f>'CCE2'!F99</f>
        <v>5</v>
      </c>
      <c r="L102" s="164">
        <f>'CCE2'!G99</f>
        <v>5</v>
      </c>
      <c r="M102" s="163"/>
      <c r="N102" s="164">
        <f>'CCE3'!D99</f>
        <v>5</v>
      </c>
      <c r="O102" s="164">
        <f>'CCE3'!E99</f>
        <v>5</v>
      </c>
      <c r="P102" s="164">
        <f>'CCE3'!F99</f>
        <v>5</v>
      </c>
      <c r="Q102" s="164">
        <f>'CCE3'!G99</f>
        <v>5</v>
      </c>
      <c r="R102" s="164"/>
      <c r="S102" s="162">
        <f t="shared" si="4"/>
        <v>19</v>
      </c>
      <c r="T102" s="162">
        <f t="shared" si="4"/>
        <v>25</v>
      </c>
      <c r="U102" s="162">
        <f t="shared" si="4"/>
        <v>19</v>
      </c>
      <c r="V102" s="162">
        <f t="shared" si="3"/>
        <v>18</v>
      </c>
      <c r="W102" s="162"/>
      <c r="X102" s="162">
        <f t="shared" si="5"/>
        <v>81</v>
      </c>
    </row>
    <row r="103" spans="1:24" ht="15.75">
      <c r="A103" s="159">
        <v>90</v>
      </c>
      <c r="B103" s="157">
        <v>22222</v>
      </c>
      <c r="C103" s="158" t="s">
        <v>197</v>
      </c>
      <c r="D103" s="164">
        <f>'CCE1'!D100</f>
        <v>9</v>
      </c>
      <c r="E103" s="164">
        <f>'CCE1'!E100</f>
        <v>12</v>
      </c>
      <c r="F103" s="164">
        <f>'CCE1'!F100</f>
        <v>12</v>
      </c>
      <c r="G103" s="164">
        <f>'CCE1'!G100</f>
        <v>12</v>
      </c>
      <c r="H103" s="163"/>
      <c r="I103" s="164">
        <f>'CCE2'!D100</f>
        <v>5</v>
      </c>
      <c r="J103" s="164">
        <f>'CCE2'!E100</f>
        <v>5</v>
      </c>
      <c r="K103" s="164">
        <f>'CCE2'!F100</f>
        <v>5</v>
      </c>
      <c r="L103" s="164">
        <f>'CCE2'!G100</f>
        <v>5</v>
      </c>
      <c r="M103" s="163"/>
      <c r="N103" s="164">
        <f>'CCE3'!D100</f>
        <v>5</v>
      </c>
      <c r="O103" s="164">
        <f>'CCE3'!E100</f>
        <v>5</v>
      </c>
      <c r="P103" s="164">
        <f>'CCE3'!F100</f>
        <v>5</v>
      </c>
      <c r="Q103" s="164">
        <f>'CCE3'!G100</f>
        <v>5</v>
      </c>
      <c r="R103" s="164"/>
      <c r="S103" s="162">
        <f t="shared" si="4"/>
        <v>19</v>
      </c>
      <c r="T103" s="162">
        <f t="shared" si="4"/>
        <v>22</v>
      </c>
      <c r="U103" s="162">
        <f t="shared" si="4"/>
        <v>22</v>
      </c>
      <c r="V103" s="162">
        <f t="shared" si="3"/>
        <v>22</v>
      </c>
      <c r="W103" s="162"/>
      <c r="X103" s="162">
        <f t="shared" si="5"/>
        <v>85</v>
      </c>
    </row>
    <row r="104" spans="1:24" ht="15.75">
      <c r="A104" s="159">
        <v>91</v>
      </c>
      <c r="B104" s="157">
        <v>22223</v>
      </c>
      <c r="C104" s="158" t="s">
        <v>198</v>
      </c>
      <c r="D104" s="164">
        <f>'CCE1'!D101</f>
        <v>9</v>
      </c>
      <c r="E104" s="164">
        <f>'CCE1'!E101</f>
        <v>15</v>
      </c>
      <c r="F104" s="164">
        <f>'CCE1'!F101</f>
        <v>9</v>
      </c>
      <c r="G104" s="164">
        <f>'CCE1'!G101</f>
        <v>8</v>
      </c>
      <c r="H104" s="163"/>
      <c r="I104" s="164">
        <f>'CCE2'!D101</f>
        <v>5</v>
      </c>
      <c r="J104" s="164">
        <f>'CCE2'!E101</f>
        <v>5</v>
      </c>
      <c r="K104" s="164">
        <f>'CCE2'!F101</f>
        <v>5</v>
      </c>
      <c r="L104" s="164">
        <f>'CCE2'!G101</f>
        <v>5</v>
      </c>
      <c r="M104" s="163"/>
      <c r="N104" s="164">
        <f>'CCE3'!D101</f>
        <v>5</v>
      </c>
      <c r="O104" s="164">
        <f>'CCE3'!E101</f>
        <v>5</v>
      </c>
      <c r="P104" s="164">
        <f>'CCE3'!F101</f>
        <v>5</v>
      </c>
      <c r="Q104" s="164">
        <f>'CCE3'!G101</f>
        <v>5</v>
      </c>
      <c r="R104" s="164"/>
      <c r="S104" s="162">
        <f t="shared" si="4"/>
        <v>19</v>
      </c>
      <c r="T104" s="162">
        <f t="shared" si="4"/>
        <v>25</v>
      </c>
      <c r="U104" s="162">
        <f t="shared" si="4"/>
        <v>19</v>
      </c>
      <c r="V104" s="162">
        <f t="shared" si="3"/>
        <v>18</v>
      </c>
      <c r="W104" s="162"/>
      <c r="X104" s="162">
        <f t="shared" si="5"/>
        <v>81</v>
      </c>
    </row>
    <row r="105" spans="1:24" ht="15.75">
      <c r="A105" s="159">
        <v>92</v>
      </c>
      <c r="B105" s="157">
        <v>22224</v>
      </c>
      <c r="C105" s="158" t="s">
        <v>199</v>
      </c>
      <c r="D105" s="164">
        <f>'CCE1'!D102</f>
        <v>10</v>
      </c>
      <c r="E105" s="164">
        <f>'CCE1'!E102</f>
        <v>12</v>
      </c>
      <c r="F105" s="164">
        <f>'CCE1'!F102</f>
        <v>10</v>
      </c>
      <c r="G105" s="164">
        <f>'CCE1'!G102</f>
        <v>10</v>
      </c>
      <c r="H105" s="163"/>
      <c r="I105" s="164">
        <f>'CCE2'!D102</f>
        <v>5</v>
      </c>
      <c r="J105" s="164">
        <f>'CCE2'!E102</f>
        <v>5</v>
      </c>
      <c r="K105" s="164">
        <f>'CCE2'!F102</f>
        <v>5</v>
      </c>
      <c r="L105" s="164">
        <f>'CCE2'!G102</f>
        <v>5</v>
      </c>
      <c r="M105" s="163"/>
      <c r="N105" s="164">
        <f>'CCE3'!D102</f>
        <v>5</v>
      </c>
      <c r="O105" s="164">
        <f>'CCE3'!E102</f>
        <v>5</v>
      </c>
      <c r="P105" s="164">
        <f>'CCE3'!F102</f>
        <v>5</v>
      </c>
      <c r="Q105" s="164">
        <f>'CCE3'!G102</f>
        <v>5</v>
      </c>
      <c r="R105" s="164"/>
      <c r="S105" s="162">
        <f t="shared" si="4"/>
        <v>20</v>
      </c>
      <c r="T105" s="162">
        <f t="shared" si="4"/>
        <v>22</v>
      </c>
      <c r="U105" s="162">
        <f t="shared" si="4"/>
        <v>20</v>
      </c>
      <c r="V105" s="162">
        <f t="shared" si="3"/>
        <v>20</v>
      </c>
      <c r="W105" s="162"/>
      <c r="X105" s="162">
        <f t="shared" si="5"/>
        <v>82</v>
      </c>
    </row>
    <row r="106" spans="1:24" ht="15.75">
      <c r="A106" s="159">
        <v>93</v>
      </c>
      <c r="B106" s="157">
        <v>22225</v>
      </c>
      <c r="C106" s="158" t="s">
        <v>200</v>
      </c>
      <c r="D106" s="164">
        <f>'CCE1'!D103</f>
        <v>10</v>
      </c>
      <c r="E106" s="164">
        <f>'CCE1'!E103</f>
        <v>15</v>
      </c>
      <c r="F106" s="164">
        <f>'CCE1'!F103</f>
        <v>11</v>
      </c>
      <c r="G106" s="164">
        <f>'CCE1'!G103</f>
        <v>10</v>
      </c>
      <c r="H106" s="163"/>
      <c r="I106" s="164">
        <f>'CCE2'!D103</f>
        <v>5</v>
      </c>
      <c r="J106" s="164">
        <f>'CCE2'!E103</f>
        <v>5</v>
      </c>
      <c r="K106" s="164">
        <f>'CCE2'!F103</f>
        <v>5</v>
      </c>
      <c r="L106" s="164">
        <f>'CCE2'!G103</f>
        <v>5</v>
      </c>
      <c r="M106" s="163"/>
      <c r="N106" s="164">
        <f>'CCE3'!D103</f>
        <v>5</v>
      </c>
      <c r="O106" s="164">
        <f>'CCE3'!E103</f>
        <v>5</v>
      </c>
      <c r="P106" s="164">
        <f>'CCE3'!F103</f>
        <v>5</v>
      </c>
      <c r="Q106" s="164">
        <f>'CCE3'!G103</f>
        <v>5</v>
      </c>
      <c r="R106" s="164"/>
      <c r="S106" s="162">
        <f t="shared" si="4"/>
        <v>20</v>
      </c>
      <c r="T106" s="162">
        <f t="shared" si="4"/>
        <v>25</v>
      </c>
      <c r="U106" s="162">
        <f t="shared" si="4"/>
        <v>21</v>
      </c>
      <c r="V106" s="162">
        <f t="shared" si="3"/>
        <v>20</v>
      </c>
      <c r="W106" s="162"/>
      <c r="X106" s="162">
        <f t="shared" si="5"/>
        <v>86</v>
      </c>
    </row>
    <row r="107" spans="1:24" ht="15.75">
      <c r="A107" s="159">
        <v>94</v>
      </c>
      <c r="B107" s="157">
        <v>22226</v>
      </c>
      <c r="C107" s="158" t="s">
        <v>201</v>
      </c>
      <c r="D107" s="164">
        <f>'CCE1'!D104</f>
        <v>9</v>
      </c>
      <c r="E107" s="164">
        <f>'CCE1'!E104</f>
        <v>12</v>
      </c>
      <c r="F107" s="164">
        <f>'CCE1'!F104</f>
        <v>15</v>
      </c>
      <c r="G107" s="164">
        <f>'CCE1'!G104</f>
        <v>14</v>
      </c>
      <c r="H107" s="163"/>
      <c r="I107" s="164">
        <f>'CCE2'!D104</f>
        <v>5</v>
      </c>
      <c r="J107" s="164">
        <f>'CCE2'!E104</f>
        <v>5</v>
      </c>
      <c r="K107" s="164">
        <f>'CCE2'!F104</f>
        <v>5</v>
      </c>
      <c r="L107" s="164">
        <f>'CCE2'!G104</f>
        <v>5</v>
      </c>
      <c r="M107" s="163"/>
      <c r="N107" s="164">
        <f>'CCE3'!D104</f>
        <v>5</v>
      </c>
      <c r="O107" s="164">
        <f>'CCE3'!E104</f>
        <v>5</v>
      </c>
      <c r="P107" s="164">
        <f>'CCE3'!F104</f>
        <v>5</v>
      </c>
      <c r="Q107" s="164">
        <f>'CCE3'!G104</f>
        <v>5</v>
      </c>
      <c r="R107" s="164"/>
      <c r="S107" s="162">
        <f t="shared" si="4"/>
        <v>19</v>
      </c>
      <c r="T107" s="162">
        <f t="shared" si="4"/>
        <v>22</v>
      </c>
      <c r="U107" s="162">
        <f t="shared" si="4"/>
        <v>25</v>
      </c>
      <c r="V107" s="162">
        <f t="shared" si="3"/>
        <v>24</v>
      </c>
      <c r="W107" s="162"/>
      <c r="X107" s="162">
        <f t="shared" si="5"/>
        <v>90</v>
      </c>
    </row>
    <row r="108" spans="1:24" ht="15.75">
      <c r="A108" s="159">
        <v>95</v>
      </c>
      <c r="B108" s="157">
        <v>22227</v>
      </c>
      <c r="C108" s="158" t="s">
        <v>202</v>
      </c>
      <c r="D108" s="164">
        <f>'CCE1'!D105</f>
        <v>10</v>
      </c>
      <c r="E108" s="164">
        <f>'CCE1'!E105</f>
        <v>15</v>
      </c>
      <c r="F108" s="164">
        <f>'CCE1'!F105</f>
        <v>11</v>
      </c>
      <c r="G108" s="164">
        <f>'CCE1'!G105</f>
        <v>10</v>
      </c>
      <c r="H108" s="163"/>
      <c r="I108" s="164">
        <f>'CCE2'!D105</f>
        <v>5</v>
      </c>
      <c r="J108" s="164">
        <f>'CCE2'!E105</f>
        <v>5</v>
      </c>
      <c r="K108" s="164">
        <f>'CCE2'!F105</f>
        <v>5</v>
      </c>
      <c r="L108" s="164">
        <f>'CCE2'!G105</f>
        <v>5</v>
      </c>
      <c r="M108" s="163"/>
      <c r="N108" s="164">
        <f>'CCE3'!D105</f>
        <v>5</v>
      </c>
      <c r="O108" s="164">
        <f>'CCE3'!E105</f>
        <v>5</v>
      </c>
      <c r="P108" s="164">
        <f>'CCE3'!F105</f>
        <v>5</v>
      </c>
      <c r="Q108" s="164">
        <f>'CCE3'!G105</f>
        <v>5</v>
      </c>
      <c r="R108" s="164"/>
      <c r="S108" s="162">
        <f t="shared" si="4"/>
        <v>20</v>
      </c>
      <c r="T108" s="162">
        <f t="shared" si="4"/>
        <v>25</v>
      </c>
      <c r="U108" s="162">
        <f t="shared" si="4"/>
        <v>21</v>
      </c>
      <c r="V108" s="162">
        <f t="shared" si="3"/>
        <v>20</v>
      </c>
      <c r="W108" s="162"/>
      <c r="X108" s="162">
        <f t="shared" si="5"/>
        <v>86</v>
      </c>
    </row>
    <row r="109" spans="1:24" ht="15.75">
      <c r="A109" s="159">
        <v>96</v>
      </c>
      <c r="B109" s="157">
        <v>22228</v>
      </c>
      <c r="C109" s="158" t="s">
        <v>203</v>
      </c>
      <c r="D109" s="164">
        <f>'CCE1'!D106</f>
        <v>9</v>
      </c>
      <c r="E109" s="164">
        <f>'CCE1'!E106</f>
        <v>12</v>
      </c>
      <c r="F109" s="164">
        <f>'CCE1'!F106</f>
        <v>10</v>
      </c>
      <c r="G109" s="164">
        <f>'CCE1'!G106</f>
        <v>9</v>
      </c>
      <c r="H109" s="163"/>
      <c r="I109" s="164">
        <f>'CCE2'!D106</f>
        <v>5</v>
      </c>
      <c r="J109" s="164">
        <f>'CCE2'!E106</f>
        <v>5</v>
      </c>
      <c r="K109" s="164">
        <f>'CCE2'!F106</f>
        <v>5</v>
      </c>
      <c r="L109" s="164">
        <f>'CCE2'!G106</f>
        <v>5</v>
      </c>
      <c r="M109" s="163"/>
      <c r="N109" s="164">
        <f>'CCE3'!D106</f>
        <v>5</v>
      </c>
      <c r="O109" s="164">
        <f>'CCE3'!E106</f>
        <v>5</v>
      </c>
      <c r="P109" s="164">
        <f>'CCE3'!F106</f>
        <v>5</v>
      </c>
      <c r="Q109" s="164">
        <f>'CCE3'!G106</f>
        <v>5</v>
      </c>
      <c r="R109" s="164"/>
      <c r="S109" s="162">
        <f t="shared" si="4"/>
        <v>19</v>
      </c>
      <c r="T109" s="162">
        <f t="shared" si="4"/>
        <v>22</v>
      </c>
      <c r="U109" s="162">
        <f t="shared" si="4"/>
        <v>20</v>
      </c>
      <c r="V109" s="162">
        <f t="shared" si="3"/>
        <v>19</v>
      </c>
      <c r="W109" s="162"/>
      <c r="X109" s="162">
        <f t="shared" si="5"/>
        <v>80</v>
      </c>
    </row>
    <row r="110" spans="1:24" ht="15.75">
      <c r="A110" s="159">
        <v>97</v>
      </c>
      <c r="B110" s="157">
        <v>22229</v>
      </c>
      <c r="C110" s="158" t="s">
        <v>204</v>
      </c>
      <c r="D110" s="164">
        <f>'CCE1'!D107</f>
        <v>9</v>
      </c>
      <c r="E110" s="164">
        <f>'CCE1'!E107</f>
        <v>14</v>
      </c>
      <c r="F110" s="164">
        <f>'CCE1'!F107</f>
        <v>10</v>
      </c>
      <c r="G110" s="164">
        <f>'CCE1'!G107</f>
        <v>9</v>
      </c>
      <c r="H110" s="163"/>
      <c r="I110" s="164">
        <f>'CCE2'!D107</f>
        <v>5</v>
      </c>
      <c r="J110" s="164">
        <f>'CCE2'!E107</f>
        <v>5</v>
      </c>
      <c r="K110" s="164">
        <f>'CCE2'!F107</f>
        <v>5</v>
      </c>
      <c r="L110" s="164">
        <f>'CCE2'!G107</f>
        <v>5</v>
      </c>
      <c r="M110" s="163"/>
      <c r="N110" s="164">
        <f>'CCE3'!D107</f>
        <v>5</v>
      </c>
      <c r="O110" s="164">
        <f>'CCE3'!E107</f>
        <v>5</v>
      </c>
      <c r="P110" s="164">
        <f>'CCE3'!F107</f>
        <v>5</v>
      </c>
      <c r="Q110" s="164">
        <f>'CCE3'!G107</f>
        <v>5</v>
      </c>
      <c r="R110" s="164"/>
      <c r="S110" s="162">
        <f t="shared" si="4"/>
        <v>19</v>
      </c>
      <c r="T110" s="162">
        <f t="shared" si="4"/>
        <v>24</v>
      </c>
      <c r="U110" s="162">
        <f t="shared" si="4"/>
        <v>20</v>
      </c>
      <c r="V110" s="162">
        <f t="shared" si="3"/>
        <v>19</v>
      </c>
      <c r="W110" s="162"/>
      <c r="X110" s="162">
        <f t="shared" si="5"/>
        <v>82</v>
      </c>
    </row>
    <row r="111" spans="1:24" ht="15.75">
      <c r="A111" s="159">
        <v>98</v>
      </c>
      <c r="B111" s="157">
        <v>22230</v>
      </c>
      <c r="C111" s="158" t="s">
        <v>205</v>
      </c>
      <c r="D111" s="164">
        <f>'CCE1'!D108</f>
        <v>10</v>
      </c>
      <c r="E111" s="164">
        <f>'CCE1'!E108</f>
        <v>14</v>
      </c>
      <c r="F111" s="164">
        <f>'CCE1'!F108</f>
        <v>12</v>
      </c>
      <c r="G111" s="164">
        <f>'CCE1'!G108</f>
        <v>11</v>
      </c>
      <c r="H111" s="163"/>
      <c r="I111" s="164">
        <f>'CCE2'!D108</f>
        <v>5</v>
      </c>
      <c r="J111" s="164">
        <f>'CCE2'!E108</f>
        <v>5</v>
      </c>
      <c r="K111" s="164">
        <f>'CCE2'!F108</f>
        <v>5</v>
      </c>
      <c r="L111" s="164">
        <f>'CCE2'!G108</f>
        <v>5</v>
      </c>
      <c r="M111" s="163"/>
      <c r="N111" s="164">
        <f>'CCE3'!D108</f>
        <v>5</v>
      </c>
      <c r="O111" s="164">
        <f>'CCE3'!E108</f>
        <v>5</v>
      </c>
      <c r="P111" s="164">
        <f>'CCE3'!F108</f>
        <v>5</v>
      </c>
      <c r="Q111" s="164">
        <f>'CCE3'!G108</f>
        <v>5</v>
      </c>
      <c r="R111" s="164"/>
      <c r="S111" s="162">
        <f t="shared" si="4"/>
        <v>20</v>
      </c>
      <c r="T111" s="162">
        <f t="shared" si="4"/>
        <v>24</v>
      </c>
      <c r="U111" s="162">
        <f t="shared" si="4"/>
        <v>22</v>
      </c>
      <c r="V111" s="162">
        <f t="shared" si="3"/>
        <v>21</v>
      </c>
      <c r="W111" s="162"/>
      <c r="X111" s="162">
        <f t="shared" si="5"/>
        <v>87</v>
      </c>
    </row>
    <row r="112" spans="1:24" ht="15.75">
      <c r="A112" s="159">
        <v>99</v>
      </c>
      <c r="B112" s="157">
        <v>22231</v>
      </c>
      <c r="C112" s="158" t="s">
        <v>206</v>
      </c>
      <c r="D112" s="164">
        <f>'CCE1'!D109</f>
        <v>10</v>
      </c>
      <c r="E112" s="164">
        <f>'CCE1'!E109</f>
        <v>15</v>
      </c>
      <c r="F112" s="164">
        <f>'CCE1'!F109</f>
        <v>10</v>
      </c>
      <c r="G112" s="164">
        <f>'CCE1'!G109</f>
        <v>10</v>
      </c>
      <c r="H112" s="163"/>
      <c r="I112" s="164">
        <f>'CCE2'!D109</f>
        <v>5</v>
      </c>
      <c r="J112" s="164">
        <f>'CCE2'!E109</f>
        <v>5</v>
      </c>
      <c r="K112" s="164">
        <f>'CCE2'!F109</f>
        <v>5</v>
      </c>
      <c r="L112" s="164">
        <f>'CCE2'!G109</f>
        <v>5</v>
      </c>
      <c r="M112" s="163"/>
      <c r="N112" s="164">
        <f>'CCE3'!D109</f>
        <v>5</v>
      </c>
      <c r="O112" s="164">
        <f>'CCE3'!E109</f>
        <v>5</v>
      </c>
      <c r="P112" s="164">
        <f>'CCE3'!F109</f>
        <v>5</v>
      </c>
      <c r="Q112" s="164">
        <f>'CCE3'!G109</f>
        <v>5</v>
      </c>
      <c r="R112" s="164"/>
      <c r="S112" s="162">
        <f t="shared" si="4"/>
        <v>20</v>
      </c>
      <c r="T112" s="162">
        <f t="shared" si="4"/>
        <v>25</v>
      </c>
      <c r="U112" s="162">
        <f t="shared" si="4"/>
        <v>20</v>
      </c>
      <c r="V112" s="162">
        <f t="shared" si="3"/>
        <v>20</v>
      </c>
      <c r="W112" s="162"/>
      <c r="X112" s="162">
        <f t="shared" si="5"/>
        <v>85</v>
      </c>
    </row>
    <row r="113" spans="1:24" ht="15.75">
      <c r="A113" s="159">
        <v>100</v>
      </c>
      <c r="B113" s="157">
        <v>22232</v>
      </c>
      <c r="C113" s="158" t="s">
        <v>207</v>
      </c>
      <c r="D113" s="164">
        <f>'CCE1'!D110</f>
        <v>10</v>
      </c>
      <c r="E113" s="164">
        <f>'CCE1'!E110</f>
        <v>13</v>
      </c>
      <c r="F113" s="164">
        <f>'CCE1'!F110</f>
        <v>9</v>
      </c>
      <c r="G113" s="164">
        <f>'CCE1'!G110</f>
        <v>8</v>
      </c>
      <c r="H113" s="163"/>
      <c r="I113" s="164">
        <f>'CCE2'!D110</f>
        <v>5</v>
      </c>
      <c r="J113" s="164">
        <f>'CCE2'!E110</f>
        <v>5</v>
      </c>
      <c r="K113" s="164">
        <f>'CCE2'!F110</f>
        <v>5</v>
      </c>
      <c r="L113" s="164">
        <f>'CCE2'!G110</f>
        <v>5</v>
      </c>
      <c r="M113" s="163"/>
      <c r="N113" s="164">
        <f>'CCE3'!D110</f>
        <v>5</v>
      </c>
      <c r="O113" s="164">
        <f>'CCE3'!E110</f>
        <v>5</v>
      </c>
      <c r="P113" s="164">
        <f>'CCE3'!F110</f>
        <v>5</v>
      </c>
      <c r="Q113" s="164">
        <f>'CCE3'!G110</f>
        <v>5</v>
      </c>
      <c r="R113" s="164"/>
      <c r="S113" s="162">
        <f t="shared" si="4"/>
        <v>20</v>
      </c>
      <c r="T113" s="162">
        <f t="shared" si="4"/>
        <v>23</v>
      </c>
      <c r="U113" s="162">
        <f t="shared" si="4"/>
        <v>19</v>
      </c>
      <c r="V113" s="162">
        <f t="shared" si="3"/>
        <v>18</v>
      </c>
      <c r="W113" s="162"/>
      <c r="X113" s="162">
        <f t="shared" si="5"/>
        <v>80</v>
      </c>
    </row>
    <row r="114" spans="1:24" ht="15.75">
      <c r="A114" s="159">
        <v>101</v>
      </c>
      <c r="B114" s="157">
        <v>22233</v>
      </c>
      <c r="C114" s="158" t="s">
        <v>208</v>
      </c>
      <c r="D114" s="164">
        <f>'CCE1'!D111</f>
        <v>0</v>
      </c>
      <c r="E114" s="164">
        <f>'CCE1'!E111</f>
        <v>0</v>
      </c>
      <c r="F114" s="164">
        <f>'CCE1'!F111</f>
        <v>0</v>
      </c>
      <c r="G114" s="164">
        <f>'CCE1'!G111</f>
        <v>0</v>
      </c>
      <c r="H114" s="163"/>
      <c r="I114" s="164">
        <f>'CCE2'!D111</f>
        <v>0</v>
      </c>
      <c r="J114" s="164">
        <f>'CCE2'!E111</f>
        <v>0</v>
      </c>
      <c r="K114" s="164">
        <f>'CCE2'!F111</f>
        <v>0</v>
      </c>
      <c r="L114" s="164">
        <f>'CCE2'!G111</f>
        <v>0</v>
      </c>
      <c r="M114" s="163"/>
      <c r="N114" s="164">
        <f>'CCE3'!D111</f>
        <v>0</v>
      </c>
      <c r="O114" s="164">
        <f>'CCE3'!E111</f>
        <v>0</v>
      </c>
      <c r="P114" s="164">
        <f>'CCE3'!F111</f>
        <v>0</v>
      </c>
      <c r="Q114" s="164">
        <f>'CCE3'!G111</f>
        <v>0</v>
      </c>
      <c r="R114" s="164"/>
      <c r="S114" s="162">
        <f t="shared" si="4"/>
        <v>0</v>
      </c>
      <c r="T114" s="162">
        <f t="shared" si="4"/>
        <v>0</v>
      </c>
      <c r="U114" s="162">
        <f t="shared" si="4"/>
        <v>0</v>
      </c>
      <c r="V114" s="162">
        <f t="shared" si="3"/>
        <v>0</v>
      </c>
      <c r="W114" s="162"/>
      <c r="X114" s="162">
        <f t="shared" si="5"/>
        <v>0</v>
      </c>
    </row>
    <row r="115" spans="1:24" ht="15.75">
      <c r="A115" s="159">
        <v>102</v>
      </c>
      <c r="B115" s="157">
        <v>22234</v>
      </c>
      <c r="C115" s="158" t="s">
        <v>209</v>
      </c>
      <c r="D115" s="164">
        <f>'CCE1'!D112</f>
        <v>0</v>
      </c>
      <c r="E115" s="164">
        <f>'CCE1'!E112</f>
        <v>0</v>
      </c>
      <c r="F115" s="164">
        <f>'CCE1'!F112</f>
        <v>0</v>
      </c>
      <c r="G115" s="164">
        <f>'CCE1'!G112</f>
        <v>0</v>
      </c>
      <c r="H115" s="163"/>
      <c r="I115" s="164">
        <f>'CCE2'!D112</f>
        <v>0</v>
      </c>
      <c r="J115" s="164">
        <f>'CCE2'!E112</f>
        <v>0</v>
      </c>
      <c r="K115" s="164">
        <f>'CCE2'!F112</f>
        <v>0</v>
      </c>
      <c r="L115" s="164">
        <f>'CCE2'!G112</f>
        <v>0</v>
      </c>
      <c r="M115" s="163"/>
      <c r="N115" s="164">
        <f>'CCE3'!D112</f>
        <v>0</v>
      </c>
      <c r="O115" s="164">
        <f>'CCE3'!E112</f>
        <v>0</v>
      </c>
      <c r="P115" s="164">
        <f>'CCE3'!F112</f>
        <v>0</v>
      </c>
      <c r="Q115" s="164">
        <f>'CCE3'!G112</f>
        <v>0</v>
      </c>
      <c r="R115" s="164"/>
      <c r="S115" s="162">
        <f t="shared" si="4"/>
        <v>0</v>
      </c>
      <c r="T115" s="162">
        <f t="shared" si="4"/>
        <v>0</v>
      </c>
      <c r="U115" s="162">
        <f t="shared" si="4"/>
        <v>0</v>
      </c>
      <c r="V115" s="162">
        <f t="shared" si="3"/>
        <v>0</v>
      </c>
      <c r="W115" s="162"/>
      <c r="X115" s="162">
        <f t="shared" si="5"/>
        <v>0</v>
      </c>
    </row>
    <row r="116" spans="1:24" ht="15.75">
      <c r="A116" s="159">
        <v>103</v>
      </c>
      <c r="B116" s="157">
        <v>22235</v>
      </c>
      <c r="C116" s="158" t="s">
        <v>210</v>
      </c>
      <c r="D116" s="164">
        <f>'CCE1'!D113</f>
        <v>0</v>
      </c>
      <c r="E116" s="164">
        <f>'CCE1'!E113</f>
        <v>0</v>
      </c>
      <c r="F116" s="164">
        <f>'CCE1'!F113</f>
        <v>0</v>
      </c>
      <c r="G116" s="164">
        <f>'CCE1'!G113</f>
        <v>0</v>
      </c>
      <c r="H116" s="163"/>
      <c r="I116" s="164">
        <f>'CCE2'!D113</f>
        <v>0</v>
      </c>
      <c r="J116" s="164">
        <f>'CCE2'!E113</f>
        <v>0</v>
      </c>
      <c r="K116" s="164">
        <f>'CCE2'!F113</f>
        <v>0</v>
      </c>
      <c r="L116" s="164">
        <f>'CCE2'!G113</f>
        <v>0</v>
      </c>
      <c r="M116" s="163"/>
      <c r="N116" s="164">
        <f>'CCE3'!D113</f>
        <v>0</v>
      </c>
      <c r="O116" s="164">
        <f>'CCE3'!E113</f>
        <v>0</v>
      </c>
      <c r="P116" s="164">
        <f>'CCE3'!F113</f>
        <v>0</v>
      </c>
      <c r="Q116" s="164">
        <f>'CCE3'!G113</f>
        <v>0</v>
      </c>
      <c r="R116" s="164"/>
      <c r="S116" s="162">
        <f t="shared" si="4"/>
        <v>0</v>
      </c>
      <c r="T116" s="162">
        <f t="shared" si="4"/>
        <v>0</v>
      </c>
      <c r="U116" s="162">
        <f t="shared" si="4"/>
        <v>0</v>
      </c>
      <c r="V116" s="162">
        <f t="shared" si="3"/>
        <v>0</v>
      </c>
      <c r="W116" s="162"/>
      <c r="X116" s="162">
        <f t="shared" si="5"/>
        <v>0</v>
      </c>
    </row>
    <row r="117" spans="1:24" ht="15.75">
      <c r="A117" s="159">
        <v>104</v>
      </c>
      <c r="B117" s="157">
        <v>22236</v>
      </c>
      <c r="C117" s="158" t="s">
        <v>211</v>
      </c>
      <c r="D117" s="164">
        <f>'CCE1'!D114</f>
        <v>0</v>
      </c>
      <c r="E117" s="164">
        <f>'CCE1'!E114</f>
        <v>0</v>
      </c>
      <c r="F117" s="164">
        <f>'CCE1'!F114</f>
        <v>0</v>
      </c>
      <c r="G117" s="164">
        <f>'CCE1'!G114</f>
        <v>0</v>
      </c>
      <c r="H117" s="163"/>
      <c r="I117" s="164">
        <f>'CCE2'!D114</f>
        <v>0</v>
      </c>
      <c r="J117" s="164">
        <f>'CCE2'!E114</f>
        <v>0</v>
      </c>
      <c r="K117" s="164">
        <f>'CCE2'!F114</f>
        <v>0</v>
      </c>
      <c r="L117" s="164">
        <f>'CCE2'!G114</f>
        <v>0</v>
      </c>
      <c r="M117" s="163"/>
      <c r="N117" s="164">
        <f>'CCE3'!D114</f>
        <v>0</v>
      </c>
      <c r="O117" s="164">
        <f>'CCE3'!E114</f>
        <v>0</v>
      </c>
      <c r="P117" s="164">
        <f>'CCE3'!F114</f>
        <v>0</v>
      </c>
      <c r="Q117" s="164">
        <f>'CCE3'!G114</f>
        <v>0</v>
      </c>
      <c r="R117" s="164"/>
      <c r="S117" s="162">
        <f t="shared" si="4"/>
        <v>0</v>
      </c>
      <c r="T117" s="162">
        <f t="shared" si="4"/>
        <v>0</v>
      </c>
      <c r="U117" s="162">
        <f t="shared" si="4"/>
        <v>0</v>
      </c>
      <c r="V117" s="162">
        <f t="shared" si="3"/>
        <v>0</v>
      </c>
      <c r="W117" s="162"/>
      <c r="X117" s="162">
        <f t="shared" si="5"/>
        <v>0</v>
      </c>
    </row>
    <row r="118" spans="1:24" ht="15.75">
      <c r="A118" s="159">
        <v>105</v>
      </c>
      <c r="B118" s="157">
        <v>22237</v>
      </c>
      <c r="C118" s="158" t="s">
        <v>212</v>
      </c>
      <c r="D118" s="164">
        <f>'CCE1'!D115</f>
        <v>0</v>
      </c>
      <c r="E118" s="164">
        <f>'CCE1'!E115</f>
        <v>0</v>
      </c>
      <c r="F118" s="164">
        <f>'CCE1'!F115</f>
        <v>0</v>
      </c>
      <c r="G118" s="164">
        <f>'CCE1'!G115</f>
        <v>0</v>
      </c>
      <c r="H118" s="163"/>
      <c r="I118" s="164">
        <f>'CCE2'!D115</f>
        <v>0</v>
      </c>
      <c r="J118" s="164">
        <f>'CCE2'!E115</f>
        <v>0</v>
      </c>
      <c r="K118" s="164">
        <f>'CCE2'!F115</f>
        <v>0</v>
      </c>
      <c r="L118" s="164">
        <f>'CCE2'!G115</f>
        <v>0</v>
      </c>
      <c r="M118" s="163"/>
      <c r="N118" s="164">
        <f>'CCE3'!D115</f>
        <v>0</v>
      </c>
      <c r="O118" s="164">
        <f>'CCE3'!E115</f>
        <v>0</v>
      </c>
      <c r="P118" s="164">
        <f>'CCE3'!F115</f>
        <v>0</v>
      </c>
      <c r="Q118" s="164">
        <f>'CCE3'!G115</f>
        <v>0</v>
      </c>
      <c r="R118" s="164"/>
      <c r="S118" s="162">
        <f t="shared" si="4"/>
        <v>0</v>
      </c>
      <c r="T118" s="162">
        <f t="shared" si="4"/>
        <v>0</v>
      </c>
      <c r="U118" s="162">
        <f t="shared" si="4"/>
        <v>0</v>
      </c>
      <c r="V118" s="162">
        <f t="shared" si="3"/>
        <v>0</v>
      </c>
      <c r="W118" s="162"/>
      <c r="X118" s="162">
        <f t="shared" si="5"/>
        <v>0</v>
      </c>
    </row>
    <row r="119" spans="1:24" ht="15.75">
      <c r="A119" s="159">
        <v>106</v>
      </c>
      <c r="B119" s="157">
        <v>22238</v>
      </c>
      <c r="C119" s="158" t="s">
        <v>213</v>
      </c>
      <c r="D119" s="164">
        <f>'CCE1'!D116</f>
        <v>9</v>
      </c>
      <c r="E119" s="164">
        <f>'CCE1'!E116</f>
        <v>14</v>
      </c>
      <c r="F119" s="164">
        <f>'CCE1'!F116</f>
        <v>9</v>
      </c>
      <c r="G119" s="164">
        <f>'CCE1'!G116</f>
        <v>8</v>
      </c>
      <c r="H119" s="163"/>
      <c r="I119" s="164">
        <f>'CCE2'!D116</f>
        <v>5</v>
      </c>
      <c r="J119" s="164">
        <f>'CCE2'!E116</f>
        <v>5</v>
      </c>
      <c r="K119" s="164">
        <f>'CCE2'!F116</f>
        <v>5</v>
      </c>
      <c r="L119" s="164">
        <f>'CCE2'!G116</f>
        <v>5</v>
      </c>
      <c r="M119" s="163"/>
      <c r="N119" s="164">
        <f>'CCE3'!D116</f>
        <v>5</v>
      </c>
      <c r="O119" s="164">
        <f>'CCE3'!E116</f>
        <v>5</v>
      </c>
      <c r="P119" s="164">
        <f>'CCE3'!F116</f>
        <v>5</v>
      </c>
      <c r="Q119" s="164">
        <f>'CCE3'!G116</f>
        <v>5</v>
      </c>
      <c r="R119" s="164"/>
      <c r="S119" s="162">
        <f t="shared" si="4"/>
        <v>19</v>
      </c>
      <c r="T119" s="162">
        <f t="shared" si="4"/>
        <v>24</v>
      </c>
      <c r="U119" s="162">
        <f t="shared" si="4"/>
        <v>19</v>
      </c>
      <c r="V119" s="162">
        <f t="shared" si="3"/>
        <v>18</v>
      </c>
      <c r="W119" s="162"/>
      <c r="X119" s="162">
        <f t="shared" si="5"/>
        <v>80</v>
      </c>
    </row>
    <row r="120" spans="1:24" ht="15.75">
      <c r="A120" s="159">
        <v>107</v>
      </c>
      <c r="B120" s="157">
        <v>22239</v>
      </c>
      <c r="C120" s="158" t="s">
        <v>214</v>
      </c>
      <c r="D120" s="164">
        <f>'CCE1'!D117</f>
        <v>10</v>
      </c>
      <c r="E120" s="164">
        <f>'CCE1'!E117</f>
        <v>15</v>
      </c>
      <c r="F120" s="164">
        <f>'CCE1'!F117</f>
        <v>13</v>
      </c>
      <c r="G120" s="164">
        <f>'CCE1'!G117</f>
        <v>12</v>
      </c>
      <c r="H120" s="163"/>
      <c r="I120" s="164">
        <f>'CCE2'!D117</f>
        <v>5</v>
      </c>
      <c r="J120" s="164">
        <f>'CCE2'!E117</f>
        <v>5</v>
      </c>
      <c r="K120" s="164">
        <f>'CCE2'!F117</f>
        <v>5</v>
      </c>
      <c r="L120" s="164">
        <f>'CCE2'!G117</f>
        <v>5</v>
      </c>
      <c r="M120" s="163"/>
      <c r="N120" s="164">
        <f>'CCE3'!D117</f>
        <v>5</v>
      </c>
      <c r="O120" s="164">
        <f>'CCE3'!E117</f>
        <v>5</v>
      </c>
      <c r="P120" s="164">
        <f>'CCE3'!F117</f>
        <v>5</v>
      </c>
      <c r="Q120" s="164">
        <f>'CCE3'!G117</f>
        <v>5</v>
      </c>
      <c r="R120" s="164"/>
      <c r="S120" s="162">
        <f t="shared" si="4"/>
        <v>20</v>
      </c>
      <c r="T120" s="162">
        <f t="shared" si="4"/>
        <v>25</v>
      </c>
      <c r="U120" s="162">
        <f t="shared" si="4"/>
        <v>23</v>
      </c>
      <c r="V120" s="162">
        <f t="shared" si="3"/>
        <v>22</v>
      </c>
      <c r="W120" s="162"/>
      <c r="X120" s="162">
        <f t="shared" si="5"/>
        <v>90</v>
      </c>
    </row>
    <row r="121" spans="1:24" ht="15.75">
      <c r="A121" s="159">
        <v>108</v>
      </c>
      <c r="B121" s="157">
        <v>22240</v>
      </c>
      <c r="C121" s="158" t="s">
        <v>215</v>
      </c>
      <c r="D121" s="164">
        <f>'CCE1'!D118</f>
        <v>9</v>
      </c>
      <c r="E121" s="164">
        <f>'CCE1'!E118</f>
        <v>15</v>
      </c>
      <c r="F121" s="164">
        <f>'CCE1'!F118</f>
        <v>8</v>
      </c>
      <c r="G121" s="164">
        <f>'CCE1'!G118</f>
        <v>8</v>
      </c>
      <c r="H121" s="163"/>
      <c r="I121" s="164">
        <f>'CCE2'!D118</f>
        <v>5</v>
      </c>
      <c r="J121" s="164">
        <f>'CCE2'!E118</f>
        <v>5</v>
      </c>
      <c r="K121" s="164">
        <f>'CCE2'!F118</f>
        <v>5</v>
      </c>
      <c r="L121" s="164">
        <f>'CCE2'!G118</f>
        <v>5</v>
      </c>
      <c r="M121" s="163"/>
      <c r="N121" s="164">
        <f>'CCE3'!D118</f>
        <v>5</v>
      </c>
      <c r="O121" s="164">
        <f>'CCE3'!E118</f>
        <v>5</v>
      </c>
      <c r="P121" s="164">
        <f>'CCE3'!F118</f>
        <v>5</v>
      </c>
      <c r="Q121" s="164">
        <f>'CCE3'!G118</f>
        <v>5</v>
      </c>
      <c r="R121" s="164"/>
      <c r="S121" s="162">
        <f t="shared" si="4"/>
        <v>19</v>
      </c>
      <c r="T121" s="162">
        <f t="shared" si="4"/>
        <v>25</v>
      </c>
      <c r="U121" s="162">
        <f t="shared" si="4"/>
        <v>18</v>
      </c>
      <c r="V121" s="162">
        <f t="shared" si="3"/>
        <v>18</v>
      </c>
      <c r="W121" s="162"/>
      <c r="X121" s="162">
        <f t="shared" si="5"/>
        <v>80</v>
      </c>
    </row>
    <row r="122" spans="1:24" ht="15.6" customHeight="1">
      <c r="A122" s="129"/>
      <c r="B122" s="129"/>
      <c r="C122" s="191" t="s">
        <v>25</v>
      </c>
      <c r="D122" s="192">
        <f>IFERROR(COUNT(D14:D121),"NA")</f>
        <v>108</v>
      </c>
      <c r="E122" s="192">
        <f t="shared" ref="E122:X122" si="6">IFERROR(COUNT(E14:E121),"NA")</f>
        <v>108</v>
      </c>
      <c r="F122" s="192">
        <f t="shared" si="6"/>
        <v>108</v>
      </c>
      <c r="G122" s="192">
        <f t="shared" si="6"/>
        <v>108</v>
      </c>
      <c r="H122" s="192"/>
      <c r="I122" s="192">
        <f t="shared" si="6"/>
        <v>108</v>
      </c>
      <c r="J122" s="192">
        <f t="shared" si="6"/>
        <v>108</v>
      </c>
      <c r="K122" s="192">
        <f t="shared" si="6"/>
        <v>108</v>
      </c>
      <c r="L122" s="192">
        <f t="shared" si="6"/>
        <v>108</v>
      </c>
      <c r="M122" s="192"/>
      <c r="N122" s="192">
        <f t="shared" si="6"/>
        <v>108</v>
      </c>
      <c r="O122" s="192">
        <f t="shared" si="6"/>
        <v>108</v>
      </c>
      <c r="P122" s="192">
        <f t="shared" si="6"/>
        <v>108</v>
      </c>
      <c r="Q122" s="192">
        <f t="shared" si="6"/>
        <v>108</v>
      </c>
      <c r="R122" s="192"/>
      <c r="S122" s="192">
        <f t="shared" si="6"/>
        <v>108</v>
      </c>
      <c r="T122" s="192">
        <f t="shared" si="6"/>
        <v>108</v>
      </c>
      <c r="U122" s="192">
        <f t="shared" si="6"/>
        <v>108</v>
      </c>
      <c r="V122" s="192">
        <f t="shared" si="6"/>
        <v>108</v>
      </c>
      <c r="W122" s="192"/>
      <c r="X122" s="192">
        <f t="shared" si="6"/>
        <v>108</v>
      </c>
    </row>
    <row r="123" spans="1:24" ht="18.75">
      <c r="A123" s="130"/>
      <c r="B123" s="130"/>
      <c r="C123" s="193" t="str">
        <f>CONCATENATE("No of students more than ",70, "% = (x1)")</f>
        <v>No of students more than 70% = (x1)</v>
      </c>
      <c r="D123" s="192">
        <f>COUNTIF(D14:D121,"&gt;="&amp;D12*70%)</f>
        <v>103</v>
      </c>
      <c r="E123" s="192">
        <f t="shared" ref="E123:Q123" si="7">COUNTIF(E14:E121,"&gt;="&amp;E12*70%)</f>
        <v>103</v>
      </c>
      <c r="F123" s="192">
        <f t="shared" si="7"/>
        <v>79</v>
      </c>
      <c r="G123" s="192">
        <f t="shared" si="7"/>
        <v>71</v>
      </c>
      <c r="H123" s="192"/>
      <c r="I123" s="192">
        <f t="shared" si="7"/>
        <v>103</v>
      </c>
      <c r="J123" s="192">
        <f t="shared" si="7"/>
        <v>103</v>
      </c>
      <c r="K123" s="192">
        <f t="shared" si="7"/>
        <v>103</v>
      </c>
      <c r="L123" s="192">
        <f t="shared" si="7"/>
        <v>103</v>
      </c>
      <c r="M123" s="192"/>
      <c r="N123" s="192">
        <f t="shared" si="7"/>
        <v>103</v>
      </c>
      <c r="O123" s="192">
        <f t="shared" si="7"/>
        <v>103</v>
      </c>
      <c r="P123" s="192">
        <f t="shared" si="7"/>
        <v>103</v>
      </c>
      <c r="Q123" s="192">
        <f t="shared" si="7"/>
        <v>103</v>
      </c>
      <c r="R123" s="192"/>
      <c r="S123" s="192">
        <f>COUNTIF(S14:S121,"&gt;="&amp;S13*70%)</f>
        <v>103</v>
      </c>
      <c r="T123" s="192">
        <f t="shared" ref="T123:V123" si="8">COUNTIF(T14:T121,"&gt;="&amp;T13*70%)</f>
        <v>103</v>
      </c>
      <c r="U123" s="192">
        <f t="shared" si="8"/>
        <v>103</v>
      </c>
      <c r="V123" s="192">
        <f t="shared" si="8"/>
        <v>103</v>
      </c>
      <c r="W123" s="192"/>
      <c r="X123" s="192">
        <f t="shared" ref="X123" si="9">COUNTIF(X14:X121,"&gt;="&amp;X13*70%)</f>
        <v>103</v>
      </c>
    </row>
    <row r="124" spans="1:24" ht="37.5">
      <c r="A124" s="130"/>
      <c r="B124" s="130"/>
      <c r="C124" s="194" t="str">
        <f>CONCATENATE("No of students between 70 and ",60, "% = (x2)")</f>
        <v>No of students between 70 and 60% = (x2)</v>
      </c>
      <c r="D124" s="192">
        <f>COUNTIFS(D14:D121,"&gt;="&amp;D12*60%,D14:D121,"&lt;"&amp;D12*70%)</f>
        <v>0</v>
      </c>
      <c r="E124" s="192">
        <f t="shared" ref="E124:Q124" si="10">COUNTIFS(E14:E121,"&gt;="&amp;E12*60%,E14:E121,"&lt;"&amp;E12*70%)</f>
        <v>0</v>
      </c>
      <c r="F124" s="192">
        <f t="shared" si="10"/>
        <v>22</v>
      </c>
      <c r="G124" s="192">
        <f t="shared" si="10"/>
        <v>23</v>
      </c>
      <c r="H124" s="192"/>
      <c r="I124" s="192">
        <f t="shared" si="10"/>
        <v>0</v>
      </c>
      <c r="J124" s="192">
        <f t="shared" si="10"/>
        <v>0</v>
      </c>
      <c r="K124" s="192">
        <f t="shared" si="10"/>
        <v>0</v>
      </c>
      <c r="L124" s="192">
        <f t="shared" si="10"/>
        <v>0</v>
      </c>
      <c r="M124" s="192"/>
      <c r="N124" s="192">
        <f t="shared" si="10"/>
        <v>0</v>
      </c>
      <c r="O124" s="192">
        <f t="shared" si="10"/>
        <v>0</v>
      </c>
      <c r="P124" s="192">
        <f t="shared" si="10"/>
        <v>0</v>
      </c>
      <c r="Q124" s="192">
        <f t="shared" si="10"/>
        <v>0</v>
      </c>
      <c r="R124" s="192"/>
      <c r="S124" s="192">
        <f>COUNTIFS(S14:S121,"&gt;="&amp;S13*60%,S14:S121,"&lt;"&amp;S13*70%)</f>
        <v>0</v>
      </c>
      <c r="T124" s="192">
        <f t="shared" ref="T124:V124" si="11">COUNTIFS(T14:T121,"&gt;="&amp;T13*60%,T14:T121,"&lt;"&amp;T13*70%)</f>
        <v>0</v>
      </c>
      <c r="U124" s="192">
        <f t="shared" si="11"/>
        <v>0</v>
      </c>
      <c r="V124" s="192">
        <f t="shared" si="11"/>
        <v>0</v>
      </c>
      <c r="W124" s="192"/>
      <c r="X124" s="192">
        <f t="shared" ref="X124" si="12">COUNTIFS(X14:X121,"&gt;="&amp;X13*60%,X14:X121,"&lt;"&amp;X13*70%)</f>
        <v>0</v>
      </c>
    </row>
    <row r="125" spans="1:24" ht="15.6" customHeight="1">
      <c r="A125" s="131"/>
      <c r="B125" s="130"/>
      <c r="C125" s="195" t="str">
        <f>CONCATENATE("No of students between 60 and ",50, "% = (x3)")</f>
        <v>No of students between 60 and 50% = (x3)</v>
      </c>
      <c r="D125" s="192">
        <f>COUNTIFS(D14:D121,"&gt;="&amp;D12*50%,D14:D121,"&lt;"&amp;D12*60%)</f>
        <v>0</v>
      </c>
      <c r="E125" s="192">
        <f t="shared" ref="E125:Q125" si="13">COUNTIFS(E14:E121,"&gt;="&amp;E12*50%,E14:E121,"&lt;"&amp;E12*60%)</f>
        <v>0</v>
      </c>
      <c r="F125" s="192">
        <f t="shared" si="13"/>
        <v>2</v>
      </c>
      <c r="G125" s="192">
        <f t="shared" si="13"/>
        <v>9</v>
      </c>
      <c r="H125" s="192"/>
      <c r="I125" s="192">
        <f t="shared" si="13"/>
        <v>0</v>
      </c>
      <c r="J125" s="192">
        <f t="shared" si="13"/>
        <v>0</v>
      </c>
      <c r="K125" s="192">
        <f t="shared" si="13"/>
        <v>0</v>
      </c>
      <c r="L125" s="192">
        <f t="shared" si="13"/>
        <v>0</v>
      </c>
      <c r="M125" s="192"/>
      <c r="N125" s="192">
        <f t="shared" si="13"/>
        <v>0</v>
      </c>
      <c r="O125" s="192">
        <f t="shared" si="13"/>
        <v>0</v>
      </c>
      <c r="P125" s="192">
        <f t="shared" si="13"/>
        <v>0</v>
      </c>
      <c r="Q125" s="192">
        <f t="shared" si="13"/>
        <v>0</v>
      </c>
      <c r="R125" s="192"/>
      <c r="S125" s="192">
        <f>COUNTIFS(S14:S121,"&gt;="&amp;S13*50%,S14:S121,"&lt;"&amp;S13*60%)</f>
        <v>0</v>
      </c>
      <c r="T125" s="192">
        <f t="shared" ref="T125:V125" si="14">COUNTIFS(T14:T121,"&gt;="&amp;T13*50%,T14:T121,"&lt;"&amp;T13*60%)</f>
        <v>0</v>
      </c>
      <c r="U125" s="192">
        <f t="shared" si="14"/>
        <v>0</v>
      </c>
      <c r="V125" s="192">
        <f t="shared" si="14"/>
        <v>0</v>
      </c>
      <c r="W125" s="192"/>
      <c r="X125" s="192">
        <f t="shared" ref="X125" si="15">COUNTIFS(X14:X121,"&gt;="&amp;X13*50%,X14:X121,"&lt;"&amp;X13*60%)</f>
        <v>0</v>
      </c>
    </row>
    <row r="126" spans="1:24" ht="15.6" customHeight="1">
      <c r="A126" s="187"/>
      <c r="B126" s="188"/>
      <c r="C126" s="196" t="s">
        <v>233</v>
      </c>
      <c r="D126" s="192">
        <f>COUNTIFS(D14:D121,"&gt;="&amp;D12*40%,D14:D121,"&lt;"&amp;D12*50%)</f>
        <v>0</v>
      </c>
      <c r="E126" s="192">
        <f t="shared" ref="E126:Q126" si="16">COUNTIFS(E14:E121,"&gt;="&amp;E12*40%,E14:E121,"&lt;"&amp;E12*50%)</f>
        <v>0</v>
      </c>
      <c r="F126" s="192">
        <f t="shared" si="16"/>
        <v>0</v>
      </c>
      <c r="G126" s="192">
        <f t="shared" si="16"/>
        <v>0</v>
      </c>
      <c r="H126" s="192"/>
      <c r="I126" s="192">
        <f t="shared" si="16"/>
        <v>0</v>
      </c>
      <c r="J126" s="192">
        <f t="shared" si="16"/>
        <v>0</v>
      </c>
      <c r="K126" s="192">
        <f t="shared" si="16"/>
        <v>0</v>
      </c>
      <c r="L126" s="192">
        <f t="shared" si="16"/>
        <v>0</v>
      </c>
      <c r="M126" s="192"/>
      <c r="N126" s="192">
        <f t="shared" si="16"/>
        <v>0</v>
      </c>
      <c r="O126" s="192">
        <f t="shared" si="16"/>
        <v>0</v>
      </c>
      <c r="P126" s="192">
        <f t="shared" si="16"/>
        <v>0</v>
      </c>
      <c r="Q126" s="192">
        <f t="shared" si="16"/>
        <v>0</v>
      </c>
      <c r="R126" s="192"/>
      <c r="S126" s="192">
        <f>COUNTIFS(S14:S121,"&gt;="&amp;S13*40%,S14:S121,"&lt;"&amp;S13*50%)</f>
        <v>0</v>
      </c>
      <c r="T126" s="192">
        <f t="shared" ref="T126:V126" si="17">COUNTIFS(T14:T121,"&gt;="&amp;T13*40%,T14:T121,"&lt;"&amp;T13*50%)</f>
        <v>0</v>
      </c>
      <c r="U126" s="192">
        <f t="shared" si="17"/>
        <v>0</v>
      </c>
      <c r="V126" s="192">
        <f t="shared" si="17"/>
        <v>0</v>
      </c>
      <c r="W126" s="192"/>
      <c r="X126" s="192">
        <f t="shared" ref="X126" si="18">COUNTIFS(X14:X121,"&gt;="&amp;X13*40%,X14:X121,"&lt;"&amp;X13*50%)</f>
        <v>0</v>
      </c>
    </row>
    <row r="127" spans="1:24" ht="15.6" customHeight="1">
      <c r="A127" s="187"/>
      <c r="B127" s="188"/>
      <c r="C127" s="197" t="s">
        <v>234</v>
      </c>
      <c r="D127" s="192">
        <f>COUNTIF(D14:D121,"&lt;"&amp;D12*40%)</f>
        <v>5</v>
      </c>
      <c r="E127" s="192">
        <f t="shared" ref="E127:Q127" si="19">COUNTIF(E14:E121,"&lt;"&amp;E12*40%)</f>
        <v>5</v>
      </c>
      <c r="F127" s="192">
        <f t="shared" si="19"/>
        <v>5</v>
      </c>
      <c r="G127" s="192">
        <f t="shared" si="19"/>
        <v>5</v>
      </c>
      <c r="H127" s="192"/>
      <c r="I127" s="192">
        <f t="shared" si="19"/>
        <v>5</v>
      </c>
      <c r="J127" s="192">
        <f t="shared" si="19"/>
        <v>5</v>
      </c>
      <c r="K127" s="192">
        <f t="shared" si="19"/>
        <v>5</v>
      </c>
      <c r="L127" s="192">
        <f t="shared" si="19"/>
        <v>5</v>
      </c>
      <c r="M127" s="192"/>
      <c r="N127" s="192">
        <f t="shared" si="19"/>
        <v>5</v>
      </c>
      <c r="O127" s="192">
        <f t="shared" si="19"/>
        <v>5</v>
      </c>
      <c r="P127" s="192">
        <f t="shared" si="19"/>
        <v>5</v>
      </c>
      <c r="Q127" s="192">
        <f t="shared" si="19"/>
        <v>5</v>
      </c>
      <c r="R127" s="192"/>
      <c r="S127" s="192">
        <f>COUNTIF(S14:S121,"&lt;"&amp;S13*40%)</f>
        <v>5</v>
      </c>
      <c r="T127" s="192">
        <f t="shared" ref="T127:V127" si="20">COUNTIF(T14:T121,"&lt;"&amp;T13*40%)</f>
        <v>5</v>
      </c>
      <c r="U127" s="192">
        <f t="shared" si="20"/>
        <v>5</v>
      </c>
      <c r="V127" s="192">
        <f t="shared" si="20"/>
        <v>5</v>
      </c>
      <c r="W127" s="192"/>
      <c r="X127" s="192">
        <f t="shared" ref="X127" si="21">COUNTIF(X14:X121,"&lt;"&amp;X13*40%)</f>
        <v>5</v>
      </c>
    </row>
    <row r="128" spans="1:24" ht="15.6" customHeight="1">
      <c r="A128" s="187"/>
      <c r="B128" s="188"/>
      <c r="C128" s="191" t="s">
        <v>28</v>
      </c>
      <c r="D128" s="198">
        <f>(D123*3+D124*2+D125*1)/(COUNT(D14:D121)*3)*100</f>
        <v>95.370370370370367</v>
      </c>
      <c r="E128" s="198">
        <f t="shared" ref="E128:S128" si="22">(E123*3+E124*2+E125*1)/(COUNT(E14:E121)*3)*100</f>
        <v>95.370370370370367</v>
      </c>
      <c r="F128" s="198">
        <f t="shared" si="22"/>
        <v>87.345679012345684</v>
      </c>
      <c r="G128" s="198">
        <f t="shared" si="22"/>
        <v>82.716049382716051</v>
      </c>
      <c r="H128" s="198"/>
      <c r="I128" s="198">
        <f>(I123*3+I124*2+I125*1)/(COUNT(I14:I121)*3)*100</f>
        <v>95.370370370370367</v>
      </c>
      <c r="J128" s="198">
        <f t="shared" si="22"/>
        <v>95.370370370370367</v>
      </c>
      <c r="K128" s="198">
        <f t="shared" si="22"/>
        <v>95.370370370370367</v>
      </c>
      <c r="L128" s="198">
        <f t="shared" si="22"/>
        <v>95.370370370370367</v>
      </c>
      <c r="M128" s="198"/>
      <c r="N128" s="198">
        <f t="shared" si="22"/>
        <v>95.370370370370367</v>
      </c>
      <c r="O128" s="198">
        <f t="shared" si="22"/>
        <v>95.370370370370367</v>
      </c>
      <c r="P128" s="198">
        <f t="shared" si="22"/>
        <v>95.370370370370367</v>
      </c>
      <c r="Q128" s="198">
        <f t="shared" si="22"/>
        <v>95.370370370370367</v>
      </c>
      <c r="R128" s="198"/>
      <c r="S128" s="198">
        <f t="shared" si="22"/>
        <v>95.370370370370367</v>
      </c>
      <c r="T128" s="198">
        <f t="shared" ref="T128:V128" si="23">(T123*3+T124*2+T125*1)/(COUNT(T14:T121)*3)*100</f>
        <v>95.370370370370367</v>
      </c>
      <c r="U128" s="198">
        <f t="shared" si="23"/>
        <v>95.370370370370367</v>
      </c>
      <c r="V128" s="198">
        <f t="shared" si="23"/>
        <v>95.370370370370367</v>
      </c>
      <c r="W128" s="198"/>
      <c r="X128" s="198">
        <f t="shared" ref="X128" si="24">(X123*3+X124*2+X125*1)/(COUNT(X14:X121)*3)*100</f>
        <v>95.370370370370367</v>
      </c>
    </row>
    <row r="129" spans="1:24" ht="15.6" customHeight="1">
      <c r="A129" s="187"/>
      <c r="B129" s="188"/>
      <c r="C129" s="199" t="s">
        <v>235</v>
      </c>
      <c r="D129" s="192">
        <f>IF(D128&lt;&gt;"NA",IF(D128&gt;=70,3,IF(D128&gt;=60,2,IF(D128&gt;=50,1,"0"))),"NA")</f>
        <v>3</v>
      </c>
      <c r="E129" s="192">
        <f t="shared" ref="E129:S129" si="25">IF(E128&lt;&gt;"NA",IF(E128&gt;=70,3,IF(E128&gt;=60,2,IF(E128&gt;=50,1,"0"))),"NA")</f>
        <v>3</v>
      </c>
      <c r="F129" s="192">
        <f t="shared" si="25"/>
        <v>3</v>
      </c>
      <c r="G129" s="192">
        <f t="shared" si="25"/>
        <v>3</v>
      </c>
      <c r="H129" s="192"/>
      <c r="I129" s="192">
        <f t="shared" si="25"/>
        <v>3</v>
      </c>
      <c r="J129" s="192">
        <f t="shared" si="25"/>
        <v>3</v>
      </c>
      <c r="K129" s="192">
        <f t="shared" si="25"/>
        <v>3</v>
      </c>
      <c r="L129" s="192">
        <f t="shared" si="25"/>
        <v>3</v>
      </c>
      <c r="M129" s="192"/>
      <c r="N129" s="192">
        <f t="shared" si="25"/>
        <v>3</v>
      </c>
      <c r="O129" s="192">
        <f t="shared" si="25"/>
        <v>3</v>
      </c>
      <c r="P129" s="192">
        <f t="shared" si="25"/>
        <v>3</v>
      </c>
      <c r="Q129" s="192">
        <f t="shared" si="25"/>
        <v>3</v>
      </c>
      <c r="R129" s="192"/>
      <c r="S129" s="192">
        <f t="shared" si="25"/>
        <v>3</v>
      </c>
      <c r="T129" s="192">
        <f t="shared" ref="T129" si="26">IF(T128&lt;&gt;"NA",IF(T128&gt;=70,3,IF(T128&gt;=60,2,IF(T128&gt;=50,1,"0"))),"NA")</f>
        <v>3</v>
      </c>
      <c r="U129" s="192">
        <f t="shared" ref="U129" si="27">IF(U128&lt;&gt;"NA",IF(U128&gt;=70,3,IF(U128&gt;=60,2,IF(U128&gt;=50,1,"0"))),"NA")</f>
        <v>3</v>
      </c>
      <c r="V129" s="192">
        <f t="shared" ref="V129" si="28">IF(V128&lt;&gt;"NA",IF(V128&gt;=70,3,IF(V128&gt;=60,2,IF(V128&gt;=50,1,"0"))),"NA")</f>
        <v>3</v>
      </c>
      <c r="W129" s="192"/>
      <c r="X129" s="192">
        <f t="shared" ref="X129" si="29">IF(X128&lt;&gt;"NA",IF(X128&gt;=70,3,IF(X128&gt;=60,2,IF(X128&gt;=50,1,"0"))),"NA")</f>
        <v>3</v>
      </c>
    </row>
    <row r="130" spans="1:24" ht="15.6" customHeight="1">
      <c r="A130" s="187"/>
      <c r="B130" s="188"/>
      <c r="C130" s="189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</row>
    <row r="131" spans="1:24" ht="15.6" customHeight="1">
      <c r="A131" s="187"/>
      <c r="B131" s="188"/>
      <c r="C131" s="189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</row>
    <row r="133" spans="1:24" ht="25.5">
      <c r="C133" s="72" t="s">
        <v>54</v>
      </c>
      <c r="D133" s="133">
        <f>AVERAGE(S125:W125)</f>
        <v>0</v>
      </c>
      <c r="E133" s="133">
        <f>AVERAGE(D124:X124)</f>
        <v>2.6470588235294117</v>
      </c>
      <c r="F133" s="133">
        <f>(3/100)*E133</f>
        <v>7.9411764705882348E-2</v>
      </c>
      <c r="G133" s="293" t="s">
        <v>22</v>
      </c>
      <c r="H133" s="293"/>
    </row>
    <row r="134" spans="1:24">
      <c r="G134" s="160" t="s">
        <v>2</v>
      </c>
      <c r="H134" s="168">
        <f>S128</f>
        <v>95.370370370370367</v>
      </c>
    </row>
    <row r="135" spans="1:24">
      <c r="A135"/>
      <c r="B135"/>
      <c r="C135"/>
      <c r="D135"/>
      <c r="E135"/>
      <c r="F135"/>
      <c r="G135" s="169" t="s">
        <v>3</v>
      </c>
      <c r="H135" s="168">
        <f>T128</f>
        <v>95.370370370370367</v>
      </c>
      <c r="I135"/>
      <c r="J135"/>
      <c r="K135"/>
      <c r="L135"/>
      <c r="M135"/>
    </row>
    <row r="136" spans="1:24">
      <c r="A136"/>
      <c r="B136"/>
      <c r="C136"/>
      <c r="D136"/>
      <c r="E136"/>
      <c r="F136"/>
      <c r="G136" s="169" t="s">
        <v>4</v>
      </c>
      <c r="H136" s="168">
        <f>U128</f>
        <v>95.370370370370367</v>
      </c>
      <c r="I136"/>
      <c r="J136"/>
      <c r="K136"/>
      <c r="L136"/>
      <c r="M136"/>
    </row>
    <row r="137" spans="1:24">
      <c r="A137"/>
      <c r="B137"/>
      <c r="C137"/>
      <c r="D137"/>
      <c r="E137"/>
      <c r="F137"/>
      <c r="G137" s="160" t="s">
        <v>10</v>
      </c>
      <c r="H137" s="168">
        <f>V128</f>
        <v>95.370370370370367</v>
      </c>
      <c r="I137"/>
      <c r="J137"/>
      <c r="K137"/>
      <c r="L137"/>
      <c r="M137"/>
    </row>
    <row r="138" spans="1:24">
      <c r="A138"/>
      <c r="B138" s="7" t="str">
        <f>Faculty</f>
        <v>Anuja Mali</v>
      </c>
      <c r="C138"/>
      <c r="D138"/>
      <c r="E138"/>
      <c r="F138"/>
      <c r="G138" s="160"/>
      <c r="H138" s="168"/>
      <c r="I138"/>
      <c r="J138"/>
      <c r="K138"/>
      <c r="L138"/>
      <c r="M138"/>
    </row>
    <row r="139" spans="1:24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24" ht="15.75">
      <c r="A140" s="83"/>
      <c r="B140" s="83"/>
      <c r="C140"/>
      <c r="D140" s="215"/>
      <c r="E140" s="215"/>
      <c r="F140" s="215"/>
      <c r="G140" s="2"/>
      <c r="H140" s="2"/>
      <c r="I140" s="101"/>
      <c r="J140" s="83"/>
      <c r="K140"/>
      <c r="L140" s="83"/>
      <c r="M140" s="50"/>
    </row>
    <row r="141" spans="1:24" ht="15.75">
      <c r="A141" s="83"/>
      <c r="B141" s="83"/>
      <c r="C141"/>
      <c r="D141" s="215"/>
      <c r="E141" s="215"/>
      <c r="F141" s="215"/>
      <c r="G141" s="2"/>
      <c r="H141" s="2"/>
      <c r="I141" s="101"/>
      <c r="J141" s="83"/>
      <c r="K141"/>
      <c r="L141" s="83"/>
      <c r="M141" s="50"/>
    </row>
    <row r="142" spans="1:24" ht="15.75">
      <c r="A142"/>
      <c r="B142"/>
      <c r="C142"/>
      <c r="D142"/>
      <c r="E142"/>
      <c r="F142"/>
      <c r="G142"/>
      <c r="H142"/>
      <c r="I142" s="2"/>
      <c r="J142"/>
      <c r="K142"/>
      <c r="L142"/>
      <c r="M142" s="3"/>
    </row>
    <row r="143" spans="1:24" ht="15.7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3"/>
    </row>
    <row r="144" spans="1:24" s="37" customFormat="1" ht="15.75">
      <c r="A144" s="215" t="str">
        <f>SubjectDetails!A24</f>
        <v>Dr. Ravi Chourasiya</v>
      </c>
      <c r="B144" s="215"/>
      <c r="C144" s="215"/>
      <c r="D144" s="218" t="str">
        <f>SubjectDetails!E24</f>
        <v>Dr. Ashwini Chavan</v>
      </c>
      <c r="E144" s="218"/>
      <c r="F144" s="218"/>
      <c r="G144" s="218"/>
      <c r="H144"/>
      <c r="I144" s="216"/>
      <c r="J144" s="216"/>
      <c r="K144"/>
      <c r="L144" s="83"/>
      <c r="M144" s="50"/>
      <c r="N144" s="255" t="str">
        <f>SubjectDetails!H24</f>
        <v>Dr. Priyanka Singh</v>
      </c>
      <c r="O144" s="255"/>
      <c r="P144" s="255"/>
    </row>
    <row r="145" spans="1:16" s="37" customFormat="1" ht="15.75">
      <c r="A145" s="215" t="str">
        <f>SubjectDetails!A25</f>
        <v>(College Examination Officer)</v>
      </c>
      <c r="B145" s="215"/>
      <c r="C145" s="215"/>
      <c r="D145" s="218" t="str">
        <f>SubjectDetails!E25</f>
        <v>HOD (MCA)</v>
      </c>
      <c r="E145" s="218"/>
      <c r="F145" s="218"/>
      <c r="G145" s="218"/>
      <c r="H145"/>
      <c r="I145" s="216"/>
      <c r="J145" s="216"/>
      <c r="K145"/>
      <c r="L145" s="83"/>
      <c r="M145" s="50"/>
      <c r="N145" s="255" t="str">
        <f>SubjectDetails!H25</f>
        <v>Director</v>
      </c>
      <c r="O145" s="255"/>
      <c r="P145" s="255"/>
    </row>
  </sheetData>
  <mergeCells count="30">
    <mergeCell ref="A1:X1"/>
    <mergeCell ref="A2:X2"/>
    <mergeCell ref="A3:X3"/>
    <mergeCell ref="A4:X4"/>
    <mergeCell ref="O6:R8"/>
    <mergeCell ref="I6:K8"/>
    <mergeCell ref="L6:M6"/>
    <mergeCell ref="L7:M7"/>
    <mergeCell ref="L8:M8"/>
    <mergeCell ref="G133:H133"/>
    <mergeCell ref="D140:F140"/>
    <mergeCell ref="D141:F141"/>
    <mergeCell ref="D11:H11"/>
    <mergeCell ref="S6:S8"/>
    <mergeCell ref="I11:M11"/>
    <mergeCell ref="A10:X10"/>
    <mergeCell ref="X11:X12"/>
    <mergeCell ref="S11:W11"/>
    <mergeCell ref="A11:A13"/>
    <mergeCell ref="B11:B13"/>
    <mergeCell ref="C11:C13"/>
    <mergeCell ref="N11:R11"/>
    <mergeCell ref="N145:P145"/>
    <mergeCell ref="N144:P144"/>
    <mergeCell ref="A144:C144"/>
    <mergeCell ref="A145:C145"/>
    <mergeCell ref="D144:G144"/>
    <mergeCell ref="D145:G145"/>
    <mergeCell ref="I144:J144"/>
    <mergeCell ref="I145:J145"/>
  </mergeCells>
  <pageMargins left="0.7" right="0.7" top="0.75" bottom="0.75" header="0.3" footer="0.3"/>
  <pageSetup scale="5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8"/>
  <sheetViews>
    <sheetView tabSelected="1" topLeftCell="A9" zoomScaleNormal="100" workbookViewId="0">
      <selection activeCell="D121" sqref="D14:D121"/>
    </sheetView>
  </sheetViews>
  <sheetFormatPr defaultColWidth="8.85546875" defaultRowHeight="12.75"/>
  <cols>
    <col min="1" max="1" width="8.85546875" style="7"/>
    <col min="2" max="2" width="10.85546875" style="7" customWidth="1"/>
    <col min="3" max="3" width="41.42578125" style="7" bestFit="1" customWidth="1"/>
    <col min="4" max="9" width="8" style="7" customWidth="1"/>
    <col min="10" max="10" width="11.28515625" style="7" customWidth="1"/>
    <col min="11" max="11" width="6.28515625" style="7" customWidth="1"/>
    <col min="12" max="15" width="7.7109375" style="7" customWidth="1"/>
    <col min="16" max="16" width="9" style="7" bestFit="1" customWidth="1"/>
    <col min="17" max="16384" width="8.85546875" style="7"/>
  </cols>
  <sheetData>
    <row r="1" spans="1:24" ht="18.75">
      <c r="A1" s="226" t="s">
        <v>73</v>
      </c>
      <c r="B1" s="227"/>
      <c r="C1" s="227"/>
      <c r="D1" s="227"/>
      <c r="E1" s="227"/>
      <c r="F1" s="227"/>
      <c r="G1" s="227"/>
      <c r="H1" s="227"/>
      <c r="I1" s="227"/>
      <c r="J1" s="227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</row>
    <row r="2" spans="1:24" ht="23.45" customHeight="1">
      <c r="A2" s="228" t="s">
        <v>74</v>
      </c>
      <c r="B2" s="229"/>
      <c r="C2" s="229"/>
      <c r="D2" s="229"/>
      <c r="E2" s="229"/>
      <c r="F2" s="229"/>
      <c r="G2" s="229"/>
      <c r="H2" s="229"/>
      <c r="I2" s="229"/>
      <c r="J2" s="229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</row>
    <row r="3" spans="1:24" ht="13.9" customHeight="1">
      <c r="A3" s="230" t="s">
        <v>75</v>
      </c>
      <c r="B3" s="231"/>
      <c r="C3" s="231"/>
      <c r="D3" s="231"/>
      <c r="E3" s="231"/>
      <c r="F3" s="231"/>
      <c r="G3" s="231"/>
      <c r="H3" s="231"/>
      <c r="I3" s="231"/>
      <c r="J3" s="231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</row>
    <row r="4" spans="1:24" ht="13.9" customHeight="1">
      <c r="A4" s="230" t="s">
        <v>9</v>
      </c>
      <c r="B4" s="231"/>
      <c r="C4" s="231"/>
      <c r="D4" s="231"/>
      <c r="E4" s="231"/>
      <c r="F4" s="231"/>
      <c r="G4" s="231"/>
      <c r="H4" s="231"/>
      <c r="I4" s="231"/>
      <c r="J4" s="231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</row>
    <row r="5" spans="1:24" ht="15.75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4" ht="15.75">
      <c r="A6" s="345" t="str">
        <f>CONCATENATE("Faculty Name: ", Faculty)</f>
        <v>Faculty Name: Anuja Mali</v>
      </c>
      <c r="B6" s="345"/>
      <c r="C6" s="346"/>
      <c r="D6" s="347" t="s">
        <v>102</v>
      </c>
      <c r="E6" s="348"/>
      <c r="F6" s="63">
        <v>3</v>
      </c>
      <c r="G6" s="64">
        <v>0.7</v>
      </c>
      <c r="H6" s="355" t="s">
        <v>31</v>
      </c>
      <c r="I6" s="356"/>
      <c r="J6" s="361">
        <v>0.6</v>
      </c>
      <c r="K6" s="30"/>
      <c r="L6" s="30"/>
      <c r="P6" s="6"/>
      <c r="Q6" s="6"/>
      <c r="R6" s="6"/>
      <c r="S6" s="6"/>
    </row>
    <row r="7" spans="1:24" ht="15.75">
      <c r="A7" s="343" t="str">
        <f>CONCATENATE("Subject Name &amp; Code: ", Sub_Code)</f>
        <v>Subject Name &amp; Code: Lab IT11L</v>
      </c>
      <c r="B7" s="343"/>
      <c r="C7" s="344"/>
      <c r="D7" s="349"/>
      <c r="E7" s="350"/>
      <c r="F7" s="65">
        <v>2</v>
      </c>
      <c r="G7" s="66">
        <v>0.6</v>
      </c>
      <c r="H7" s="357"/>
      <c r="I7" s="358"/>
      <c r="J7" s="362"/>
      <c r="K7" s="12"/>
      <c r="L7" s="12"/>
      <c r="P7" s="12"/>
      <c r="Q7" s="6"/>
      <c r="R7" s="6"/>
      <c r="S7" s="6"/>
    </row>
    <row r="8" spans="1:24" ht="16.5" thickBot="1">
      <c r="A8" s="345" t="str">
        <f>CONCATENATE("Class: ",Class_AY)</f>
        <v>Class: MCA I SEM I AY 2023-24</v>
      </c>
      <c r="B8" s="345"/>
      <c r="C8" s="346"/>
      <c r="D8" s="351"/>
      <c r="E8" s="352"/>
      <c r="F8" s="67">
        <v>1</v>
      </c>
      <c r="G8" s="68">
        <v>0.5</v>
      </c>
      <c r="H8" s="359"/>
      <c r="I8" s="360"/>
      <c r="J8" s="363"/>
      <c r="K8" s="6"/>
      <c r="L8" s="6"/>
      <c r="P8" s="6"/>
      <c r="Q8" s="6"/>
      <c r="R8" s="6"/>
      <c r="S8" s="6"/>
    </row>
    <row r="9" spans="1:24" ht="13.5" thickBot="1"/>
    <row r="10" spans="1:24" ht="21" thickBot="1">
      <c r="A10" s="339" t="s">
        <v>29</v>
      </c>
      <c r="B10" s="340"/>
      <c r="C10" s="340"/>
      <c r="D10" s="341"/>
      <c r="E10" s="341"/>
      <c r="F10" s="341"/>
      <c r="G10" s="341"/>
      <c r="H10" s="341"/>
      <c r="I10" s="341"/>
      <c r="J10" s="342"/>
      <c r="K10" s="23"/>
      <c r="L10" s="23"/>
      <c r="M10" s="23"/>
      <c r="N10" s="23"/>
      <c r="O10" s="23"/>
      <c r="P10" s="23"/>
    </row>
    <row r="11" spans="1:24">
      <c r="A11" s="302" t="s">
        <v>0</v>
      </c>
      <c r="B11" s="305" t="s">
        <v>6</v>
      </c>
      <c r="C11" s="353" t="s">
        <v>1</v>
      </c>
      <c r="D11" s="364" t="s">
        <v>30</v>
      </c>
      <c r="E11" s="365"/>
      <c r="F11" s="365"/>
      <c r="G11" s="365"/>
      <c r="H11" s="365"/>
      <c r="I11" s="365"/>
      <c r="J11" s="366"/>
      <c r="K11" s="24"/>
      <c r="L11" s="24"/>
      <c r="M11" s="24"/>
      <c r="N11" s="24"/>
      <c r="O11" s="24"/>
      <c r="P11" s="338"/>
    </row>
    <row r="12" spans="1:24">
      <c r="A12" s="303"/>
      <c r="B12" s="294"/>
      <c r="C12" s="354"/>
      <c r="D12" s="367"/>
      <c r="E12" s="368"/>
      <c r="F12" s="368"/>
      <c r="G12" s="368"/>
      <c r="H12" s="368"/>
      <c r="I12" s="368"/>
      <c r="J12" s="369"/>
      <c r="K12" s="25"/>
      <c r="L12" s="26"/>
      <c r="M12" s="26"/>
      <c r="N12" s="26"/>
      <c r="O12" s="26"/>
      <c r="P12" s="338"/>
    </row>
    <row r="13" spans="1:24" ht="19.5" thickBot="1">
      <c r="A13" s="303"/>
      <c r="B13" s="294"/>
      <c r="C13" s="354"/>
      <c r="D13" s="323">
        <v>50</v>
      </c>
      <c r="E13" s="324"/>
      <c r="F13" s="324"/>
      <c r="G13" s="324"/>
      <c r="H13" s="324"/>
      <c r="I13" s="324"/>
      <c r="J13" s="325"/>
      <c r="K13" s="25"/>
      <c r="L13" s="26"/>
      <c r="M13" s="26"/>
      <c r="N13" s="26"/>
      <c r="O13" s="26"/>
      <c r="P13" s="26"/>
    </row>
    <row r="14" spans="1:24" ht="15.75">
      <c r="A14" s="71">
        <v>1</v>
      </c>
      <c r="B14" s="70">
        <v>2032303524</v>
      </c>
      <c r="C14" s="158" t="s">
        <v>181</v>
      </c>
      <c r="D14" s="184">
        <v>44</v>
      </c>
      <c r="E14"/>
      <c r="F14"/>
      <c r="G14"/>
      <c r="H14"/>
      <c r="I14"/>
      <c r="J14"/>
      <c r="K14" s="27"/>
      <c r="L14" s="28"/>
      <c r="M14" s="28"/>
      <c r="N14" s="28"/>
      <c r="O14" s="28"/>
      <c r="P14" s="28"/>
    </row>
    <row r="15" spans="1:24" ht="15.75">
      <c r="A15" s="71">
        <v>2</v>
      </c>
      <c r="B15" s="70">
        <v>2032303491</v>
      </c>
      <c r="C15" s="158" t="s">
        <v>149</v>
      </c>
      <c r="D15" s="184">
        <v>44</v>
      </c>
      <c r="E15"/>
      <c r="F15"/>
      <c r="G15"/>
      <c r="H15"/>
      <c r="I15"/>
      <c r="J15"/>
      <c r="K15" s="27"/>
      <c r="L15" s="28"/>
      <c r="M15" s="28"/>
      <c r="N15" s="28"/>
      <c r="O15" s="28"/>
      <c r="P15" s="28"/>
    </row>
    <row r="16" spans="1:24" ht="15.75">
      <c r="A16" s="71">
        <v>3</v>
      </c>
      <c r="B16" s="70">
        <v>2032303500</v>
      </c>
      <c r="C16" s="158" t="s">
        <v>158</v>
      </c>
      <c r="D16" s="184">
        <v>45</v>
      </c>
      <c r="E16"/>
      <c r="F16"/>
      <c r="G16"/>
      <c r="H16"/>
      <c r="I16"/>
      <c r="J16"/>
      <c r="K16" s="27"/>
      <c r="L16" s="28"/>
      <c r="M16" s="28"/>
      <c r="N16" s="28"/>
      <c r="O16" s="28"/>
      <c r="P16" s="28"/>
    </row>
    <row r="17" spans="1:16" ht="15.75">
      <c r="A17" s="148">
        <v>4</v>
      </c>
      <c r="B17" s="70">
        <v>2032303484</v>
      </c>
      <c r="C17" s="158" t="s">
        <v>142</v>
      </c>
      <c r="D17" s="184">
        <v>42</v>
      </c>
      <c r="E17"/>
      <c r="F17"/>
      <c r="G17"/>
      <c r="H17"/>
      <c r="I17"/>
      <c r="J17"/>
      <c r="K17" s="27"/>
      <c r="L17" s="28"/>
      <c r="M17" s="28"/>
      <c r="N17" s="28"/>
      <c r="O17" s="28"/>
      <c r="P17" s="28"/>
    </row>
    <row r="18" spans="1:16" ht="15.75">
      <c r="A18" s="148">
        <v>5</v>
      </c>
      <c r="B18" s="70">
        <v>2032303481</v>
      </c>
      <c r="C18" s="158" t="s">
        <v>139</v>
      </c>
      <c r="D18" s="184">
        <v>41</v>
      </c>
      <c r="E18"/>
      <c r="F18"/>
      <c r="G18"/>
      <c r="H18"/>
      <c r="I18"/>
      <c r="J18"/>
      <c r="K18" s="27"/>
      <c r="L18" s="28"/>
      <c r="M18" s="28"/>
      <c r="N18" s="28"/>
      <c r="O18" s="28"/>
      <c r="P18" s="28"/>
    </row>
    <row r="19" spans="1:16" ht="15.75">
      <c r="A19" s="148">
        <v>6</v>
      </c>
      <c r="B19" s="70">
        <v>2032303483</v>
      </c>
      <c r="C19" s="158" t="s">
        <v>141</v>
      </c>
      <c r="D19" s="184">
        <v>43</v>
      </c>
      <c r="E19"/>
      <c r="F19"/>
      <c r="G19"/>
      <c r="H19"/>
      <c r="I19"/>
      <c r="J19"/>
      <c r="K19" s="27"/>
      <c r="L19" s="28"/>
      <c r="M19" s="28"/>
      <c r="N19" s="28"/>
      <c r="O19" s="28"/>
      <c r="P19" s="28"/>
    </row>
    <row r="20" spans="1:16" ht="15.75">
      <c r="A20" s="148">
        <v>7</v>
      </c>
      <c r="B20" s="70">
        <v>2032303463</v>
      </c>
      <c r="C20" s="158" t="s">
        <v>121</v>
      </c>
      <c r="D20" s="184">
        <v>44</v>
      </c>
      <c r="E20"/>
      <c r="F20"/>
      <c r="G20"/>
      <c r="H20"/>
      <c r="I20"/>
      <c r="J20"/>
      <c r="K20" s="27"/>
      <c r="L20" s="28"/>
      <c r="M20" s="28"/>
      <c r="N20" s="28"/>
      <c r="O20" s="28"/>
      <c r="P20" s="28"/>
    </row>
    <row r="21" spans="1:16" ht="15.75">
      <c r="A21" s="148">
        <v>8</v>
      </c>
      <c r="B21" s="70">
        <v>2032303487</v>
      </c>
      <c r="C21" s="158" t="s">
        <v>145</v>
      </c>
      <c r="D21" s="184">
        <v>43</v>
      </c>
      <c r="E21"/>
      <c r="F21"/>
      <c r="G21"/>
      <c r="H21"/>
      <c r="I21"/>
      <c r="J21"/>
      <c r="K21" s="27"/>
      <c r="L21" s="28"/>
      <c r="M21" s="28"/>
      <c r="N21" s="28"/>
      <c r="O21" s="28"/>
      <c r="P21" s="28"/>
    </row>
    <row r="22" spans="1:16" ht="15.75">
      <c r="A22" s="148">
        <v>9</v>
      </c>
      <c r="B22" s="70">
        <v>2032303455</v>
      </c>
      <c r="C22" s="158" t="s">
        <v>113</v>
      </c>
      <c r="D22" s="184">
        <v>44</v>
      </c>
      <c r="E22"/>
      <c r="F22"/>
      <c r="G22"/>
      <c r="H22"/>
      <c r="I22"/>
      <c r="J22"/>
      <c r="K22" s="27"/>
      <c r="L22" s="28"/>
      <c r="M22" s="28"/>
      <c r="N22" s="28"/>
      <c r="O22" s="28"/>
      <c r="P22" s="28"/>
    </row>
    <row r="23" spans="1:16" ht="15.75">
      <c r="A23" s="148">
        <v>10</v>
      </c>
      <c r="B23" s="70">
        <v>2032303516</v>
      </c>
      <c r="C23" s="158" t="s">
        <v>173</v>
      </c>
      <c r="D23" s="184">
        <v>43</v>
      </c>
      <c r="E23"/>
      <c r="F23"/>
      <c r="G23"/>
      <c r="H23"/>
      <c r="I23"/>
      <c r="J23"/>
      <c r="K23" s="27"/>
      <c r="L23" s="28"/>
      <c r="M23" s="28"/>
      <c r="N23" s="28"/>
      <c r="O23" s="28"/>
      <c r="P23" s="28"/>
    </row>
    <row r="24" spans="1:16" ht="15.75">
      <c r="A24" s="148">
        <v>11</v>
      </c>
      <c r="B24" s="70">
        <v>2032303515</v>
      </c>
      <c r="C24" s="158" t="s">
        <v>172</v>
      </c>
      <c r="D24" s="184">
        <v>42</v>
      </c>
      <c r="E24"/>
      <c r="F24"/>
      <c r="G24"/>
      <c r="H24"/>
      <c r="I24"/>
      <c r="J24"/>
      <c r="K24" s="27"/>
      <c r="L24" s="28"/>
      <c r="M24" s="28"/>
      <c r="N24" s="28"/>
      <c r="O24" s="28"/>
      <c r="P24" s="28"/>
    </row>
    <row r="25" spans="1:16" ht="15.75">
      <c r="A25" s="148">
        <v>12</v>
      </c>
      <c r="B25" s="70">
        <v>2032303502</v>
      </c>
      <c r="C25" s="158" t="s">
        <v>160</v>
      </c>
      <c r="D25" s="184">
        <v>42</v>
      </c>
      <c r="E25"/>
      <c r="F25"/>
      <c r="G25"/>
      <c r="H25"/>
      <c r="I25"/>
      <c r="J25"/>
      <c r="K25" s="27"/>
      <c r="L25" s="28"/>
      <c r="M25" s="28"/>
      <c r="N25" s="28"/>
      <c r="O25" s="28"/>
      <c r="P25" s="28"/>
    </row>
    <row r="26" spans="1:16" ht="15.75">
      <c r="A26" s="148">
        <v>13</v>
      </c>
      <c r="B26" s="70">
        <v>2032303513</v>
      </c>
      <c r="C26" s="158" t="s">
        <v>170</v>
      </c>
      <c r="D26" s="184">
        <v>42</v>
      </c>
      <c r="E26"/>
      <c r="F26"/>
      <c r="G26"/>
      <c r="H26"/>
      <c r="I26"/>
      <c r="J26"/>
      <c r="K26" s="27"/>
      <c r="L26" s="28"/>
      <c r="M26" s="28"/>
      <c r="N26" s="28"/>
      <c r="O26" s="28"/>
      <c r="P26" s="28"/>
    </row>
    <row r="27" spans="1:16" ht="15.75">
      <c r="A27" s="148">
        <v>14</v>
      </c>
      <c r="B27" s="70">
        <v>2032303538</v>
      </c>
      <c r="C27" s="158" t="s">
        <v>195</v>
      </c>
      <c r="D27" s="184">
        <v>44</v>
      </c>
      <c r="E27"/>
      <c r="F27"/>
      <c r="G27"/>
      <c r="H27"/>
      <c r="I27"/>
      <c r="J27"/>
      <c r="K27" s="27"/>
      <c r="L27" s="28"/>
      <c r="M27" s="28"/>
      <c r="N27" s="28"/>
      <c r="O27" s="28"/>
      <c r="P27" s="28"/>
    </row>
    <row r="28" spans="1:16" ht="15.75">
      <c r="A28" s="148">
        <v>15</v>
      </c>
      <c r="B28" s="70">
        <v>2032303478</v>
      </c>
      <c r="C28" s="158" t="s">
        <v>136</v>
      </c>
      <c r="D28" s="184">
        <v>45</v>
      </c>
      <c r="E28"/>
      <c r="F28"/>
      <c r="G28"/>
      <c r="H28"/>
      <c r="I28"/>
      <c r="J28"/>
      <c r="K28" s="27"/>
      <c r="L28" s="28"/>
      <c r="M28" s="28"/>
      <c r="N28" s="28"/>
      <c r="O28" s="28"/>
      <c r="P28" s="28"/>
    </row>
    <row r="29" spans="1:16" ht="15.75">
      <c r="A29" s="148">
        <v>16</v>
      </c>
      <c r="B29" s="70">
        <v>2032303464</v>
      </c>
      <c r="C29" s="158" t="s">
        <v>122</v>
      </c>
      <c r="D29" s="184">
        <v>45</v>
      </c>
      <c r="E29"/>
      <c r="F29"/>
      <c r="G29"/>
      <c r="H29"/>
      <c r="I29"/>
      <c r="J29"/>
      <c r="K29" s="27"/>
      <c r="L29" s="28"/>
      <c r="M29" s="28"/>
      <c r="N29" s="28"/>
      <c r="O29" s="28"/>
      <c r="P29" s="28"/>
    </row>
    <row r="30" spans="1:16" ht="15.75">
      <c r="A30" s="148">
        <v>17</v>
      </c>
      <c r="B30" s="70">
        <v>2032303528</v>
      </c>
      <c r="C30" s="158" t="s">
        <v>185</v>
      </c>
      <c r="D30" s="184">
        <v>46</v>
      </c>
      <c r="E30"/>
      <c r="F30"/>
      <c r="G30"/>
      <c r="H30"/>
      <c r="I30"/>
      <c r="J30"/>
      <c r="K30" s="27"/>
      <c r="L30" s="28"/>
      <c r="M30" s="28"/>
      <c r="N30" s="28"/>
      <c r="O30" s="28"/>
      <c r="P30" s="28"/>
    </row>
    <row r="31" spans="1:16" ht="15.75">
      <c r="A31" s="148">
        <v>18</v>
      </c>
      <c r="B31" s="70">
        <v>2032303476</v>
      </c>
      <c r="C31" s="158" t="s">
        <v>134</v>
      </c>
      <c r="D31" s="184">
        <v>45</v>
      </c>
      <c r="E31"/>
      <c r="F31"/>
      <c r="G31"/>
      <c r="H31"/>
      <c r="I31"/>
      <c r="J31"/>
      <c r="K31" s="27"/>
      <c r="L31" s="28"/>
      <c r="M31" s="28"/>
      <c r="N31" s="28"/>
      <c r="O31" s="28"/>
      <c r="P31" s="28"/>
    </row>
    <row r="32" spans="1:16" ht="15.75">
      <c r="A32" s="148">
        <v>19</v>
      </c>
      <c r="B32" s="70">
        <v>2032303509</v>
      </c>
      <c r="C32" s="158" t="s">
        <v>166</v>
      </c>
      <c r="D32" s="184">
        <v>44</v>
      </c>
      <c r="E32"/>
      <c r="F32"/>
      <c r="G32"/>
      <c r="H32"/>
      <c r="I32"/>
      <c r="J32"/>
      <c r="K32" s="27"/>
      <c r="L32" s="28"/>
      <c r="M32" s="28"/>
      <c r="N32" s="28"/>
      <c r="O32" s="28"/>
      <c r="P32" s="28"/>
    </row>
    <row r="33" spans="1:16" ht="15.75">
      <c r="A33" s="148">
        <v>20</v>
      </c>
      <c r="B33" s="70">
        <v>2032303535</v>
      </c>
      <c r="C33" s="158" t="s">
        <v>192</v>
      </c>
      <c r="D33" s="184">
        <v>44</v>
      </c>
      <c r="E33"/>
      <c r="F33"/>
      <c r="G33"/>
      <c r="H33"/>
      <c r="I33"/>
      <c r="J33"/>
      <c r="K33" s="27"/>
      <c r="L33" s="28"/>
      <c r="M33" s="28"/>
      <c r="N33" s="28"/>
      <c r="O33" s="28"/>
      <c r="P33" s="28"/>
    </row>
    <row r="34" spans="1:16" ht="15.75">
      <c r="A34" s="148">
        <v>21</v>
      </c>
      <c r="B34" s="70">
        <v>2032303548</v>
      </c>
      <c r="C34" s="158" t="s">
        <v>205</v>
      </c>
      <c r="D34" s="184">
        <v>45</v>
      </c>
      <c r="E34"/>
      <c r="F34"/>
      <c r="G34"/>
      <c r="H34"/>
      <c r="I34"/>
      <c r="J34"/>
      <c r="K34" s="27"/>
      <c r="L34" s="28"/>
      <c r="M34" s="28"/>
      <c r="N34" s="28"/>
      <c r="O34" s="28"/>
      <c r="P34" s="28"/>
    </row>
    <row r="35" spans="1:16" ht="15.75">
      <c r="A35" s="148">
        <v>22</v>
      </c>
      <c r="B35" s="70">
        <v>2032303503</v>
      </c>
      <c r="C35" s="158" t="s">
        <v>161</v>
      </c>
      <c r="D35" s="184">
        <v>43</v>
      </c>
      <c r="E35"/>
      <c r="F35"/>
      <c r="G35"/>
      <c r="H35"/>
      <c r="I35"/>
      <c r="J35"/>
      <c r="K35" s="27"/>
      <c r="L35" s="28"/>
      <c r="M35" s="28"/>
      <c r="N35" s="28"/>
      <c r="O35" s="28"/>
      <c r="P35" s="28"/>
    </row>
    <row r="36" spans="1:16" ht="15.75">
      <c r="A36" s="148">
        <v>23</v>
      </c>
      <c r="B36" s="70">
        <v>2032303495</v>
      </c>
      <c r="C36" s="158" t="s">
        <v>153</v>
      </c>
      <c r="D36" s="184">
        <v>45</v>
      </c>
      <c r="E36"/>
      <c r="F36"/>
      <c r="G36"/>
      <c r="H36"/>
      <c r="I36"/>
      <c r="J36"/>
      <c r="K36" s="27"/>
      <c r="L36" s="28"/>
      <c r="M36" s="28"/>
      <c r="N36" s="28"/>
      <c r="O36" s="28"/>
      <c r="P36" s="28"/>
    </row>
    <row r="37" spans="1:16" ht="15.75">
      <c r="A37" s="148">
        <v>24</v>
      </c>
      <c r="B37" s="70">
        <v>2032303482</v>
      </c>
      <c r="C37" s="158" t="s">
        <v>140</v>
      </c>
      <c r="D37" s="184">
        <v>43</v>
      </c>
      <c r="E37"/>
      <c r="F37"/>
      <c r="G37"/>
      <c r="H37"/>
      <c r="I37"/>
      <c r="J37"/>
      <c r="K37" s="27"/>
      <c r="L37" s="28"/>
      <c r="M37" s="28"/>
      <c r="N37" s="28"/>
      <c r="O37" s="28"/>
      <c r="P37" s="28"/>
    </row>
    <row r="38" spans="1:16" ht="15.75">
      <c r="A38" s="148">
        <v>25</v>
      </c>
      <c r="B38" s="70">
        <v>2032303508</v>
      </c>
      <c r="C38" s="158" t="s">
        <v>165</v>
      </c>
      <c r="D38" s="184">
        <v>45</v>
      </c>
      <c r="E38"/>
      <c r="F38"/>
      <c r="G38"/>
      <c r="H38"/>
      <c r="I38"/>
      <c r="J38"/>
      <c r="K38" s="27"/>
      <c r="L38" s="28"/>
      <c r="M38" s="28"/>
      <c r="N38" s="28"/>
      <c r="O38" s="28"/>
      <c r="P38" s="28"/>
    </row>
    <row r="39" spans="1:16" ht="15.75">
      <c r="A39" s="148">
        <v>26</v>
      </c>
      <c r="B39" s="70">
        <v>2032303472</v>
      </c>
      <c r="C39" s="158" t="s">
        <v>130</v>
      </c>
      <c r="D39" s="184">
        <v>45</v>
      </c>
      <c r="E39"/>
      <c r="F39"/>
      <c r="G39"/>
      <c r="H39"/>
      <c r="I39"/>
      <c r="J39"/>
      <c r="K39" s="27"/>
      <c r="L39" s="28"/>
      <c r="M39" s="28"/>
      <c r="N39" s="28"/>
      <c r="O39" s="28"/>
      <c r="P39" s="28"/>
    </row>
    <row r="40" spans="1:16" ht="15.75">
      <c r="A40" s="148">
        <v>27</v>
      </c>
      <c r="B40" s="70">
        <v>2032303549</v>
      </c>
      <c r="C40" s="158" t="s">
        <v>206</v>
      </c>
      <c r="D40" s="184">
        <v>42</v>
      </c>
      <c r="E40"/>
      <c r="F40"/>
      <c r="G40"/>
      <c r="H40"/>
      <c r="I40"/>
      <c r="J40"/>
      <c r="K40" s="27"/>
      <c r="L40" s="28"/>
      <c r="M40" s="28"/>
      <c r="N40" s="28"/>
      <c r="O40" s="28"/>
      <c r="P40" s="28"/>
    </row>
    <row r="41" spans="1:16" ht="15.75">
      <c r="A41" s="148">
        <v>28</v>
      </c>
      <c r="B41" s="70">
        <v>2032303479</v>
      </c>
      <c r="C41" s="158" t="s">
        <v>137</v>
      </c>
      <c r="D41" s="184">
        <v>43</v>
      </c>
      <c r="E41"/>
      <c r="F41"/>
      <c r="G41"/>
      <c r="H41"/>
      <c r="I41"/>
      <c r="J41"/>
      <c r="K41" s="27"/>
      <c r="L41" s="28"/>
      <c r="M41" s="28"/>
      <c r="N41" s="28"/>
      <c r="O41" s="28"/>
      <c r="P41" s="28"/>
    </row>
    <row r="42" spans="1:16" ht="15.75">
      <c r="A42" s="148">
        <v>29</v>
      </c>
      <c r="B42" s="70">
        <v>2032303519</v>
      </c>
      <c r="C42" s="158" t="s">
        <v>176</v>
      </c>
      <c r="D42" s="184">
        <v>45</v>
      </c>
      <c r="E42"/>
      <c r="F42"/>
      <c r="G42"/>
      <c r="H42"/>
      <c r="I42"/>
      <c r="J42"/>
      <c r="K42" s="27"/>
      <c r="L42" s="28"/>
      <c r="M42" s="28"/>
      <c r="N42" s="28"/>
      <c r="O42" s="28"/>
      <c r="P42" s="28"/>
    </row>
    <row r="43" spans="1:16" ht="15.75">
      <c r="A43" s="148">
        <v>30</v>
      </c>
      <c r="B43" s="70">
        <v>2032303497</v>
      </c>
      <c r="C43" s="158" t="s">
        <v>155</v>
      </c>
      <c r="D43" s="184">
        <v>44</v>
      </c>
      <c r="E43"/>
      <c r="F43"/>
      <c r="G43"/>
      <c r="H43"/>
      <c r="I43"/>
      <c r="J43"/>
      <c r="K43" s="27"/>
      <c r="L43" s="28"/>
      <c r="M43" s="28"/>
      <c r="N43" s="28"/>
      <c r="O43" s="28"/>
      <c r="P43" s="28"/>
    </row>
    <row r="44" spans="1:16" ht="15.75">
      <c r="A44" s="148">
        <v>31</v>
      </c>
      <c r="B44" s="70">
        <v>2032303539</v>
      </c>
      <c r="C44" s="158" t="s">
        <v>196</v>
      </c>
      <c r="D44" s="184">
        <v>44</v>
      </c>
      <c r="E44"/>
      <c r="F44"/>
      <c r="G44"/>
      <c r="H44"/>
      <c r="I44"/>
      <c r="J44"/>
      <c r="K44" s="27"/>
      <c r="L44" s="28"/>
      <c r="M44" s="28"/>
      <c r="N44" s="28"/>
      <c r="O44" s="28"/>
      <c r="P44" s="28"/>
    </row>
    <row r="45" spans="1:16" ht="15.75">
      <c r="A45" s="148">
        <v>32</v>
      </c>
      <c r="B45" s="70">
        <v>2032303486</v>
      </c>
      <c r="C45" s="158" t="s">
        <v>144</v>
      </c>
      <c r="D45" s="184">
        <v>42</v>
      </c>
      <c r="E45"/>
      <c r="F45"/>
      <c r="G45"/>
      <c r="H45"/>
      <c r="I45"/>
      <c r="J45"/>
      <c r="K45" s="27"/>
      <c r="L45" s="28"/>
      <c r="M45" s="28"/>
      <c r="N45" s="28"/>
      <c r="O45" s="28"/>
      <c r="P45" s="28"/>
    </row>
    <row r="46" spans="1:16" ht="15.75">
      <c r="A46" s="148">
        <v>33</v>
      </c>
      <c r="B46" s="70">
        <v>2032303469</v>
      </c>
      <c r="C46" s="158" t="s">
        <v>127</v>
      </c>
      <c r="D46" s="184">
        <v>45</v>
      </c>
      <c r="E46"/>
      <c r="F46"/>
      <c r="G46"/>
      <c r="H46"/>
      <c r="I46"/>
      <c r="J46"/>
      <c r="K46" s="27"/>
      <c r="L46" s="28"/>
      <c r="M46" s="28"/>
      <c r="N46" s="28"/>
      <c r="O46" s="28"/>
      <c r="P46" s="28"/>
    </row>
    <row r="47" spans="1:16" ht="15.75">
      <c r="A47" s="148">
        <v>34</v>
      </c>
      <c r="B47" s="70">
        <v>2032303462</v>
      </c>
      <c r="C47" s="158" t="s">
        <v>120</v>
      </c>
      <c r="D47" s="184">
        <v>45</v>
      </c>
      <c r="E47"/>
      <c r="F47"/>
      <c r="G47"/>
      <c r="H47"/>
      <c r="I47"/>
      <c r="J47"/>
      <c r="K47" s="27"/>
      <c r="L47" s="28"/>
      <c r="M47" s="28"/>
      <c r="N47" s="28"/>
      <c r="O47" s="28"/>
      <c r="P47" s="28"/>
    </row>
    <row r="48" spans="1:16" ht="15.75">
      <c r="A48" s="148">
        <v>35</v>
      </c>
      <c r="B48" s="70">
        <v>2032303529</v>
      </c>
      <c r="C48" s="158" t="s">
        <v>186</v>
      </c>
      <c r="D48" s="184">
        <v>44</v>
      </c>
      <c r="E48"/>
      <c r="F48"/>
      <c r="G48"/>
      <c r="H48"/>
      <c r="I48"/>
      <c r="J48"/>
      <c r="K48" s="27"/>
      <c r="L48" s="28"/>
      <c r="M48" s="28"/>
      <c r="N48" s="28"/>
      <c r="O48" s="28"/>
      <c r="P48" s="28"/>
    </row>
    <row r="49" spans="1:16" ht="15.75">
      <c r="A49" s="148">
        <v>36</v>
      </c>
      <c r="B49" s="70">
        <v>2032303556</v>
      </c>
      <c r="C49" s="158" t="s">
        <v>213</v>
      </c>
      <c r="D49" s="184">
        <v>45</v>
      </c>
      <c r="E49"/>
      <c r="F49"/>
      <c r="G49"/>
      <c r="H49"/>
      <c r="I49"/>
      <c r="J49"/>
      <c r="K49" s="27"/>
      <c r="L49" s="28"/>
      <c r="M49" s="28"/>
      <c r="N49" s="28"/>
      <c r="O49" s="28"/>
      <c r="P49" s="28"/>
    </row>
    <row r="50" spans="1:16" ht="15.75">
      <c r="A50" s="148">
        <v>37</v>
      </c>
      <c r="B50" s="70">
        <v>2032303480</v>
      </c>
      <c r="C50" s="158" t="s">
        <v>138</v>
      </c>
      <c r="D50" s="184">
        <v>44</v>
      </c>
      <c r="E50"/>
      <c r="F50"/>
      <c r="G50"/>
      <c r="H50"/>
      <c r="I50"/>
      <c r="J50"/>
      <c r="K50" s="27"/>
      <c r="L50" s="28"/>
      <c r="M50" s="28"/>
      <c r="N50" s="28"/>
      <c r="O50" s="28"/>
      <c r="P50" s="28"/>
    </row>
    <row r="51" spans="1:16" ht="15.75">
      <c r="A51" s="148">
        <v>38</v>
      </c>
      <c r="B51" s="70">
        <v>2032303490</v>
      </c>
      <c r="C51" s="158" t="s">
        <v>148</v>
      </c>
      <c r="D51" s="184">
        <v>45</v>
      </c>
      <c r="E51"/>
      <c r="F51"/>
      <c r="G51"/>
      <c r="H51"/>
      <c r="I51"/>
      <c r="J51"/>
      <c r="K51" s="27"/>
      <c r="L51" s="28"/>
      <c r="M51" s="28"/>
      <c r="N51" s="28"/>
      <c r="O51" s="28"/>
      <c r="P51" s="28"/>
    </row>
    <row r="52" spans="1:16" ht="15.75">
      <c r="A52" s="148">
        <v>39</v>
      </c>
      <c r="B52" s="70">
        <v>2032303492</v>
      </c>
      <c r="C52" s="158" t="s">
        <v>150</v>
      </c>
      <c r="D52" s="184">
        <v>42</v>
      </c>
      <c r="E52"/>
      <c r="F52"/>
      <c r="G52"/>
      <c r="H52"/>
      <c r="I52"/>
      <c r="J52"/>
      <c r="K52" s="27"/>
      <c r="L52" s="28"/>
      <c r="M52" s="28"/>
      <c r="N52" s="28"/>
      <c r="O52" s="28"/>
      <c r="P52" s="28"/>
    </row>
    <row r="53" spans="1:16" ht="15.75">
      <c r="A53" s="148">
        <v>40</v>
      </c>
      <c r="B53" s="70">
        <v>2032303540</v>
      </c>
      <c r="C53" s="158" t="s">
        <v>197</v>
      </c>
      <c r="D53" s="184">
        <v>42</v>
      </c>
      <c r="E53"/>
      <c r="F53"/>
      <c r="G53"/>
      <c r="H53"/>
      <c r="I53"/>
      <c r="J53"/>
      <c r="K53" s="27"/>
      <c r="L53" s="28"/>
      <c r="M53" s="28"/>
      <c r="N53" s="28"/>
      <c r="O53" s="28"/>
      <c r="P53" s="28"/>
    </row>
    <row r="54" spans="1:16" ht="15.75">
      <c r="A54" s="148">
        <v>41</v>
      </c>
      <c r="B54" s="70">
        <v>2032303465</v>
      </c>
      <c r="C54" s="158" t="s">
        <v>123</v>
      </c>
      <c r="D54" s="184">
        <v>41</v>
      </c>
      <c r="E54"/>
      <c r="F54"/>
      <c r="G54"/>
      <c r="H54"/>
      <c r="I54"/>
      <c r="J54"/>
      <c r="K54" s="27"/>
      <c r="L54" s="28"/>
      <c r="M54" s="28"/>
      <c r="N54" s="28"/>
      <c r="O54" s="28"/>
      <c r="P54" s="28"/>
    </row>
    <row r="55" spans="1:16" ht="15.75">
      <c r="A55" s="148">
        <v>42</v>
      </c>
      <c r="B55" s="70">
        <v>2032303530</v>
      </c>
      <c r="C55" s="158" t="s">
        <v>187</v>
      </c>
      <c r="D55" s="184">
        <v>42</v>
      </c>
      <c r="E55"/>
      <c r="F55"/>
      <c r="G55"/>
      <c r="H55"/>
      <c r="I55"/>
      <c r="J55"/>
      <c r="K55" s="27"/>
      <c r="L55" s="28"/>
      <c r="M55" s="28"/>
      <c r="N55" s="28"/>
      <c r="O55" s="28"/>
      <c r="P55" s="28"/>
    </row>
    <row r="56" spans="1:16" ht="15.75">
      <c r="A56" s="148">
        <v>43</v>
      </c>
      <c r="B56" s="70">
        <v>2032303542</v>
      </c>
      <c r="C56" s="158" t="s">
        <v>199</v>
      </c>
      <c r="D56" s="184">
        <v>42</v>
      </c>
      <c r="E56"/>
      <c r="F56"/>
      <c r="G56"/>
      <c r="H56"/>
      <c r="I56"/>
      <c r="J56"/>
      <c r="K56" s="27"/>
      <c r="L56" s="28"/>
      <c r="M56" s="28"/>
      <c r="N56" s="28"/>
      <c r="O56" s="28"/>
      <c r="P56" s="28"/>
    </row>
    <row r="57" spans="1:16" ht="15.75">
      <c r="A57" s="148">
        <v>44</v>
      </c>
      <c r="B57" s="70">
        <v>2032303470</v>
      </c>
      <c r="C57" s="158" t="s">
        <v>128</v>
      </c>
      <c r="D57" s="184">
        <v>44</v>
      </c>
      <c r="E57"/>
      <c r="F57"/>
      <c r="G57"/>
      <c r="H57"/>
      <c r="I57"/>
      <c r="J57"/>
      <c r="K57" s="27"/>
      <c r="L57" s="28"/>
      <c r="M57" s="28"/>
      <c r="N57" s="28"/>
      <c r="O57" s="28"/>
      <c r="P57" s="28"/>
    </row>
    <row r="58" spans="1:16" ht="15.75">
      <c r="A58" s="148">
        <v>45</v>
      </c>
      <c r="B58" s="70">
        <v>2032303494</v>
      </c>
      <c r="C58" s="158" t="s">
        <v>152</v>
      </c>
      <c r="D58" s="184">
        <v>44</v>
      </c>
      <c r="E58"/>
      <c r="F58"/>
      <c r="G58"/>
      <c r="H58"/>
      <c r="I58"/>
      <c r="J58"/>
      <c r="K58" s="27"/>
      <c r="L58" s="28"/>
      <c r="M58" s="28"/>
      <c r="N58" s="28"/>
      <c r="O58" s="28"/>
      <c r="P58" s="28"/>
    </row>
    <row r="59" spans="1:16" ht="15.75">
      <c r="A59" s="148">
        <v>46</v>
      </c>
      <c r="B59" s="70">
        <v>2032303459</v>
      </c>
      <c r="C59" s="158" t="s">
        <v>117</v>
      </c>
      <c r="D59" s="184">
        <v>45</v>
      </c>
      <c r="E59"/>
      <c r="F59"/>
      <c r="G59"/>
      <c r="H59"/>
      <c r="I59"/>
      <c r="J59"/>
      <c r="K59" s="27"/>
      <c r="L59" s="28"/>
      <c r="M59" s="28"/>
      <c r="N59" s="28"/>
      <c r="O59" s="28"/>
      <c r="P59" s="28"/>
    </row>
    <row r="60" spans="1:16" ht="15.75">
      <c r="A60" s="148">
        <v>47</v>
      </c>
      <c r="B60" s="70">
        <v>2032303534</v>
      </c>
      <c r="C60" s="158" t="s">
        <v>191</v>
      </c>
      <c r="D60" s="184">
        <v>43</v>
      </c>
      <c r="E60"/>
      <c r="F60"/>
      <c r="G60"/>
      <c r="H60"/>
      <c r="I60"/>
      <c r="J60"/>
      <c r="K60" s="27"/>
      <c r="L60" s="28"/>
      <c r="M60" s="28"/>
      <c r="N60" s="28"/>
      <c r="O60" s="28"/>
      <c r="P60" s="28"/>
    </row>
    <row r="61" spans="1:16" ht="15.75">
      <c r="A61" s="148">
        <v>48</v>
      </c>
      <c r="B61" s="70">
        <v>2032303488</v>
      </c>
      <c r="C61" s="158" t="s">
        <v>146</v>
      </c>
      <c r="D61" s="184">
        <v>43</v>
      </c>
      <c r="E61"/>
      <c r="F61"/>
      <c r="G61"/>
      <c r="H61"/>
      <c r="I61"/>
      <c r="J61"/>
      <c r="K61" s="27"/>
      <c r="L61" s="28"/>
      <c r="M61" s="28"/>
      <c r="N61" s="28"/>
      <c r="O61" s="28"/>
      <c r="P61" s="28"/>
    </row>
    <row r="62" spans="1:16" ht="15.75">
      <c r="A62" s="148">
        <v>49</v>
      </c>
      <c r="B62" s="70">
        <v>2032303523</v>
      </c>
      <c r="C62" s="158" t="s">
        <v>180</v>
      </c>
      <c r="D62" s="184">
        <v>42</v>
      </c>
      <c r="E62"/>
      <c r="F62"/>
      <c r="G62"/>
      <c r="H62"/>
      <c r="I62"/>
      <c r="J62"/>
      <c r="K62" s="27"/>
      <c r="L62" s="28"/>
      <c r="M62" s="28"/>
      <c r="N62" s="28"/>
      <c r="O62" s="28"/>
      <c r="P62" s="28"/>
    </row>
    <row r="63" spans="1:16" ht="15.75">
      <c r="A63" s="148">
        <v>50</v>
      </c>
      <c r="B63" s="70">
        <v>2032303466</v>
      </c>
      <c r="C63" s="158" t="s">
        <v>124</v>
      </c>
      <c r="D63" s="184">
        <v>43</v>
      </c>
      <c r="E63"/>
      <c r="F63"/>
      <c r="G63"/>
      <c r="H63"/>
      <c r="I63"/>
      <c r="J63"/>
      <c r="K63" s="27"/>
      <c r="L63" s="28"/>
      <c r="M63" s="28"/>
      <c r="N63" s="28"/>
      <c r="O63" s="28"/>
      <c r="P63" s="28"/>
    </row>
    <row r="64" spans="1:16" ht="15.75">
      <c r="A64" s="148">
        <v>51</v>
      </c>
      <c r="B64" s="70">
        <v>2032303522</v>
      </c>
      <c r="C64" s="158" t="s">
        <v>179</v>
      </c>
      <c r="D64" s="184">
        <v>45</v>
      </c>
      <c r="E64"/>
      <c r="F64"/>
      <c r="G64"/>
      <c r="H64"/>
      <c r="I64"/>
      <c r="J64"/>
      <c r="K64" s="27"/>
      <c r="L64" s="28"/>
      <c r="M64" s="28"/>
      <c r="N64" s="28"/>
      <c r="O64" s="28"/>
      <c r="P64" s="28"/>
    </row>
    <row r="65" spans="1:16" ht="15.75">
      <c r="A65" s="148">
        <v>52</v>
      </c>
      <c r="B65" s="70">
        <v>2032303518</v>
      </c>
      <c r="C65" s="158" t="s">
        <v>175</v>
      </c>
      <c r="D65" s="184">
        <v>42</v>
      </c>
      <c r="E65"/>
      <c r="F65"/>
      <c r="G65"/>
      <c r="H65"/>
      <c r="I65"/>
      <c r="J65"/>
      <c r="K65" s="27"/>
      <c r="L65" s="28"/>
      <c r="M65" s="28"/>
      <c r="N65" s="28"/>
      <c r="O65" s="28"/>
      <c r="P65" s="28"/>
    </row>
    <row r="66" spans="1:16" ht="15.75">
      <c r="A66" s="148">
        <v>53</v>
      </c>
      <c r="B66" s="70">
        <v>2032303485</v>
      </c>
      <c r="C66" s="158" t="s">
        <v>143</v>
      </c>
      <c r="D66" s="184">
        <v>43</v>
      </c>
      <c r="E66"/>
      <c r="F66"/>
      <c r="G66"/>
      <c r="H66"/>
      <c r="I66"/>
      <c r="J66"/>
      <c r="K66" s="27"/>
      <c r="L66" s="28"/>
      <c r="M66" s="28"/>
      <c r="N66" s="28"/>
      <c r="O66" s="28"/>
      <c r="P66" s="28"/>
    </row>
    <row r="67" spans="1:16" ht="15.75">
      <c r="A67" s="148">
        <v>54</v>
      </c>
      <c r="B67" s="70">
        <v>2032303551</v>
      </c>
      <c r="C67" s="158" t="s">
        <v>208</v>
      </c>
      <c r="D67" s="184">
        <v>42</v>
      </c>
      <c r="E67"/>
      <c r="F67"/>
      <c r="G67"/>
      <c r="H67"/>
      <c r="I67"/>
      <c r="J67"/>
      <c r="K67" s="27"/>
      <c r="L67" s="28"/>
      <c r="M67" s="28"/>
      <c r="N67" s="28"/>
      <c r="O67" s="28"/>
      <c r="P67" s="28"/>
    </row>
    <row r="68" spans="1:16" ht="15.75">
      <c r="A68" s="148">
        <v>55</v>
      </c>
      <c r="B68" s="70">
        <v>2032303453</v>
      </c>
      <c r="C68" s="158" t="s">
        <v>111</v>
      </c>
      <c r="D68" s="184">
        <v>43</v>
      </c>
      <c r="E68"/>
      <c r="F68"/>
      <c r="G68"/>
      <c r="H68"/>
      <c r="I68"/>
      <c r="J68"/>
      <c r="K68" s="27"/>
      <c r="L68" s="28"/>
      <c r="M68" s="28"/>
      <c r="N68" s="28"/>
      <c r="O68" s="28"/>
      <c r="P68" s="28"/>
    </row>
    <row r="69" spans="1:16" ht="15.75">
      <c r="A69" s="148">
        <v>56</v>
      </c>
      <c r="B69" s="70">
        <v>2032303541</v>
      </c>
      <c r="C69" s="158" t="s">
        <v>198</v>
      </c>
      <c r="D69" s="184">
        <v>41</v>
      </c>
      <c r="E69"/>
      <c r="F69"/>
      <c r="G69"/>
      <c r="H69"/>
      <c r="I69"/>
      <c r="J69"/>
      <c r="K69" s="27"/>
      <c r="L69" s="28"/>
      <c r="M69" s="28"/>
      <c r="N69" s="28"/>
      <c r="O69" s="28"/>
      <c r="P69" s="28"/>
    </row>
    <row r="70" spans="1:16" ht="15.75">
      <c r="A70" s="148">
        <v>57</v>
      </c>
      <c r="B70" s="70">
        <v>2032303473</v>
      </c>
      <c r="C70" s="158" t="s">
        <v>131</v>
      </c>
      <c r="D70" s="184">
        <v>42</v>
      </c>
      <c r="E70"/>
      <c r="F70"/>
      <c r="G70"/>
      <c r="H70"/>
      <c r="I70"/>
      <c r="J70"/>
      <c r="K70" s="27"/>
      <c r="L70" s="28"/>
      <c r="M70" s="28"/>
      <c r="N70" s="28"/>
      <c r="O70" s="28"/>
      <c r="P70" s="28"/>
    </row>
    <row r="71" spans="1:16" ht="15.6" customHeight="1">
      <c r="A71" s="148">
        <v>58</v>
      </c>
      <c r="B71" s="70">
        <v>2032303550</v>
      </c>
      <c r="C71" s="158" t="s">
        <v>207</v>
      </c>
      <c r="D71" s="184">
        <v>43</v>
      </c>
      <c r="E71"/>
      <c r="F71"/>
      <c r="G71"/>
      <c r="H71"/>
      <c r="I71"/>
      <c r="J71"/>
      <c r="K71" s="27"/>
      <c r="L71" s="28"/>
      <c r="M71" s="28"/>
      <c r="N71" s="28"/>
      <c r="O71" s="28"/>
      <c r="P71" s="28"/>
    </row>
    <row r="72" spans="1:16" ht="15.6" customHeight="1">
      <c r="A72" s="148">
        <v>59</v>
      </c>
      <c r="B72" s="70">
        <v>2032303496</v>
      </c>
      <c r="C72" s="158" t="s">
        <v>154</v>
      </c>
      <c r="D72" s="184">
        <v>43</v>
      </c>
      <c r="E72"/>
      <c r="F72"/>
      <c r="G72"/>
      <c r="H72"/>
      <c r="I72"/>
      <c r="J72"/>
      <c r="K72" s="27"/>
      <c r="L72" s="28"/>
      <c r="M72" s="28"/>
      <c r="N72" s="28"/>
      <c r="O72" s="28"/>
      <c r="P72" s="28"/>
    </row>
    <row r="73" spans="1:16" ht="15.6" customHeight="1">
      <c r="A73" s="148">
        <v>60</v>
      </c>
      <c r="B73" s="70">
        <v>2032303457</v>
      </c>
      <c r="C73" s="158" t="s">
        <v>115</v>
      </c>
      <c r="D73" s="184">
        <v>41</v>
      </c>
      <c r="E73"/>
      <c r="F73"/>
      <c r="G73"/>
      <c r="H73"/>
      <c r="I73"/>
      <c r="J73"/>
      <c r="K73" s="27"/>
      <c r="L73" s="28"/>
      <c r="M73" s="28"/>
      <c r="N73" s="28"/>
      <c r="O73" s="28"/>
      <c r="P73" s="28"/>
    </row>
    <row r="74" spans="1:16" ht="15.6" customHeight="1">
      <c r="A74" s="148">
        <v>61</v>
      </c>
      <c r="B74" s="70">
        <v>2032303499</v>
      </c>
      <c r="C74" s="158" t="s">
        <v>157</v>
      </c>
      <c r="D74" s="184">
        <v>43</v>
      </c>
      <c r="E74"/>
      <c r="F74"/>
      <c r="G74"/>
      <c r="H74"/>
      <c r="I74"/>
      <c r="J74"/>
      <c r="K74" s="27"/>
      <c r="L74" s="28"/>
      <c r="M74" s="28"/>
      <c r="N74" s="28"/>
      <c r="O74" s="28"/>
      <c r="P74" s="28"/>
    </row>
    <row r="75" spans="1:16" ht="15.6" customHeight="1">
      <c r="A75" s="148">
        <v>62</v>
      </c>
      <c r="B75" s="70">
        <v>2032303474</v>
      </c>
      <c r="C75" s="158" t="s">
        <v>132</v>
      </c>
      <c r="D75" s="184">
        <v>42</v>
      </c>
      <c r="E75"/>
      <c r="F75"/>
      <c r="G75"/>
      <c r="H75"/>
      <c r="I75"/>
      <c r="J75"/>
      <c r="K75" s="27"/>
      <c r="L75" s="28"/>
      <c r="M75" s="28"/>
      <c r="N75" s="28"/>
      <c r="O75" s="28"/>
      <c r="P75" s="28"/>
    </row>
    <row r="76" spans="1:16" ht="15.6" customHeight="1">
      <c r="A76" s="148">
        <v>63</v>
      </c>
      <c r="B76" s="70">
        <v>2032303547</v>
      </c>
      <c r="C76" s="158" t="s">
        <v>204</v>
      </c>
      <c r="D76" s="184">
        <v>45</v>
      </c>
      <c r="E76"/>
      <c r="F76"/>
      <c r="G76"/>
      <c r="H76"/>
      <c r="I76"/>
      <c r="J76"/>
      <c r="K76" s="27"/>
      <c r="L76" s="28"/>
      <c r="M76" s="28"/>
      <c r="N76" s="28"/>
      <c r="O76" s="28"/>
      <c r="P76" s="28"/>
    </row>
    <row r="77" spans="1:16" ht="15.6" customHeight="1">
      <c r="A77" s="148">
        <v>64</v>
      </c>
      <c r="B77" s="70">
        <v>2032303512</v>
      </c>
      <c r="C77" s="158" t="s">
        <v>169</v>
      </c>
      <c r="D77" s="184">
        <v>42</v>
      </c>
      <c r="E77"/>
      <c r="F77"/>
      <c r="G77"/>
      <c r="H77"/>
      <c r="I77"/>
      <c r="J77"/>
      <c r="K77" s="27"/>
      <c r="L77" s="28"/>
      <c r="M77" s="28"/>
      <c r="N77" s="28"/>
      <c r="O77" s="28"/>
      <c r="P77" s="28"/>
    </row>
    <row r="78" spans="1:16" ht="15.6" customHeight="1">
      <c r="A78" s="148">
        <v>65</v>
      </c>
      <c r="B78" s="70">
        <v>2032303458</v>
      </c>
      <c r="C78" s="158" t="s">
        <v>116</v>
      </c>
      <c r="D78" s="184">
        <v>43</v>
      </c>
      <c r="E78"/>
      <c r="F78"/>
      <c r="G78"/>
      <c r="H78"/>
      <c r="I78"/>
      <c r="J78"/>
      <c r="K78" s="27"/>
      <c r="L78" s="28"/>
      <c r="M78" s="28"/>
      <c r="N78" s="28"/>
      <c r="O78" s="28"/>
      <c r="P78" s="28"/>
    </row>
    <row r="79" spans="1:16" ht="15.6" customHeight="1">
      <c r="A79" s="148">
        <v>66</v>
      </c>
      <c r="B79" s="70">
        <v>2032303456</v>
      </c>
      <c r="C79" s="158" t="s">
        <v>114</v>
      </c>
      <c r="D79" s="184">
        <v>43</v>
      </c>
      <c r="E79"/>
      <c r="F79"/>
      <c r="G79"/>
      <c r="H79"/>
      <c r="I79"/>
      <c r="J79"/>
      <c r="K79" s="27"/>
      <c r="L79" s="28"/>
      <c r="M79" s="28"/>
      <c r="N79" s="28"/>
      <c r="O79" s="28"/>
      <c r="P79" s="28"/>
    </row>
    <row r="80" spans="1:16" ht="15.6" customHeight="1">
      <c r="A80" s="148">
        <v>67</v>
      </c>
      <c r="B80" s="70">
        <v>2032303451</v>
      </c>
      <c r="C80" s="158" t="s">
        <v>109</v>
      </c>
      <c r="D80" s="184">
        <v>42</v>
      </c>
      <c r="E80"/>
      <c r="F80"/>
      <c r="G80"/>
      <c r="H80"/>
      <c r="I80"/>
      <c r="J80"/>
      <c r="K80" s="27"/>
      <c r="L80" s="28"/>
      <c r="M80" s="28"/>
      <c r="N80" s="28"/>
      <c r="O80" s="28"/>
      <c r="P80" s="28"/>
    </row>
    <row r="81" spans="1:16" ht="15.6" customHeight="1">
      <c r="A81" s="148">
        <v>68</v>
      </c>
      <c r="B81" s="70">
        <v>2032303511</v>
      </c>
      <c r="C81" s="158" t="s">
        <v>168</v>
      </c>
      <c r="D81" s="184">
        <v>44</v>
      </c>
      <c r="E81"/>
      <c r="F81"/>
      <c r="G81"/>
      <c r="H81"/>
      <c r="I81"/>
      <c r="J81"/>
      <c r="K81" s="27"/>
      <c r="L81" s="28"/>
      <c r="M81" s="28"/>
      <c r="N81" s="28"/>
      <c r="O81" s="28"/>
      <c r="P81" s="28"/>
    </row>
    <row r="82" spans="1:16" ht="15.6" customHeight="1">
      <c r="A82" s="148">
        <v>69</v>
      </c>
      <c r="B82" s="70">
        <v>2032303477</v>
      </c>
      <c r="C82" s="158" t="s">
        <v>135</v>
      </c>
      <c r="D82" s="184">
        <v>45</v>
      </c>
      <c r="E82"/>
      <c r="F82"/>
      <c r="G82"/>
      <c r="H82"/>
      <c r="I82"/>
      <c r="J82"/>
      <c r="K82" s="27"/>
      <c r="L82" s="28"/>
      <c r="M82" s="28"/>
      <c r="N82" s="28"/>
      <c r="O82" s="28"/>
      <c r="P82" s="28"/>
    </row>
    <row r="83" spans="1:16" ht="15.6" customHeight="1">
      <c r="A83" s="148">
        <v>70</v>
      </c>
      <c r="B83" s="70">
        <v>2032303536</v>
      </c>
      <c r="C83" s="158" t="s">
        <v>193</v>
      </c>
      <c r="D83" s="184">
        <v>43</v>
      </c>
      <c r="E83"/>
      <c r="F83"/>
      <c r="G83"/>
      <c r="H83"/>
      <c r="I83"/>
      <c r="J83"/>
      <c r="K83" s="27"/>
      <c r="L83" s="28"/>
      <c r="M83" s="28"/>
      <c r="N83" s="28"/>
      <c r="O83" s="28"/>
      <c r="P83" s="28"/>
    </row>
    <row r="84" spans="1:16" ht="15.6" customHeight="1">
      <c r="A84" s="148">
        <v>71</v>
      </c>
      <c r="B84" s="70">
        <v>2032303527</v>
      </c>
      <c r="C84" s="158" t="s">
        <v>184</v>
      </c>
      <c r="D84" s="184">
        <v>44</v>
      </c>
      <c r="E84"/>
      <c r="F84"/>
      <c r="G84"/>
      <c r="H84"/>
      <c r="I84"/>
      <c r="J84"/>
      <c r="K84" s="27"/>
      <c r="L84" s="28"/>
      <c r="M84" s="28"/>
      <c r="N84" s="28"/>
      <c r="O84" s="28"/>
      <c r="P84" s="28"/>
    </row>
    <row r="85" spans="1:16" ht="15.6" customHeight="1">
      <c r="A85" s="148">
        <v>72</v>
      </c>
      <c r="B85" s="70">
        <v>2032303525</v>
      </c>
      <c r="C85" s="158" t="s">
        <v>182</v>
      </c>
      <c r="D85" s="184">
        <v>42</v>
      </c>
      <c r="E85"/>
      <c r="F85"/>
      <c r="G85"/>
      <c r="H85"/>
      <c r="I85"/>
      <c r="J85"/>
      <c r="K85" s="27"/>
      <c r="L85" s="28"/>
      <c r="M85" s="28"/>
      <c r="N85" s="28"/>
      <c r="O85" s="28"/>
      <c r="P85" s="28"/>
    </row>
    <row r="86" spans="1:16" ht="15.6" customHeight="1">
      <c r="A86" s="148">
        <v>73</v>
      </c>
      <c r="B86" s="70">
        <v>2032303468</v>
      </c>
      <c r="C86" s="158" t="s">
        <v>126</v>
      </c>
      <c r="D86" s="184">
        <v>44</v>
      </c>
      <c r="E86"/>
      <c r="F86"/>
      <c r="G86"/>
      <c r="H86"/>
      <c r="I86"/>
      <c r="J86"/>
      <c r="K86" s="27"/>
      <c r="L86" s="28"/>
      <c r="M86" s="28"/>
      <c r="N86" s="28"/>
      <c r="O86" s="28"/>
      <c r="P86" s="28"/>
    </row>
    <row r="87" spans="1:16" ht="15.6" customHeight="1">
      <c r="A87" s="148">
        <v>74</v>
      </c>
      <c r="B87" s="70">
        <v>2032303504</v>
      </c>
      <c r="C87" s="158" t="s">
        <v>162</v>
      </c>
      <c r="D87" s="184">
        <v>43</v>
      </c>
      <c r="E87"/>
      <c r="F87"/>
      <c r="G87"/>
      <c r="H87"/>
      <c r="I87"/>
      <c r="J87"/>
      <c r="K87" s="27"/>
      <c r="L87" s="28"/>
      <c r="M87" s="28"/>
      <c r="N87" s="28"/>
      <c r="O87" s="28"/>
      <c r="P87" s="28"/>
    </row>
    <row r="88" spans="1:16" ht="15.6" customHeight="1">
      <c r="A88" s="148">
        <v>75</v>
      </c>
      <c r="B88" s="70">
        <v>2032303475</v>
      </c>
      <c r="C88" s="158" t="s">
        <v>133</v>
      </c>
      <c r="D88" s="184">
        <v>45</v>
      </c>
      <c r="E88"/>
      <c r="F88"/>
      <c r="G88"/>
      <c r="H88"/>
      <c r="I88"/>
      <c r="J88"/>
      <c r="K88" s="27"/>
      <c r="L88" s="28"/>
      <c r="M88" s="28"/>
      <c r="N88" s="28"/>
      <c r="O88" s="28"/>
      <c r="P88" s="28"/>
    </row>
    <row r="89" spans="1:16" ht="15.6" customHeight="1">
      <c r="A89" s="148">
        <v>76</v>
      </c>
      <c r="B89" s="70">
        <v>2032303517</v>
      </c>
      <c r="C89" s="158" t="s">
        <v>174</v>
      </c>
      <c r="D89" s="184">
        <v>45</v>
      </c>
      <c r="E89"/>
      <c r="F89"/>
      <c r="G89"/>
      <c r="H89"/>
      <c r="I89"/>
      <c r="J89"/>
      <c r="K89" s="27"/>
      <c r="L89" s="28"/>
      <c r="M89" s="28"/>
      <c r="N89" s="28"/>
      <c r="O89" s="28"/>
      <c r="P89" s="28"/>
    </row>
    <row r="90" spans="1:16" ht="15.6" customHeight="1">
      <c r="A90" s="148">
        <v>77</v>
      </c>
      <c r="B90" s="70">
        <v>2032303552</v>
      </c>
      <c r="C90" s="158" t="s">
        <v>209</v>
      </c>
      <c r="D90" s="184">
        <v>45</v>
      </c>
      <c r="E90"/>
      <c r="F90"/>
      <c r="G90"/>
      <c r="H90"/>
      <c r="I90"/>
      <c r="J90"/>
      <c r="K90" s="27"/>
      <c r="L90" s="28"/>
      <c r="M90" s="28"/>
      <c r="N90" s="28"/>
      <c r="O90" s="28"/>
      <c r="P90" s="28"/>
    </row>
    <row r="91" spans="1:16" ht="15.6" customHeight="1">
      <c r="A91" s="148">
        <v>78</v>
      </c>
      <c r="B91" s="70">
        <v>2032303498</v>
      </c>
      <c r="C91" s="158" t="s">
        <v>156</v>
      </c>
      <c r="D91" s="184">
        <v>44</v>
      </c>
      <c r="E91"/>
      <c r="F91"/>
      <c r="G91"/>
      <c r="H91"/>
      <c r="I91"/>
      <c r="J91"/>
      <c r="K91" s="27"/>
      <c r="L91" s="28"/>
      <c r="M91" s="28"/>
      <c r="N91" s="28"/>
      <c r="O91" s="28"/>
      <c r="P91" s="28"/>
    </row>
    <row r="92" spans="1:16" ht="15.6" customHeight="1">
      <c r="A92" s="148">
        <v>79</v>
      </c>
      <c r="B92" s="70">
        <v>2032303510</v>
      </c>
      <c r="C92" s="158" t="s">
        <v>167</v>
      </c>
      <c r="D92" s="184">
        <v>44</v>
      </c>
      <c r="E92"/>
      <c r="F92"/>
      <c r="G92"/>
      <c r="H92"/>
      <c r="I92"/>
      <c r="J92"/>
      <c r="K92" s="27"/>
      <c r="L92" s="28"/>
      <c r="M92" s="28"/>
      <c r="N92" s="28"/>
      <c r="O92" s="28"/>
      <c r="P92" s="28"/>
    </row>
    <row r="93" spans="1:16" ht="15.6" customHeight="1">
      <c r="A93" s="148">
        <v>80</v>
      </c>
      <c r="B93" s="70">
        <v>2032303532</v>
      </c>
      <c r="C93" s="158" t="s">
        <v>189</v>
      </c>
      <c r="D93" s="184">
        <v>42</v>
      </c>
      <c r="E93"/>
      <c r="F93"/>
      <c r="G93"/>
      <c r="H93"/>
      <c r="I93"/>
      <c r="J93"/>
      <c r="K93" s="27"/>
      <c r="L93" s="28"/>
      <c r="M93" s="28"/>
      <c r="N93" s="28"/>
      <c r="O93" s="28"/>
      <c r="P93" s="28"/>
    </row>
    <row r="94" spans="1:16" ht="15.6" customHeight="1">
      <c r="A94" s="148">
        <v>81</v>
      </c>
      <c r="B94" s="70">
        <v>2032303489</v>
      </c>
      <c r="C94" s="158" t="s">
        <v>147</v>
      </c>
      <c r="D94" s="184">
        <v>43</v>
      </c>
      <c r="E94"/>
      <c r="F94"/>
      <c r="G94"/>
      <c r="H94"/>
      <c r="I94"/>
      <c r="J94"/>
      <c r="K94" s="27"/>
      <c r="L94" s="28"/>
      <c r="M94" s="28"/>
      <c r="N94" s="28"/>
      <c r="O94" s="28"/>
      <c r="P94" s="28"/>
    </row>
    <row r="95" spans="1:16" ht="15.6" customHeight="1">
      <c r="A95" s="148">
        <v>82</v>
      </c>
      <c r="B95" s="70">
        <v>2032303520</v>
      </c>
      <c r="C95" s="158" t="s">
        <v>177</v>
      </c>
      <c r="D95" s="184">
        <v>46</v>
      </c>
      <c r="E95"/>
      <c r="F95"/>
      <c r="G95"/>
      <c r="H95"/>
      <c r="I95"/>
      <c r="J95"/>
      <c r="K95" s="27"/>
      <c r="L95" s="28"/>
      <c r="M95" s="28"/>
      <c r="N95" s="28"/>
      <c r="O95" s="28"/>
      <c r="P95" s="28"/>
    </row>
    <row r="96" spans="1:16" ht="15.6" customHeight="1">
      <c r="A96" s="148">
        <v>83</v>
      </c>
      <c r="B96" s="70">
        <v>2032303452</v>
      </c>
      <c r="C96" s="158" t="s">
        <v>110</v>
      </c>
      <c r="D96" s="184">
        <v>43</v>
      </c>
      <c r="E96"/>
      <c r="F96"/>
      <c r="G96"/>
      <c r="H96"/>
      <c r="I96"/>
      <c r="J96"/>
      <c r="K96" s="27"/>
      <c r="L96" s="28"/>
      <c r="M96" s="28"/>
      <c r="N96" s="28"/>
      <c r="O96" s="28"/>
      <c r="P96" s="28"/>
    </row>
    <row r="97" spans="1:16" ht="15.6" customHeight="1">
      <c r="A97" s="148">
        <v>84</v>
      </c>
      <c r="B97" s="70">
        <v>2032303493</v>
      </c>
      <c r="C97" s="158" t="s">
        <v>151</v>
      </c>
      <c r="D97" s="184">
        <v>43</v>
      </c>
      <c r="E97"/>
      <c r="F97"/>
      <c r="G97"/>
      <c r="H97"/>
      <c r="I97"/>
      <c r="J97"/>
      <c r="K97" s="27"/>
      <c r="L97" s="28"/>
      <c r="M97" s="28"/>
      <c r="N97" s="28"/>
      <c r="O97" s="28"/>
      <c r="P97" s="28"/>
    </row>
    <row r="98" spans="1:16" ht="15.6" customHeight="1">
      <c r="A98" s="148">
        <v>85</v>
      </c>
      <c r="B98" s="70">
        <v>2032303554</v>
      </c>
      <c r="C98" s="158" t="s">
        <v>211</v>
      </c>
      <c r="D98" s="184">
        <v>42</v>
      </c>
      <c r="E98"/>
      <c r="F98"/>
      <c r="G98"/>
      <c r="H98"/>
      <c r="I98"/>
      <c r="J98"/>
      <c r="K98" s="27"/>
      <c r="L98" s="28"/>
      <c r="M98" s="28"/>
      <c r="N98" s="28"/>
      <c r="O98" s="28"/>
      <c r="P98" s="28"/>
    </row>
    <row r="99" spans="1:16" ht="15.6" customHeight="1">
      <c r="A99" s="148">
        <v>86</v>
      </c>
      <c r="B99" s="70">
        <v>2032303507</v>
      </c>
      <c r="C99" s="158" t="s">
        <v>164</v>
      </c>
      <c r="D99" s="184">
        <v>42</v>
      </c>
      <c r="E99"/>
      <c r="F99"/>
      <c r="G99"/>
      <c r="H99"/>
      <c r="I99"/>
      <c r="J99"/>
      <c r="K99" s="27"/>
      <c r="L99" s="28"/>
      <c r="M99" s="28"/>
      <c r="N99" s="28"/>
      <c r="O99" s="28"/>
      <c r="P99" s="28"/>
    </row>
    <row r="100" spans="1:16" ht="15.6" customHeight="1">
      <c r="A100" s="148">
        <v>87</v>
      </c>
      <c r="B100" s="70">
        <v>2032303467</v>
      </c>
      <c r="C100" s="158" t="s">
        <v>125</v>
      </c>
      <c r="D100" s="184">
        <v>43</v>
      </c>
      <c r="E100"/>
      <c r="F100"/>
      <c r="G100"/>
      <c r="H100"/>
      <c r="I100"/>
      <c r="J100"/>
      <c r="K100" s="27"/>
      <c r="L100" s="28"/>
      <c r="M100" s="28"/>
      <c r="N100" s="28"/>
      <c r="O100" s="28"/>
      <c r="P100" s="28"/>
    </row>
    <row r="101" spans="1:16" ht="15.6" customHeight="1">
      <c r="A101" s="148">
        <v>88</v>
      </c>
      <c r="B101" s="70">
        <v>2032303544</v>
      </c>
      <c r="C101" s="158" t="s">
        <v>201</v>
      </c>
      <c r="D101" s="184">
        <v>42</v>
      </c>
      <c r="E101"/>
      <c r="F101"/>
      <c r="G101"/>
      <c r="H101"/>
      <c r="I101"/>
      <c r="J101"/>
      <c r="K101" s="27"/>
      <c r="L101" s="28"/>
      <c r="M101" s="28"/>
      <c r="N101" s="28"/>
      <c r="O101" s="28"/>
      <c r="P101" s="28"/>
    </row>
    <row r="102" spans="1:16" ht="15.6" customHeight="1">
      <c r="A102" s="148">
        <v>89</v>
      </c>
      <c r="B102" s="70">
        <v>2032303514</v>
      </c>
      <c r="C102" s="158" t="s">
        <v>171</v>
      </c>
      <c r="D102" s="184">
        <v>42</v>
      </c>
      <c r="E102"/>
      <c r="F102"/>
      <c r="G102"/>
      <c r="H102"/>
      <c r="I102"/>
      <c r="J102"/>
      <c r="K102" s="27"/>
      <c r="L102" s="28"/>
      <c r="M102" s="28"/>
      <c r="N102" s="28"/>
      <c r="O102" s="28"/>
      <c r="P102" s="28"/>
    </row>
    <row r="103" spans="1:16" ht="15.6" customHeight="1">
      <c r="A103" s="148">
        <v>90</v>
      </c>
      <c r="B103" s="70">
        <v>2032303501</v>
      </c>
      <c r="C103" s="158" t="s">
        <v>159</v>
      </c>
      <c r="D103" s="184">
        <v>45</v>
      </c>
      <c r="E103"/>
      <c r="F103"/>
      <c r="G103"/>
      <c r="H103"/>
      <c r="I103"/>
      <c r="J103"/>
      <c r="K103" s="27"/>
      <c r="L103" s="28"/>
      <c r="M103" s="28"/>
      <c r="N103" s="28"/>
      <c r="O103" s="28"/>
      <c r="P103" s="28"/>
    </row>
    <row r="104" spans="1:16" ht="15.6" customHeight="1">
      <c r="A104" s="148">
        <v>91</v>
      </c>
      <c r="B104" s="70">
        <v>2032303461</v>
      </c>
      <c r="C104" s="158" t="s">
        <v>119</v>
      </c>
      <c r="D104" s="184">
        <v>43</v>
      </c>
      <c r="E104"/>
      <c r="F104"/>
      <c r="G104"/>
      <c r="H104"/>
      <c r="I104"/>
      <c r="J104"/>
      <c r="K104" s="27"/>
      <c r="L104" s="28"/>
      <c r="M104" s="28"/>
      <c r="N104" s="28"/>
      <c r="O104" s="28"/>
      <c r="P104" s="28"/>
    </row>
    <row r="105" spans="1:16" ht="15.6" customHeight="1">
      <c r="A105" s="148">
        <v>92</v>
      </c>
      <c r="B105" s="70">
        <v>2032303305</v>
      </c>
      <c r="C105" s="158" t="s">
        <v>108</v>
      </c>
      <c r="D105" s="184">
        <v>42</v>
      </c>
      <c r="E105"/>
      <c r="F105"/>
      <c r="G105"/>
      <c r="H105"/>
      <c r="I105"/>
      <c r="J105"/>
      <c r="K105" s="27"/>
      <c r="L105" s="28"/>
      <c r="M105" s="28"/>
      <c r="N105" s="28"/>
      <c r="O105" s="28"/>
      <c r="P105" s="28"/>
    </row>
    <row r="106" spans="1:16" ht="15.6" customHeight="1">
      <c r="A106" s="148">
        <v>93</v>
      </c>
      <c r="B106" s="70">
        <v>2032303531</v>
      </c>
      <c r="C106" s="158" t="s">
        <v>188</v>
      </c>
      <c r="D106" s="184">
        <v>45</v>
      </c>
      <c r="E106"/>
      <c r="F106"/>
      <c r="G106"/>
      <c r="H106"/>
      <c r="I106"/>
      <c r="J106"/>
      <c r="K106" s="27"/>
      <c r="L106" s="28"/>
      <c r="M106" s="28"/>
      <c r="N106" s="28"/>
      <c r="O106" s="28"/>
      <c r="P106" s="28"/>
    </row>
    <row r="107" spans="1:16" ht="15.6" customHeight="1">
      <c r="A107" s="148">
        <v>94</v>
      </c>
      <c r="B107" s="70">
        <v>2032303460</v>
      </c>
      <c r="C107" s="158" t="s">
        <v>118</v>
      </c>
      <c r="D107" s="184">
        <v>42</v>
      </c>
      <c r="E107"/>
      <c r="F107"/>
      <c r="G107"/>
      <c r="H107"/>
      <c r="I107"/>
      <c r="J107"/>
      <c r="K107" s="27"/>
      <c r="L107" s="28"/>
      <c r="M107" s="28"/>
      <c r="N107" s="28"/>
      <c r="O107" s="28"/>
      <c r="P107" s="28"/>
    </row>
    <row r="108" spans="1:16" ht="15.6" customHeight="1">
      <c r="A108" s="148">
        <v>95</v>
      </c>
      <c r="B108" s="70">
        <v>2032303533</v>
      </c>
      <c r="C108" s="158" t="s">
        <v>190</v>
      </c>
      <c r="D108" s="184">
        <v>47</v>
      </c>
      <c r="E108"/>
      <c r="F108"/>
      <c r="G108"/>
      <c r="H108"/>
      <c r="I108"/>
      <c r="J108"/>
      <c r="K108" s="27"/>
      <c r="L108" s="28"/>
      <c r="M108" s="28"/>
      <c r="N108" s="28"/>
      <c r="O108" s="28"/>
      <c r="P108" s="28"/>
    </row>
    <row r="109" spans="1:16" ht="15.6" customHeight="1">
      <c r="A109" s="148">
        <v>96</v>
      </c>
      <c r="B109" s="70">
        <v>2032303471</v>
      </c>
      <c r="C109" s="158" t="s">
        <v>129</v>
      </c>
      <c r="D109" s="184">
        <v>41</v>
      </c>
      <c r="E109"/>
      <c r="F109"/>
      <c r="G109"/>
      <c r="H109"/>
      <c r="I109"/>
      <c r="J109"/>
      <c r="K109" s="27"/>
      <c r="L109" s="28"/>
      <c r="M109" s="28"/>
      <c r="N109" s="28"/>
      <c r="O109" s="28"/>
      <c r="P109" s="28"/>
    </row>
    <row r="110" spans="1:16" ht="15.6" customHeight="1">
      <c r="A110" s="148">
        <v>97</v>
      </c>
      <c r="B110" s="70">
        <v>2032303546</v>
      </c>
      <c r="C110" s="158" t="s">
        <v>203</v>
      </c>
      <c r="D110" s="184">
        <v>42</v>
      </c>
      <c r="E110"/>
      <c r="F110"/>
      <c r="G110"/>
      <c r="H110"/>
      <c r="I110"/>
      <c r="J110"/>
      <c r="K110" s="27"/>
      <c r="L110" s="28"/>
      <c r="M110" s="28"/>
      <c r="N110" s="28"/>
      <c r="O110" s="28"/>
      <c r="P110" s="28"/>
    </row>
    <row r="111" spans="1:16" ht="15.6" customHeight="1">
      <c r="A111" s="148">
        <v>98</v>
      </c>
      <c r="B111" s="70">
        <v>2032303454</v>
      </c>
      <c r="C111" s="158" t="s">
        <v>112</v>
      </c>
      <c r="D111" s="184">
        <v>45</v>
      </c>
      <c r="E111"/>
      <c r="F111"/>
      <c r="G111"/>
      <c r="H111"/>
      <c r="I111"/>
      <c r="J111"/>
      <c r="K111" s="27"/>
      <c r="L111" s="28"/>
      <c r="M111" s="28"/>
      <c r="N111" s="28"/>
      <c r="O111" s="28"/>
      <c r="P111" s="28"/>
    </row>
    <row r="112" spans="1:16" ht="15.6" customHeight="1">
      <c r="A112" s="148">
        <v>99</v>
      </c>
      <c r="B112" s="70">
        <v>2032303521</v>
      </c>
      <c r="C112" s="158" t="s">
        <v>178</v>
      </c>
      <c r="D112" s="184">
        <v>43</v>
      </c>
      <c r="E112"/>
      <c r="F112"/>
      <c r="G112"/>
      <c r="H112"/>
      <c r="I112"/>
      <c r="J112"/>
      <c r="K112" s="27"/>
      <c r="L112" s="28"/>
      <c r="M112" s="28"/>
      <c r="N112" s="28"/>
      <c r="O112" s="28"/>
      <c r="P112" s="28"/>
    </row>
    <row r="113" spans="1:16" ht="15.6" customHeight="1">
      <c r="A113" s="148">
        <v>100</v>
      </c>
      <c r="B113" s="70">
        <v>2032303545</v>
      </c>
      <c r="C113" s="158" t="s">
        <v>202</v>
      </c>
      <c r="D113" s="184">
        <v>42</v>
      </c>
      <c r="E113"/>
      <c r="F113"/>
      <c r="G113"/>
      <c r="H113"/>
      <c r="I113"/>
      <c r="J113"/>
      <c r="K113" s="27"/>
      <c r="L113" s="28"/>
      <c r="M113" s="28"/>
      <c r="N113" s="28"/>
      <c r="O113" s="28"/>
      <c r="P113" s="28"/>
    </row>
    <row r="114" spans="1:16" ht="15.6" customHeight="1">
      <c r="A114" s="148">
        <v>101</v>
      </c>
      <c r="B114" s="70">
        <v>2032303543</v>
      </c>
      <c r="C114" s="158" t="s">
        <v>200</v>
      </c>
      <c r="D114" s="184">
        <v>0</v>
      </c>
      <c r="E114"/>
      <c r="F114"/>
      <c r="G114"/>
      <c r="H114"/>
      <c r="I114"/>
      <c r="J114"/>
      <c r="K114" s="27"/>
      <c r="L114" s="28"/>
      <c r="M114" s="28"/>
      <c r="N114" s="28"/>
      <c r="O114" s="28"/>
      <c r="P114" s="28"/>
    </row>
    <row r="115" spans="1:16" ht="15.6" customHeight="1">
      <c r="A115" s="148">
        <v>102</v>
      </c>
      <c r="B115" s="70">
        <v>2032303526</v>
      </c>
      <c r="C115" s="158" t="s">
        <v>183</v>
      </c>
      <c r="D115" s="184">
        <v>0</v>
      </c>
      <c r="E115"/>
      <c r="F115"/>
      <c r="G115"/>
      <c r="H115"/>
      <c r="I115"/>
      <c r="J115"/>
      <c r="K115" s="27"/>
      <c r="L115" s="28"/>
      <c r="M115" s="28"/>
      <c r="N115" s="28"/>
      <c r="O115" s="28"/>
      <c r="P115" s="28"/>
    </row>
    <row r="116" spans="1:16" ht="15.6" customHeight="1">
      <c r="A116" s="148">
        <v>103</v>
      </c>
      <c r="B116" s="70">
        <v>2032303557</v>
      </c>
      <c r="C116" s="158" t="s">
        <v>214</v>
      </c>
      <c r="D116" s="184">
        <v>0</v>
      </c>
      <c r="E116"/>
      <c r="F116"/>
      <c r="G116"/>
      <c r="H116"/>
      <c r="I116"/>
      <c r="J116"/>
      <c r="K116" s="27"/>
      <c r="L116" s="28"/>
      <c r="M116" s="28"/>
      <c r="N116" s="28"/>
      <c r="O116" s="28"/>
      <c r="P116" s="28"/>
    </row>
    <row r="117" spans="1:16" ht="15.6" customHeight="1">
      <c r="A117" s="148">
        <v>104</v>
      </c>
      <c r="B117" s="70">
        <v>2032303506</v>
      </c>
      <c r="C117" s="158" t="s">
        <v>163</v>
      </c>
      <c r="D117" s="184">
        <v>0</v>
      </c>
      <c r="E117"/>
      <c r="F117"/>
      <c r="G117"/>
      <c r="H117"/>
      <c r="I117"/>
      <c r="J117"/>
      <c r="K117" s="27"/>
      <c r="L117" s="28"/>
      <c r="M117" s="28"/>
      <c r="N117" s="28"/>
      <c r="O117" s="28"/>
      <c r="P117" s="28"/>
    </row>
    <row r="118" spans="1:16" ht="15.6" customHeight="1">
      <c r="A118" s="148">
        <v>105</v>
      </c>
      <c r="B118" s="70">
        <v>2032303537</v>
      </c>
      <c r="C118" s="158" t="s">
        <v>194</v>
      </c>
      <c r="D118" s="184">
        <v>0</v>
      </c>
      <c r="E118"/>
      <c r="F118"/>
      <c r="G118"/>
      <c r="H118"/>
      <c r="I118"/>
      <c r="J118"/>
      <c r="K118" s="27"/>
      <c r="L118" s="28"/>
      <c r="M118" s="28"/>
      <c r="N118" s="28"/>
      <c r="O118" s="28"/>
      <c r="P118" s="28"/>
    </row>
    <row r="119" spans="1:16" ht="15.75">
      <c r="A119" s="148">
        <v>106</v>
      </c>
      <c r="B119" s="70">
        <v>2032303558</v>
      </c>
      <c r="C119" s="158" t="s">
        <v>215</v>
      </c>
      <c r="D119" s="184">
        <v>45</v>
      </c>
      <c r="E119"/>
      <c r="F119"/>
      <c r="G119"/>
      <c r="H119"/>
      <c r="I119"/>
      <c r="J119"/>
      <c r="K119" s="27"/>
      <c r="L119" s="28"/>
      <c r="M119" s="28"/>
      <c r="N119" s="28"/>
      <c r="O119" s="28"/>
      <c r="P119" s="28"/>
    </row>
    <row r="120" spans="1:16" ht="15.75">
      <c r="A120" s="148">
        <v>107</v>
      </c>
      <c r="B120" s="70">
        <v>2032303553</v>
      </c>
      <c r="C120" s="158" t="s">
        <v>210</v>
      </c>
      <c r="D120" s="184">
        <v>41</v>
      </c>
      <c r="E120"/>
      <c r="F120"/>
      <c r="G120"/>
      <c r="H120"/>
      <c r="I120"/>
      <c r="J120"/>
      <c r="K120" s="27"/>
      <c r="L120" s="28"/>
      <c r="M120" s="28"/>
      <c r="N120" s="28"/>
      <c r="O120" s="28"/>
      <c r="P120" s="28"/>
    </row>
    <row r="121" spans="1:16" ht="15.6" customHeight="1" thickBot="1">
      <c r="A121" s="148">
        <v>108</v>
      </c>
      <c r="B121" s="70">
        <v>2032303555</v>
      </c>
      <c r="C121" s="158" t="s">
        <v>212</v>
      </c>
      <c r="D121" s="184">
        <v>42</v>
      </c>
      <c r="E121"/>
      <c r="F121"/>
      <c r="G121"/>
      <c r="H121"/>
      <c r="I121"/>
      <c r="J121"/>
      <c r="K121" s="27"/>
      <c r="L121" s="28"/>
      <c r="M121" s="28"/>
      <c r="N121" s="28"/>
      <c r="O121" s="28"/>
      <c r="P121" s="28"/>
    </row>
    <row r="122" spans="1:16" ht="15">
      <c r="A122" s="15"/>
      <c r="B122" s="16"/>
      <c r="C122" s="21" t="str">
        <f>CONCATENATE("No of students more than ", J6*100, "% = (x)")</f>
        <v>No of students more than 60% = (x)</v>
      </c>
      <c r="D122" s="329">
        <f>COUNTIF(D14:D121,CONCATENATE("&gt;=",D$13*$J$6))</f>
        <v>103</v>
      </c>
      <c r="E122" s="330"/>
      <c r="F122" s="330"/>
      <c r="G122" s="330"/>
      <c r="H122" s="330"/>
      <c r="I122" s="330"/>
      <c r="J122" s="331"/>
      <c r="K122" s="28"/>
      <c r="L122" s="28"/>
      <c r="M122" s="28"/>
      <c r="N122" s="28"/>
      <c r="O122" s="28"/>
      <c r="P122" s="28"/>
    </row>
    <row r="123" spans="1:16">
      <c r="A123" s="17"/>
      <c r="B123" s="14"/>
      <c r="C123" s="20" t="s">
        <v>25</v>
      </c>
      <c r="D123" s="332">
        <v>108</v>
      </c>
      <c r="E123" s="333"/>
      <c r="F123" s="333"/>
      <c r="G123" s="333"/>
      <c r="H123" s="333"/>
      <c r="I123" s="333"/>
      <c r="J123" s="334"/>
      <c r="K123" s="28"/>
      <c r="L123" s="28"/>
      <c r="M123" s="28"/>
      <c r="N123" s="28"/>
      <c r="O123" s="28"/>
      <c r="P123" s="28"/>
    </row>
    <row r="124" spans="1:16">
      <c r="A124" s="17"/>
      <c r="B124" s="14"/>
      <c r="C124" s="20" t="s">
        <v>28</v>
      </c>
      <c r="D124" s="335">
        <f>IFERROR(D122/D123,0)</f>
        <v>0.95370370370370372</v>
      </c>
      <c r="E124" s="336"/>
      <c r="F124" s="336"/>
      <c r="G124" s="336"/>
      <c r="H124" s="336"/>
      <c r="I124" s="336"/>
      <c r="J124" s="337"/>
      <c r="K124" s="29"/>
      <c r="L124" s="29"/>
      <c r="M124" s="29"/>
      <c r="N124" s="29"/>
      <c r="O124" s="29"/>
      <c r="P124" s="29"/>
    </row>
    <row r="125" spans="1:16" ht="16.5" thickBot="1">
      <c r="A125" s="18"/>
      <c r="B125" s="19"/>
      <c r="C125" s="22" t="s">
        <v>26</v>
      </c>
      <c r="D125" s="326">
        <f>IF(D124&gt;=$G6,$F6,IF(D124&gt;=$G7,$F7,IF(D124&gt;=$G8,$F8,"0")))</f>
        <v>3</v>
      </c>
      <c r="E125" s="327"/>
      <c r="F125" s="327"/>
      <c r="G125" s="327"/>
      <c r="H125" s="327"/>
      <c r="I125" s="327"/>
      <c r="J125" s="328"/>
      <c r="K125" s="28"/>
      <c r="L125" s="28"/>
      <c r="M125" s="28"/>
      <c r="N125" s="28"/>
      <c r="O125" s="28"/>
      <c r="P125" s="28"/>
    </row>
    <row r="127" spans="1:16" ht="25.5">
      <c r="C127" s="73" t="s">
        <v>53</v>
      </c>
      <c r="D127" s="74">
        <f>IFERROR(AVERAGE(D121:I125),0)</f>
        <v>51.390740740740739</v>
      </c>
    </row>
    <row r="129" spans="1:24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2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24" ht="18.7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 s="81"/>
    </row>
    <row r="132" spans="1:24" ht="18.75">
      <c r="A132"/>
      <c r="B132" s="7" t="str">
        <f>Faculty</f>
        <v>Anuja Mali</v>
      </c>
      <c r="C132"/>
      <c r="D132"/>
      <c r="E132"/>
      <c r="F132"/>
      <c r="G132"/>
      <c r="H132"/>
      <c r="I132"/>
      <c r="J132"/>
      <c r="K132"/>
      <c r="L132"/>
      <c r="M132"/>
      <c r="N132"/>
      <c r="O132" s="81"/>
    </row>
    <row r="133" spans="1:24" s="37" customFormat="1" ht="15.75">
      <c r="A133"/>
      <c r="B133"/>
      <c r="C133"/>
      <c r="D133"/>
      <c r="E133" s="218"/>
      <c r="F133" s="218"/>
      <c r="G133"/>
      <c r="H133"/>
      <c r="I133" s="50"/>
      <c r="J133"/>
      <c r="K133"/>
      <c r="L133"/>
      <c r="M133"/>
      <c r="N133"/>
      <c r="O133"/>
      <c r="P133" s="7"/>
      <c r="Q133" s="7"/>
      <c r="R133" s="7"/>
      <c r="S133" s="7"/>
      <c r="T133" s="7"/>
      <c r="U133" s="7"/>
      <c r="V133" s="7"/>
      <c r="W133" s="7"/>
      <c r="X133" s="7"/>
    </row>
    <row r="134" spans="1:24" s="37" customFormat="1" ht="15.75">
      <c r="A134" s="83"/>
      <c r="B134" s="83"/>
      <c r="C134" s="84"/>
      <c r="D134" s="84"/>
      <c r="E134" s="218"/>
      <c r="F134" s="218"/>
      <c r="G134" s="7"/>
      <c r="H134" s="2"/>
      <c r="I134" s="50"/>
      <c r="J134" s="7"/>
      <c r="K134" s="83"/>
      <c r="L134"/>
      <c r="M134" s="83"/>
      <c r="N134" s="7"/>
      <c r="O134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>
      <c r="A135" s="83"/>
      <c r="B135" s="83"/>
      <c r="C135" s="84"/>
      <c r="D135" s="84"/>
      <c r="E135" s="84"/>
      <c r="F135" s="84"/>
      <c r="H135" s="2"/>
      <c r="K135" s="83"/>
      <c r="L135"/>
      <c r="M135" s="83"/>
    </row>
    <row r="136" spans="1:24" ht="15.75">
      <c r="A136"/>
      <c r="B136"/>
      <c r="C136"/>
      <c r="D136"/>
      <c r="E136"/>
      <c r="F136"/>
      <c r="G136"/>
      <c r="H136"/>
      <c r="I136" s="2"/>
      <c r="J136" s="2"/>
      <c r="K136"/>
      <c r="L136"/>
      <c r="M136"/>
      <c r="N136" s="3"/>
    </row>
    <row r="137" spans="1:24" ht="15.75">
      <c r="A137" s="215" t="str">
        <f>SubjectDetails!A24</f>
        <v>Dr. Ravi Chourasiya</v>
      </c>
      <c r="B137" s="215"/>
      <c r="C137" s="215"/>
      <c r="D137" s="218" t="str">
        <f>SubjectDetails!E24</f>
        <v>Dr. Ashwini Chavan</v>
      </c>
      <c r="E137" s="218"/>
      <c r="F137" s="218"/>
      <c r="G137" s="218"/>
      <c r="H137"/>
      <c r="I137" s="216" t="str">
        <f>SubjectDetails!H24</f>
        <v>Dr. Priyanka Singh</v>
      </c>
      <c r="J137" s="216"/>
      <c r="K137" s="83"/>
      <c r="L137"/>
      <c r="M137" s="83"/>
      <c r="N137" s="50"/>
      <c r="O137"/>
      <c r="P137" s="37"/>
      <c r="Q137" s="37"/>
      <c r="R137" s="37"/>
      <c r="S137" s="37"/>
      <c r="T137" s="37"/>
      <c r="U137" s="37"/>
      <c r="V137" s="37"/>
      <c r="W137" s="37"/>
      <c r="X137" s="37"/>
    </row>
    <row r="138" spans="1:24" ht="15.75">
      <c r="A138" s="215" t="str">
        <f>SubjectDetails!A25</f>
        <v>(College Examination Officer)</v>
      </c>
      <c r="B138" s="215"/>
      <c r="C138" s="215"/>
      <c r="D138" s="218" t="str">
        <f>SubjectDetails!E25</f>
        <v>HOD (MCA)</v>
      </c>
      <c r="E138" s="218"/>
      <c r="F138" s="218"/>
      <c r="G138" s="218"/>
      <c r="H138"/>
      <c r="I138" s="216" t="str">
        <f>SubjectDetails!H25</f>
        <v>Director</v>
      </c>
      <c r="J138" s="216"/>
      <c r="K138" s="83"/>
      <c r="L138"/>
      <c r="M138" s="83"/>
      <c r="N138" s="50"/>
      <c r="P138" s="37"/>
      <c r="Q138" s="37"/>
      <c r="R138" s="37"/>
      <c r="S138" s="37"/>
      <c r="T138" s="37"/>
      <c r="U138" s="37"/>
      <c r="V138" s="37"/>
      <c r="W138" s="37"/>
      <c r="X138" s="37"/>
    </row>
  </sheetData>
  <sortState ref="A15:C214">
    <sortCondition ref="B15:B214"/>
  </sortState>
  <mergeCells count="29">
    <mergeCell ref="P11:P12"/>
    <mergeCell ref="A1:J1"/>
    <mergeCell ref="A2:J2"/>
    <mergeCell ref="A3:J3"/>
    <mergeCell ref="A4:J4"/>
    <mergeCell ref="A10:J10"/>
    <mergeCell ref="A7:C7"/>
    <mergeCell ref="A8:C8"/>
    <mergeCell ref="D6:E8"/>
    <mergeCell ref="A11:A13"/>
    <mergeCell ref="B11:B13"/>
    <mergeCell ref="C11:C13"/>
    <mergeCell ref="H6:I8"/>
    <mergeCell ref="J6:J8"/>
    <mergeCell ref="A6:C6"/>
    <mergeCell ref="D11:J12"/>
    <mergeCell ref="D13:J13"/>
    <mergeCell ref="A137:C137"/>
    <mergeCell ref="I137:J137"/>
    <mergeCell ref="A138:C138"/>
    <mergeCell ref="I138:J138"/>
    <mergeCell ref="D137:G137"/>
    <mergeCell ref="D138:G138"/>
    <mergeCell ref="D125:J125"/>
    <mergeCell ref="D122:J122"/>
    <mergeCell ref="D123:J123"/>
    <mergeCell ref="D124:J124"/>
    <mergeCell ref="E133:F133"/>
    <mergeCell ref="E134:F134"/>
  </mergeCells>
  <pageMargins left="0.7" right="0.7" top="0.75" bottom="0.75" header="0.3" footer="0.3"/>
  <pageSetup scale="75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7" zoomScaleNormal="100" workbookViewId="0">
      <selection activeCell="C16" sqref="C16:F16"/>
    </sheetView>
  </sheetViews>
  <sheetFormatPr defaultColWidth="8.85546875" defaultRowHeight="15"/>
  <cols>
    <col min="1" max="1" width="8.85546875" style="31"/>
    <col min="2" max="2" width="57.7109375" style="31" customWidth="1"/>
    <col min="3" max="7" width="7.7109375" style="31" customWidth="1"/>
    <col min="8" max="9" width="8.85546875" style="31"/>
    <col min="10" max="10" width="10.7109375" style="31" customWidth="1"/>
    <col min="11" max="11" width="13.5703125" style="31" customWidth="1"/>
    <col min="12" max="16384" width="8.85546875" style="31"/>
  </cols>
  <sheetData>
    <row r="1" spans="1:13" s="7" customFormat="1" ht="18.75">
      <c r="A1" s="208" t="s">
        <v>73</v>
      </c>
      <c r="B1" s="208"/>
      <c r="C1" s="208"/>
      <c r="D1" s="208"/>
      <c r="E1" s="208"/>
      <c r="F1" s="208"/>
      <c r="G1" s="208"/>
      <c r="H1" s="96"/>
      <c r="I1" s="96"/>
      <c r="J1" s="96"/>
      <c r="K1" s="96"/>
      <c r="L1" s="96"/>
      <c r="M1" s="96"/>
    </row>
    <row r="2" spans="1:13" s="7" customFormat="1" ht="23.45" customHeight="1">
      <c r="A2" s="209" t="s">
        <v>74</v>
      </c>
      <c r="B2" s="209"/>
      <c r="C2" s="209"/>
      <c r="D2" s="209"/>
      <c r="E2" s="209"/>
      <c r="F2" s="209"/>
      <c r="G2" s="209"/>
      <c r="H2" s="97"/>
      <c r="I2" s="97"/>
      <c r="J2" s="97"/>
      <c r="K2" s="97"/>
      <c r="L2" s="97"/>
      <c r="M2" s="97"/>
    </row>
    <row r="3" spans="1:13" s="7" customFormat="1" ht="13.9" customHeight="1">
      <c r="A3" s="210" t="s">
        <v>75</v>
      </c>
      <c r="B3" s="210"/>
      <c r="C3" s="210"/>
      <c r="D3" s="210"/>
      <c r="E3" s="210"/>
      <c r="F3" s="210"/>
      <c r="G3" s="210"/>
      <c r="H3" s="98"/>
      <c r="I3" s="98"/>
      <c r="J3" s="98"/>
      <c r="K3" s="98"/>
      <c r="L3" s="98"/>
      <c r="M3" s="98"/>
    </row>
    <row r="4" spans="1:13" s="7" customFormat="1" ht="13.9" customHeight="1">
      <c r="A4" s="210" t="s">
        <v>9</v>
      </c>
      <c r="B4" s="210"/>
      <c r="C4" s="210"/>
      <c r="D4" s="210"/>
      <c r="E4" s="210"/>
      <c r="F4" s="210"/>
      <c r="G4" s="210"/>
      <c r="H4" s="98"/>
      <c r="I4" s="98"/>
      <c r="J4" s="98"/>
      <c r="K4" s="98"/>
      <c r="L4" s="98"/>
      <c r="M4" s="98"/>
    </row>
    <row r="5" spans="1:13">
      <c r="A5" s="7"/>
      <c r="B5" s="370" t="str">
        <f>CONCATENATE("Faculty Name: ", Faculty)</f>
        <v>Faculty Name: Anuja Mali</v>
      </c>
      <c r="C5" s="370"/>
      <c r="D5" s="370"/>
      <c r="E5" s="370"/>
      <c r="F5" s="370"/>
      <c r="G5" s="6"/>
      <c r="H5" s="6"/>
      <c r="I5" s="6"/>
      <c r="J5" s="6"/>
      <c r="K5" s="6"/>
      <c r="L5" s="7"/>
      <c r="M5" s="7"/>
    </row>
    <row r="6" spans="1:13">
      <c r="A6" s="7"/>
      <c r="B6" s="371" t="str">
        <f>CONCATENATE("Subject Name &amp; Code: ", Sub_Code)</f>
        <v>Subject Name &amp; Code: Lab IT11L</v>
      </c>
      <c r="C6" s="371"/>
      <c r="D6" s="371"/>
      <c r="E6" s="371"/>
      <c r="F6" s="371"/>
      <c r="G6" s="6"/>
      <c r="H6" s="6"/>
      <c r="I6" s="6"/>
      <c r="J6" s="6"/>
      <c r="K6" s="6"/>
      <c r="L6" s="7"/>
      <c r="M6" s="7"/>
    </row>
    <row r="7" spans="1:13">
      <c r="A7" s="7"/>
      <c r="B7" s="372" t="str">
        <f>CONCATENATE("Class: ",Class_AY)</f>
        <v>Class: MCA I SEM I AY 2023-24</v>
      </c>
      <c r="C7" s="372"/>
      <c r="D7" s="372"/>
      <c r="E7" s="372"/>
      <c r="F7" s="372"/>
      <c r="G7" s="6"/>
      <c r="H7" s="6"/>
      <c r="I7" s="6"/>
      <c r="J7" s="6"/>
      <c r="K7" s="6"/>
      <c r="L7" s="7"/>
      <c r="M7" s="7"/>
    </row>
    <row r="9" spans="1:13" ht="34.9" customHeight="1">
      <c r="B9" s="373" t="s">
        <v>33</v>
      </c>
      <c r="C9" s="373"/>
      <c r="D9" s="373"/>
      <c r="E9" s="373"/>
      <c r="F9" s="373"/>
      <c r="G9" s="373"/>
    </row>
    <row r="10" spans="1:13" ht="34.9" customHeight="1">
      <c r="B10" s="135" t="s">
        <v>32</v>
      </c>
      <c r="C10" s="102" t="s">
        <v>2</v>
      </c>
      <c r="D10" s="102" t="s">
        <v>3</v>
      </c>
      <c r="E10" s="102" t="s">
        <v>4</v>
      </c>
      <c r="F10" s="102" t="s">
        <v>10</v>
      </c>
      <c r="G10" s="102" t="s">
        <v>12</v>
      </c>
    </row>
    <row r="11" spans="1:13" ht="34.9" customHeight="1">
      <c r="B11" s="136" t="s">
        <v>46</v>
      </c>
      <c r="C11" s="134">
        <f>'CO Int. Attn'!H134</f>
        <v>95.370370370370367</v>
      </c>
      <c r="D11" s="134">
        <f>'CO Int. Attn'!H135</f>
        <v>95.370370370370367</v>
      </c>
      <c r="E11" s="134">
        <f>'CO Int. Attn'!H136</f>
        <v>95.370370370370367</v>
      </c>
      <c r="F11" s="134">
        <f>'CO Int. Attn'!H137</f>
        <v>95.370370370370367</v>
      </c>
      <c r="G11" s="134"/>
    </row>
    <row r="12" spans="1:13" ht="34.9" customHeight="1">
      <c r="B12" s="136" t="s">
        <v>47</v>
      </c>
      <c r="C12" s="134">
        <f>'CO Ext. Attn'!$D124*100</f>
        <v>95.370370370370367</v>
      </c>
      <c r="D12" s="134">
        <f>'CO Ext. Attn'!$D124*100</f>
        <v>95.370370370370367</v>
      </c>
      <c r="E12" s="134">
        <f>'CO Ext. Attn'!$D124*100</f>
        <v>95.370370370370367</v>
      </c>
      <c r="F12" s="134">
        <f>'CO Ext. Attn'!$D124*100</f>
        <v>95.370370370370367</v>
      </c>
      <c r="G12" s="134"/>
    </row>
    <row r="13" spans="1:13" ht="55.5" customHeight="1">
      <c r="B13" s="137" t="s">
        <v>44</v>
      </c>
      <c r="C13" s="134">
        <f>(0.6*C11)+(0.4*C12)</f>
        <v>95.370370370370367</v>
      </c>
      <c r="D13" s="134">
        <f t="shared" ref="D13:F13" si="0">(0.6*D11)+(0.4*D12)</f>
        <v>95.370370370370367</v>
      </c>
      <c r="E13" s="134">
        <f t="shared" si="0"/>
        <v>95.370370370370367</v>
      </c>
      <c r="F13" s="134">
        <f t="shared" si="0"/>
        <v>95.370370370370367</v>
      </c>
      <c r="G13" s="134"/>
    </row>
    <row r="14" spans="1:13" ht="34.9" customHeight="1">
      <c r="B14" s="137" t="s">
        <v>45</v>
      </c>
      <c r="C14" s="200">
        <f>'Course exit'!D119</f>
        <v>86.1111111111111</v>
      </c>
      <c r="D14" s="200">
        <f>'Course exit'!E119</f>
        <v>82.592592592592595</v>
      </c>
      <c r="E14" s="200">
        <f>'Course exit'!F119</f>
        <v>86.666666666666657</v>
      </c>
      <c r="F14" s="200">
        <f>'Course exit'!G119</f>
        <v>82.592592592592595</v>
      </c>
      <c r="G14" s="33"/>
    </row>
    <row r="15" spans="1:13" ht="34.9" customHeight="1">
      <c r="B15" s="137" t="s">
        <v>33</v>
      </c>
      <c r="C15" s="134">
        <f>(0.8*C13)+(0.2*C14)</f>
        <v>93.518518518518505</v>
      </c>
      <c r="D15" s="134">
        <f t="shared" ref="D15:F15" si="1">(0.8*D13)+(0.2*D14)</f>
        <v>92.81481481481481</v>
      </c>
      <c r="E15" s="134">
        <f t="shared" si="1"/>
        <v>93.629629629629619</v>
      </c>
      <c r="F15" s="134">
        <f t="shared" si="1"/>
        <v>92.81481481481481</v>
      </c>
      <c r="G15" s="134"/>
    </row>
    <row r="16" spans="1:13" ht="34.9" customHeight="1">
      <c r="B16" s="138" t="s">
        <v>52</v>
      </c>
      <c r="C16" s="139">
        <f>IF(C15&gt;=$E20,3,IF(C15&gt;=$E21,2,IF(C15&gt;=$E22,1,0)))</f>
        <v>3</v>
      </c>
      <c r="D16" s="139">
        <f t="shared" ref="D16:F16" si="2">IF(D15&gt;=$E20,3,IF(D15&gt;=$E21,2,IF(D15&gt;=$E22,1,0)))</f>
        <v>3</v>
      </c>
      <c r="E16" s="139">
        <f t="shared" si="2"/>
        <v>3</v>
      </c>
      <c r="F16" s="139">
        <f t="shared" si="2"/>
        <v>3</v>
      </c>
      <c r="G16" s="139"/>
    </row>
    <row r="18" spans="1:15" ht="15.75">
      <c r="B18" s="59" t="s">
        <v>55</v>
      </c>
    </row>
    <row r="19" spans="1:15" ht="16.5" thickBot="1">
      <c r="B19" s="59"/>
    </row>
    <row r="20" spans="1:15" ht="15.75" thickBot="1">
      <c r="B20" s="347" t="s">
        <v>102</v>
      </c>
      <c r="C20" s="348"/>
      <c r="D20" s="63">
        <v>3</v>
      </c>
      <c r="E20" s="63">
        <v>70</v>
      </c>
      <c r="N20" s="37"/>
      <c r="O20" s="37"/>
    </row>
    <row r="21" spans="1:15" ht="15.75" thickBot="1">
      <c r="B21" s="349"/>
      <c r="C21" s="350"/>
      <c r="D21" s="65">
        <v>2</v>
      </c>
      <c r="E21" s="63">
        <v>60</v>
      </c>
      <c r="N21" s="37"/>
      <c r="O21" s="37"/>
    </row>
    <row r="22" spans="1:15" ht="15.75" thickBot="1">
      <c r="B22" s="351"/>
      <c r="C22" s="352"/>
      <c r="D22" s="67">
        <v>1</v>
      </c>
      <c r="E22" s="63">
        <v>50</v>
      </c>
      <c r="N22"/>
      <c r="O22"/>
    </row>
    <row r="23" spans="1:15">
      <c r="E23" s="134"/>
      <c r="N23"/>
      <c r="O23"/>
    </row>
    <row r="24" spans="1:15"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/>
      <c r="O24"/>
    </row>
    <row r="25" spans="1:15" ht="18.75">
      <c r="B25" s="3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/>
      <c r="O25" s="81"/>
    </row>
    <row r="26" spans="1:15" ht="18.75">
      <c r="B26"/>
      <c r="C26"/>
      <c r="D26"/>
      <c r="E26"/>
      <c r="F26"/>
      <c r="G26"/>
      <c r="H26"/>
      <c r="I26"/>
      <c r="J26"/>
      <c r="K26"/>
      <c r="L26"/>
      <c r="M26"/>
      <c r="N26"/>
      <c r="O26" s="81"/>
    </row>
    <row r="27" spans="1:15">
      <c r="B27" s="38" t="str">
        <f>Faculty</f>
        <v>Anuja Mali</v>
      </c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B28" s="108" t="str">
        <f>SubjectDetails!$E$17</f>
        <v>Subject Faculty</v>
      </c>
      <c r="C28"/>
      <c r="D28"/>
      <c r="E28"/>
      <c r="F28"/>
      <c r="G28"/>
      <c r="H28"/>
      <c r="I28"/>
      <c r="J28"/>
      <c r="K28"/>
      <c r="L28"/>
      <c r="M28"/>
      <c r="O28"/>
    </row>
    <row r="29" spans="1:15" s="37" customFormat="1">
      <c r="A29" s="31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5" s="37" customFormat="1" ht="15.75">
      <c r="A30" s="31"/>
      <c r="B30" s="84"/>
      <c r="C30" s="218"/>
      <c r="D30" s="218"/>
      <c r="E30"/>
      <c r="F30" s="31"/>
      <c r="G30" s="50"/>
      <c r="H30"/>
      <c r="I30"/>
      <c r="J30"/>
      <c r="K30"/>
      <c r="L30"/>
      <c r="M30"/>
      <c r="N30" s="7"/>
    </row>
    <row r="31" spans="1:15" ht="15.75">
      <c r="B31" s="84"/>
      <c r="C31" s="218"/>
      <c r="D31" s="218"/>
      <c r="E31" s="84"/>
      <c r="G31" s="50"/>
      <c r="H31"/>
      <c r="K31"/>
      <c r="M31"/>
      <c r="N31" s="3"/>
      <c r="O31" s="7"/>
    </row>
    <row r="32" spans="1:15" ht="15.75">
      <c r="B32" s="83"/>
      <c r="C32" s="83"/>
      <c r="D32"/>
      <c r="H32" s="2"/>
      <c r="K32" s="83"/>
      <c r="M32" s="83"/>
      <c r="N32" s="37"/>
      <c r="O32" s="37"/>
    </row>
    <row r="33" spans="1:13" ht="15.75">
      <c r="A33" s="215" t="str">
        <f>SubjectDetails!$A$24</f>
        <v>Dr. Ravi Chourasiya</v>
      </c>
      <c r="B33" s="215"/>
      <c r="C33" s="215"/>
      <c r="D33" s="218" t="str">
        <f>SubjectDetails!$E$24</f>
        <v>Dr. Ashwini Chavan</v>
      </c>
      <c r="E33" s="218"/>
      <c r="F33" s="218"/>
      <c r="G33" s="218"/>
      <c r="H33" s="216" t="str">
        <f>SubjectDetails!$H$24</f>
        <v>Dr. Priyanka Singh</v>
      </c>
      <c r="I33" s="216"/>
      <c r="J33" s="83"/>
      <c r="K33"/>
      <c r="L33" s="83"/>
      <c r="M33" s="50"/>
    </row>
    <row r="34" spans="1:13" ht="15.75">
      <c r="A34" s="215" t="str">
        <f>SubjectDetails!$A$25</f>
        <v>(College Examination Officer)</v>
      </c>
      <c r="B34" s="215"/>
      <c r="C34" s="215"/>
      <c r="D34" s="218" t="str">
        <f>SubjectDetails!$E$25</f>
        <v>HOD (MCA)</v>
      </c>
      <c r="E34" s="218"/>
      <c r="F34" s="218"/>
      <c r="G34" s="218"/>
      <c r="H34" s="216" t="str">
        <f>SubjectDetails!$H$25</f>
        <v>Director</v>
      </c>
      <c r="I34" s="216"/>
      <c r="J34" s="83"/>
      <c r="K34"/>
      <c r="L34" s="83"/>
      <c r="M34" s="50"/>
    </row>
    <row r="35" spans="1:13" ht="15.75"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B36" s="38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</row>
  </sheetData>
  <mergeCells count="17">
    <mergeCell ref="A1:G1"/>
    <mergeCell ref="A2:G2"/>
    <mergeCell ref="A3:G3"/>
    <mergeCell ref="A4:G4"/>
    <mergeCell ref="A33:C33"/>
    <mergeCell ref="C31:D31"/>
    <mergeCell ref="C30:D30"/>
    <mergeCell ref="B20:C22"/>
    <mergeCell ref="B5:F5"/>
    <mergeCell ref="B6:F6"/>
    <mergeCell ref="B7:F7"/>
    <mergeCell ref="B9:G9"/>
    <mergeCell ref="H33:I33"/>
    <mergeCell ref="A34:C34"/>
    <mergeCell ref="H34:I34"/>
    <mergeCell ref="D33:G33"/>
    <mergeCell ref="D34:G34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5"/>
  <sheetViews>
    <sheetView topLeftCell="A7" zoomScale="85" zoomScaleNormal="85" workbookViewId="0">
      <selection activeCell="D17" sqref="D17:K17"/>
    </sheetView>
  </sheetViews>
  <sheetFormatPr defaultColWidth="8.85546875" defaultRowHeight="15"/>
  <cols>
    <col min="1" max="1" width="8.85546875" style="37"/>
    <col min="2" max="2" width="21.7109375" style="37" customWidth="1"/>
    <col min="3" max="3" width="12.7109375" style="37" customWidth="1"/>
    <col min="4" max="16384" width="8.85546875" style="37"/>
  </cols>
  <sheetData>
    <row r="1" spans="2:15" s="7" customFormat="1" ht="30" customHeight="1">
      <c r="B1" s="226" t="s">
        <v>73</v>
      </c>
      <c r="C1" s="227"/>
      <c r="D1" s="227"/>
      <c r="E1" s="227"/>
      <c r="F1" s="227"/>
      <c r="G1" s="227"/>
      <c r="H1" s="227"/>
      <c r="I1" s="227"/>
      <c r="J1" s="227"/>
      <c r="K1" s="227"/>
      <c r="L1" s="106"/>
      <c r="M1" s="106"/>
      <c r="N1" s="106"/>
      <c r="O1" s="106"/>
    </row>
    <row r="2" spans="2:15" s="7" customFormat="1" ht="20.45" customHeight="1">
      <c r="B2" s="228" t="s">
        <v>74</v>
      </c>
      <c r="C2" s="229"/>
      <c r="D2" s="229"/>
      <c r="E2" s="229"/>
      <c r="F2" s="229"/>
      <c r="G2" s="229"/>
      <c r="H2" s="229"/>
      <c r="I2" s="229"/>
      <c r="J2" s="229"/>
      <c r="K2" s="229"/>
      <c r="L2" s="107"/>
      <c r="M2" s="107"/>
      <c r="N2" s="107"/>
      <c r="O2" s="107"/>
    </row>
    <row r="3" spans="2:15" s="7" customFormat="1" ht="18" customHeight="1">
      <c r="B3" s="230" t="s">
        <v>75</v>
      </c>
      <c r="C3" s="231"/>
      <c r="D3" s="231"/>
      <c r="E3" s="231"/>
      <c r="F3" s="231"/>
      <c r="G3" s="231"/>
      <c r="H3" s="231"/>
      <c r="I3" s="231"/>
      <c r="J3" s="231"/>
      <c r="K3" s="231"/>
      <c r="L3" s="104"/>
      <c r="M3" s="104"/>
      <c r="N3" s="104"/>
      <c r="O3" s="104"/>
    </row>
    <row r="4" spans="2:15" s="7" customFormat="1" ht="18" customHeight="1">
      <c r="B4" s="230" t="s">
        <v>9</v>
      </c>
      <c r="C4" s="231"/>
      <c r="D4" s="231"/>
      <c r="E4" s="231"/>
      <c r="F4" s="231"/>
      <c r="G4" s="231"/>
      <c r="H4" s="231"/>
      <c r="I4" s="231"/>
      <c r="J4" s="231"/>
      <c r="K4" s="231"/>
      <c r="L4" s="104"/>
      <c r="M4" s="104"/>
      <c r="N4" s="104"/>
      <c r="O4" s="104"/>
    </row>
    <row r="5" spans="2:15">
      <c r="B5" s="6"/>
      <c r="C5" s="6"/>
      <c r="D5" s="6"/>
      <c r="E5" s="6"/>
      <c r="F5" s="6"/>
      <c r="G5" s="6"/>
      <c r="H5" s="6"/>
    </row>
    <row r="6" spans="2:15" ht="20.25">
      <c r="B6" s="379" t="str">
        <f>CONCATENATE("Faculty Name: ", Faculty)</f>
        <v>Faculty Name: Anuja Mali</v>
      </c>
      <c r="C6" s="379"/>
      <c r="D6" s="379"/>
      <c r="E6" s="379"/>
      <c r="F6" s="379"/>
      <c r="G6" s="379"/>
      <c r="H6" s="6"/>
      <c r="I6" s="105"/>
      <c r="J6" s="105"/>
      <c r="K6" s="105"/>
      <c r="L6" s="105"/>
      <c r="M6" s="105"/>
      <c r="N6" s="105"/>
      <c r="O6" s="105"/>
    </row>
    <row r="7" spans="2:15" s="47" customFormat="1" ht="15.75">
      <c r="B7" s="377" t="str">
        <f>CONCATENATE("Subject Name &amp; Code: ", Sub_Code)</f>
        <v>Subject Name &amp; Code: Lab IT11L</v>
      </c>
      <c r="C7" s="377"/>
      <c r="D7" s="377"/>
      <c r="E7" s="377"/>
      <c r="F7" s="377"/>
      <c r="G7" s="377"/>
      <c r="H7" s="6"/>
      <c r="L7" s="60"/>
      <c r="M7" s="60"/>
      <c r="N7" s="60"/>
      <c r="O7" s="60"/>
    </row>
    <row r="8" spans="2:15" s="49" customFormat="1" ht="15.75">
      <c r="B8" s="378" t="str">
        <f>CONCATENATE("Class: ",Class_AY)</f>
        <v>Class: MCA I SEM I AY 2023-24</v>
      </c>
      <c r="C8" s="378"/>
      <c r="D8" s="378"/>
      <c r="E8" s="378"/>
      <c r="F8" s="378"/>
      <c r="G8" s="378"/>
      <c r="H8" s="6"/>
      <c r="L8" s="60"/>
      <c r="M8" s="60"/>
      <c r="N8" s="60"/>
      <c r="O8" s="60"/>
    </row>
    <row r="9" spans="2:15" s="45" customFormat="1" ht="34.9" customHeight="1">
      <c r="B9" s="376" t="s">
        <v>51</v>
      </c>
      <c r="C9" s="376"/>
      <c r="D9" s="376"/>
      <c r="E9" s="376"/>
      <c r="F9" s="376"/>
      <c r="G9" s="376"/>
      <c r="H9" s="376"/>
      <c r="I9" s="376"/>
      <c r="J9" s="376"/>
      <c r="K9" s="376"/>
      <c r="L9" s="60"/>
      <c r="M9" s="60"/>
      <c r="N9" s="60"/>
      <c r="O9" s="60"/>
    </row>
    <row r="10" spans="2:15" s="45" customFormat="1" ht="34.9" customHeight="1">
      <c r="B10" s="374" t="s">
        <v>50</v>
      </c>
      <c r="C10" s="375"/>
      <c r="D10" s="140" t="s">
        <v>14</v>
      </c>
      <c r="E10" s="140" t="s">
        <v>15</v>
      </c>
      <c r="F10" s="140" t="s">
        <v>16</v>
      </c>
      <c r="G10" s="140" t="s">
        <v>17</v>
      </c>
      <c r="H10" s="140" t="s">
        <v>18</v>
      </c>
      <c r="I10" s="140" t="s">
        <v>19</v>
      </c>
      <c r="J10" s="140" t="s">
        <v>20</v>
      </c>
      <c r="K10" s="140" t="s">
        <v>21</v>
      </c>
      <c r="L10" s="60"/>
      <c r="M10" s="60"/>
      <c r="N10" s="60"/>
      <c r="O10" s="60"/>
    </row>
    <row r="11" spans="2:15" s="45" customFormat="1" ht="34.9" customHeight="1">
      <c r="B11" s="142" t="s">
        <v>24</v>
      </c>
      <c r="C11" s="141"/>
      <c r="D11" s="48">
        <f>'CO Mapping PO '!B18</f>
        <v>2.5</v>
      </c>
      <c r="E11" s="48">
        <f>'CO Mapping PO '!C18</f>
        <v>2</v>
      </c>
      <c r="F11" s="48">
        <f>'CO Mapping PO '!D18</f>
        <v>2.6666666666666665</v>
      </c>
      <c r="G11" s="48">
        <f>'CO Mapping PO '!E18</f>
        <v>2.75</v>
      </c>
      <c r="H11" s="48">
        <f>'CO Mapping PO '!F18</f>
        <v>1</v>
      </c>
      <c r="I11" s="48">
        <f>'CO Mapping PO '!G18</f>
        <v>1</v>
      </c>
      <c r="J11" s="48" t="e">
        <f>'CO Mapping PO '!H18</f>
        <v>#DIV/0!</v>
      </c>
      <c r="K11" s="48">
        <f>'CO Mapping PO '!I18</f>
        <v>1.75</v>
      </c>
      <c r="L11" s="60"/>
      <c r="M11" s="60"/>
      <c r="N11" s="60"/>
      <c r="O11" s="60"/>
    </row>
    <row r="12" spans="2:15" s="45" customFormat="1" ht="34.9" customHeight="1">
      <c r="B12" s="143" t="s">
        <v>2</v>
      </c>
      <c r="C12" s="144">
        <f>'OverallCO Attainment'!C15</f>
        <v>93.518518518518505</v>
      </c>
      <c r="D12" s="201">
        <v>3</v>
      </c>
      <c r="E12" s="201">
        <v>0</v>
      </c>
      <c r="F12" s="201">
        <v>0</v>
      </c>
      <c r="G12" s="201">
        <v>2</v>
      </c>
      <c r="H12" s="201">
        <v>1</v>
      </c>
      <c r="I12" s="201">
        <v>0</v>
      </c>
      <c r="J12" s="201">
        <v>0</v>
      </c>
      <c r="K12" s="201">
        <v>1</v>
      </c>
      <c r="L12" s="60"/>
      <c r="M12" s="60"/>
      <c r="N12" s="60"/>
      <c r="O12" s="60"/>
    </row>
    <row r="13" spans="2:15" s="45" customFormat="1" ht="34.9" customHeight="1">
      <c r="B13" s="143" t="s">
        <v>3</v>
      </c>
      <c r="C13" s="144">
        <f>'OverallCO Attainment'!D15</f>
        <v>92.81481481481481</v>
      </c>
      <c r="D13" s="201">
        <v>2</v>
      </c>
      <c r="E13" s="201">
        <v>0</v>
      </c>
      <c r="F13" s="201">
        <v>3</v>
      </c>
      <c r="G13" s="201">
        <v>3</v>
      </c>
      <c r="H13" s="201">
        <v>1</v>
      </c>
      <c r="I13" s="201">
        <v>1</v>
      </c>
      <c r="J13" s="201">
        <v>0</v>
      </c>
      <c r="K13" s="201">
        <v>2</v>
      </c>
      <c r="L13" s="60"/>
      <c r="M13" s="60"/>
      <c r="N13" s="60"/>
      <c r="O13" s="60"/>
    </row>
    <row r="14" spans="2:15" ht="34.9" customHeight="1">
      <c r="B14" s="143" t="s">
        <v>4</v>
      </c>
      <c r="C14" s="144">
        <f>'OverallCO Attainment'!E15</f>
        <v>93.629629629629619</v>
      </c>
      <c r="D14" s="201">
        <v>2</v>
      </c>
      <c r="E14" s="201">
        <v>0</v>
      </c>
      <c r="F14" s="201">
        <v>3</v>
      </c>
      <c r="G14" s="201">
        <v>3</v>
      </c>
      <c r="H14" s="201">
        <v>1</v>
      </c>
      <c r="I14" s="201">
        <v>1</v>
      </c>
      <c r="J14" s="201">
        <v>0</v>
      </c>
      <c r="K14" s="201">
        <v>2</v>
      </c>
      <c r="L14" s="60"/>
      <c r="M14" s="60"/>
      <c r="N14" s="60"/>
      <c r="O14" s="60"/>
    </row>
    <row r="15" spans="2:15" ht="34.9" customHeight="1">
      <c r="B15" s="143" t="s">
        <v>10</v>
      </c>
      <c r="C15" s="144">
        <f>'OverallCO Attainment'!F15</f>
        <v>92.81481481481481</v>
      </c>
      <c r="D15" s="201">
        <v>3</v>
      </c>
      <c r="E15" s="201">
        <v>2</v>
      </c>
      <c r="F15" s="201">
        <v>2</v>
      </c>
      <c r="G15" s="201">
        <v>3</v>
      </c>
      <c r="H15" s="201">
        <v>1</v>
      </c>
      <c r="I15" s="201">
        <v>0</v>
      </c>
      <c r="J15" s="201">
        <v>0</v>
      </c>
      <c r="K15" s="201">
        <v>2</v>
      </c>
    </row>
    <row r="16" spans="2:15" ht="34.9" customHeight="1">
      <c r="B16" s="143"/>
      <c r="C16" s="144"/>
      <c r="D16" s="46"/>
      <c r="E16" s="46"/>
      <c r="F16" s="46"/>
      <c r="G16" s="46"/>
      <c r="H16" s="46"/>
      <c r="I16" s="46"/>
      <c r="J16" s="46"/>
      <c r="K16" s="46"/>
    </row>
    <row r="17" spans="2:14" ht="34.9" customHeight="1">
      <c r="C17" s="146" t="s">
        <v>58</v>
      </c>
      <c r="D17" s="202">
        <f>(C12*D12+C13*D13+C14*D14+C15*D15+C16*D16)/(D12+D13+D14+D15+D16)</f>
        <v>93.188888888888883</v>
      </c>
      <c r="E17" s="202">
        <f>(C12*E12+C13*E13+C14*E14+C15*E15+C16*E16)/(E12+E13+E14+E15+E16)</f>
        <v>92.81481481481481</v>
      </c>
      <c r="F17" s="202">
        <f>(C12*F12+C13*F13+C14*F14+C15*F15+C16*F16)/(F12+F13+F14+F15+F16)</f>
        <v>93.120370370370352</v>
      </c>
      <c r="G17" s="202">
        <f>(C12*G12+C13*G13+C14*G14+C15*G15+C16*G16)/(G12+G13+G14+G15+G16)</f>
        <v>93.164983164983155</v>
      </c>
      <c r="H17" s="202">
        <f>(C12*H12+C13*H13+C14*H14+C15*H15+C16*H16)/(H12+H13+H14+H15+H16)</f>
        <v>93.194444444444429</v>
      </c>
      <c r="I17" s="202">
        <f>(C12*I12+C13*I13+C14*I14+C15*I15+C16*I16)/(I12+I13+I14+I15+I16)</f>
        <v>93.222222222222214</v>
      </c>
      <c r="J17" s="202" t="e">
        <f>(C12*J12+C13*J13+C14*J14+C15*J15+C16*J16)/(J12+J13+J14+J15+J16)</f>
        <v>#DIV/0!</v>
      </c>
      <c r="K17" s="202">
        <f>(C12*K12+C13*K13+C14*K14+C15*K15+C16*K16)/(K12+K13+K14+K15+K16)</f>
        <v>93.148148148148138</v>
      </c>
      <c r="L17" s="50"/>
      <c r="M17" s="34"/>
      <c r="N17" s="50"/>
    </row>
    <row r="18" spans="2:14" ht="34.9" customHeight="1">
      <c r="C18" s="146" t="s">
        <v>237</v>
      </c>
      <c r="D18" s="203">
        <f>D17/100*3</f>
        <v>2.7956666666666665</v>
      </c>
      <c r="E18" s="203">
        <f t="shared" ref="E18:K18" si="0">E17/100*3</f>
        <v>2.7844444444444441</v>
      </c>
      <c r="F18" s="203">
        <f t="shared" si="0"/>
        <v>2.7936111111111108</v>
      </c>
      <c r="G18" s="203">
        <f t="shared" si="0"/>
        <v>2.7949494949494946</v>
      </c>
      <c r="H18" s="203">
        <f t="shared" si="0"/>
        <v>2.7958333333333325</v>
      </c>
      <c r="I18" s="203">
        <f t="shared" si="0"/>
        <v>2.7966666666666664</v>
      </c>
      <c r="J18" s="203" t="e">
        <f t="shared" si="0"/>
        <v>#DIV/0!</v>
      </c>
      <c r="K18" s="203">
        <f t="shared" si="0"/>
        <v>2.7944444444444443</v>
      </c>
      <c r="L18" s="50"/>
      <c r="M18" s="34"/>
      <c r="N18" s="50"/>
    </row>
    <row r="21" spans="2:14" ht="15.75">
      <c r="C21" s="50"/>
      <c r="D21" s="50"/>
      <c r="E21" s="50"/>
      <c r="F21" s="50"/>
      <c r="G21" s="50"/>
      <c r="H21" s="51"/>
      <c r="I21"/>
      <c r="J21"/>
      <c r="K21"/>
      <c r="L21"/>
      <c r="M21"/>
      <c r="N21"/>
    </row>
    <row r="22" spans="2:14" ht="15.75">
      <c r="C22" s="50"/>
      <c r="D22" s="50"/>
      <c r="E22" s="50"/>
      <c r="F22" s="50"/>
      <c r="G22" s="50"/>
      <c r="H22" s="51"/>
      <c r="I22"/>
      <c r="J22"/>
      <c r="K22"/>
      <c r="L22"/>
      <c r="M22"/>
      <c r="N22"/>
    </row>
    <row r="23" spans="2:14" ht="18.75">
      <c r="I23"/>
      <c r="J23"/>
      <c r="K23"/>
      <c r="L23"/>
      <c r="M23"/>
      <c r="N23" s="81"/>
    </row>
    <row r="24" spans="2:14" ht="18.75">
      <c r="B24" s="52" t="str">
        <f>Faculty</f>
        <v>Anuja Mali</v>
      </c>
      <c r="I24"/>
      <c r="J24"/>
      <c r="K24"/>
      <c r="L24"/>
      <c r="M24"/>
      <c r="N24" s="81"/>
    </row>
    <row r="25" spans="2:14" ht="15.75">
      <c r="B25" s="52" t="str">
        <f>Designation</f>
        <v>Assistant Professor</v>
      </c>
      <c r="C25"/>
      <c r="D25"/>
      <c r="E25"/>
      <c r="F25"/>
      <c r="G25"/>
      <c r="H25"/>
      <c r="I25"/>
      <c r="J25"/>
      <c r="K25"/>
      <c r="L25"/>
      <c r="M25"/>
      <c r="N25"/>
    </row>
    <row r="26" spans="2:14" ht="15.75">
      <c r="B26"/>
      <c r="C26"/>
      <c r="D26"/>
      <c r="E26"/>
      <c r="F26"/>
      <c r="G26"/>
      <c r="H26"/>
      <c r="I26" s="2"/>
      <c r="J26" s="218"/>
      <c r="K26" s="218"/>
      <c r="L26" s="50"/>
      <c r="N26"/>
    </row>
    <row r="27" spans="2:14" ht="15.75">
      <c r="B27"/>
      <c r="C27"/>
      <c r="D27"/>
      <c r="E27"/>
      <c r="F27"/>
      <c r="G27"/>
      <c r="H27"/>
      <c r="I27" s="2"/>
      <c r="J27" s="218"/>
      <c r="K27" s="218"/>
      <c r="L27" s="50"/>
      <c r="N27" s="7"/>
    </row>
    <row r="28" spans="2:14" ht="15.75">
      <c r="B28"/>
      <c r="C28"/>
      <c r="D28"/>
      <c r="E28"/>
      <c r="F28"/>
      <c r="G28"/>
      <c r="H28"/>
      <c r="I28"/>
      <c r="J28" s="2"/>
      <c r="K28" s="2"/>
      <c r="L28"/>
      <c r="M28" s="3"/>
      <c r="N28" s="7"/>
    </row>
    <row r="29" spans="2:14">
      <c r="B29"/>
      <c r="C29"/>
      <c r="D29"/>
      <c r="E29"/>
      <c r="F29"/>
      <c r="G29"/>
      <c r="H29"/>
    </row>
    <row r="30" spans="2:14" ht="15.75">
      <c r="B30" s="83"/>
      <c r="C30" s="83"/>
      <c r="D30"/>
      <c r="E30" s="215"/>
      <c r="F30" s="215"/>
      <c r="G30" s="215"/>
      <c r="H30" s="2"/>
      <c r="I30"/>
      <c r="J30" s="216"/>
      <c r="K30" s="216"/>
      <c r="L30" s="83"/>
      <c r="M30" s="50"/>
      <c r="N30"/>
    </row>
    <row r="31" spans="2:14" ht="18.75">
      <c r="B31" s="381" t="str">
        <f>SubjectDetails!$A$24</f>
        <v>Dr. Ravi Chourasiya</v>
      </c>
      <c r="C31" s="381"/>
      <c r="D31" s="145"/>
      <c r="E31" s="380" t="str">
        <f>SubjectDetails!$E$24</f>
        <v>Dr. Ashwini Chavan</v>
      </c>
      <c r="F31" s="380"/>
      <c r="G31" s="380"/>
      <c r="H31" s="92"/>
      <c r="I31" s="382" t="str">
        <f>SubjectDetails!$H$24</f>
        <v>Dr. Priyanka Singh</v>
      </c>
      <c r="J31" s="382"/>
      <c r="K31" s="382"/>
      <c r="L31" s="83"/>
      <c r="M31" s="50"/>
      <c r="N31" s="7"/>
    </row>
    <row r="32" spans="2:14" ht="18.75">
      <c r="B32" s="382" t="str">
        <f>SubjectDetails!$A$25</f>
        <v>(College Examination Officer)</v>
      </c>
      <c r="C32" s="382"/>
      <c r="D32" s="145"/>
      <c r="E32" s="382" t="str">
        <f>SubjectDetails!$E$25</f>
        <v>HOD (MCA)</v>
      </c>
      <c r="F32" s="382"/>
      <c r="G32" s="382"/>
      <c r="H32" s="145"/>
      <c r="I32" s="383" t="str">
        <f>SubjectDetails!$H$25</f>
        <v>Director</v>
      </c>
      <c r="J32" s="383"/>
      <c r="K32" s="383"/>
    </row>
    <row r="34" spans="2:8" ht="15.75">
      <c r="B34" s="215"/>
      <c r="C34" s="215"/>
      <c r="D34" s="215"/>
      <c r="E34"/>
      <c r="F34" s="218"/>
      <c r="G34" s="218"/>
      <c r="H34"/>
    </row>
    <row r="35" spans="2:8" ht="15.75">
      <c r="B35" s="215"/>
      <c r="C35" s="215"/>
      <c r="D35" s="215"/>
      <c r="E35"/>
      <c r="F35" s="218"/>
      <c r="G35" s="218"/>
      <c r="H35"/>
    </row>
  </sheetData>
  <mergeCells count="23">
    <mergeCell ref="B34:D34"/>
    <mergeCell ref="F34:G34"/>
    <mergeCell ref="J30:K30"/>
    <mergeCell ref="B35:D35"/>
    <mergeCell ref="F35:G35"/>
    <mergeCell ref="E31:G31"/>
    <mergeCell ref="B31:C31"/>
    <mergeCell ref="B32:C32"/>
    <mergeCell ref="E32:G32"/>
    <mergeCell ref="I31:K31"/>
    <mergeCell ref="I32:K32"/>
    <mergeCell ref="B1:K1"/>
    <mergeCell ref="B2:K2"/>
    <mergeCell ref="B3:K3"/>
    <mergeCell ref="E30:G30"/>
    <mergeCell ref="J26:K26"/>
    <mergeCell ref="J27:K27"/>
    <mergeCell ref="B10:C10"/>
    <mergeCell ref="B4:K4"/>
    <mergeCell ref="B9:K9"/>
    <mergeCell ref="B7:G7"/>
    <mergeCell ref="B8:G8"/>
    <mergeCell ref="B6:G6"/>
  </mergeCells>
  <pageMargins left="0.7" right="0.7" top="0.75" bottom="0.75" header="0.3" footer="0.3"/>
  <pageSetup scale="80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zoomScale="85" zoomScaleNormal="85" workbookViewId="0">
      <selection activeCell="I12" sqref="I12"/>
    </sheetView>
  </sheetViews>
  <sheetFormatPr defaultColWidth="12.7109375" defaultRowHeight="15.75" customHeight="1"/>
  <cols>
    <col min="1" max="1" width="9.7109375" style="1" customWidth="1"/>
    <col min="2" max="2" width="12.7109375" style="1" customWidth="1"/>
    <col min="3" max="3" width="44.28515625" style="1" bestFit="1" customWidth="1"/>
    <col min="4" max="7" width="7.28515625" style="182" customWidth="1"/>
    <col min="8" max="11" width="8.28515625" style="182" customWidth="1"/>
    <col min="12" max="12" width="14.5703125" style="3" customWidth="1"/>
    <col min="13" max="16384" width="12.7109375" style="7"/>
  </cols>
  <sheetData>
    <row r="1" spans="1:16" ht="15.75" customHeight="1">
      <c r="A1" s="208" t="s">
        <v>73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</row>
    <row r="2" spans="1:16" ht="15.75" customHeight="1">
      <c r="A2" s="388" t="s">
        <v>74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</row>
    <row r="3" spans="1:16" ht="15.75" customHeight="1">
      <c r="A3" s="210" t="s">
        <v>75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</row>
    <row r="4" spans="1:16" ht="15.75" customHeight="1" thickBot="1">
      <c r="A4" s="210" t="s">
        <v>9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</row>
    <row r="5" spans="1:16" s="39" customFormat="1" ht="25.5">
      <c r="A5" s="389" t="s">
        <v>103</v>
      </c>
      <c r="B5" s="390"/>
      <c r="C5" s="390"/>
      <c r="D5" s="390"/>
      <c r="E5" s="390"/>
      <c r="F5" s="390"/>
      <c r="G5" s="390"/>
      <c r="H5" s="390"/>
      <c r="I5" s="390"/>
      <c r="J5" s="390"/>
      <c r="K5" s="390"/>
      <c r="L5" s="391"/>
    </row>
    <row r="6" spans="1:16" s="39" customFormat="1" ht="18" customHeight="1">
      <c r="A6" s="385" t="str">
        <f>CONCATENATE(Class," ", spl)</f>
        <v xml:space="preserve">MCA I SEM I AY 2023-24 </v>
      </c>
      <c r="B6" s="386"/>
      <c r="C6" s="387"/>
      <c r="D6" s="385" t="s">
        <v>236</v>
      </c>
      <c r="E6" s="386"/>
      <c r="F6" s="386"/>
      <c r="G6" s="386"/>
      <c r="H6" s="386"/>
      <c r="I6" s="386"/>
      <c r="J6" s="386"/>
      <c r="K6" s="386"/>
      <c r="L6" s="387"/>
      <c r="P6" s="69"/>
    </row>
    <row r="7" spans="1:16" ht="18" customHeight="1">
      <c r="A7" s="268" t="s">
        <v>0</v>
      </c>
      <c r="B7" s="268" t="s">
        <v>6</v>
      </c>
      <c r="C7" s="268" t="s">
        <v>1</v>
      </c>
      <c r="D7" s="268"/>
      <c r="E7" s="268"/>
      <c r="F7" s="268"/>
      <c r="G7" s="268"/>
      <c r="H7" s="268"/>
      <c r="I7" s="268"/>
      <c r="J7" s="268"/>
      <c r="K7" s="268"/>
      <c r="L7" s="267" t="s">
        <v>49</v>
      </c>
      <c r="M7" s="39"/>
      <c r="N7" s="39"/>
      <c r="P7" s="69"/>
    </row>
    <row r="8" spans="1:16" ht="18" customHeight="1">
      <c r="A8" s="268"/>
      <c r="B8" s="268"/>
      <c r="C8" s="268"/>
      <c r="D8" s="181" t="s">
        <v>2</v>
      </c>
      <c r="E8" s="181" t="s">
        <v>3</v>
      </c>
      <c r="F8" s="181" t="s">
        <v>4</v>
      </c>
      <c r="G8" s="181" t="s">
        <v>10</v>
      </c>
      <c r="H8" s="181" t="s">
        <v>12</v>
      </c>
      <c r="I8" s="181"/>
      <c r="J8" s="181"/>
      <c r="K8" s="181"/>
      <c r="L8" s="267"/>
      <c r="M8" s="39"/>
      <c r="N8" s="39"/>
      <c r="P8" s="69"/>
    </row>
    <row r="9" spans="1:16" ht="18" customHeight="1">
      <c r="A9" s="268"/>
      <c r="B9" s="268"/>
      <c r="C9" s="268"/>
      <c r="D9" s="181">
        <v>5</v>
      </c>
      <c r="E9" s="181">
        <v>5</v>
      </c>
      <c r="F9" s="181">
        <v>5</v>
      </c>
      <c r="G9" s="181">
        <v>5</v>
      </c>
      <c r="H9" s="181">
        <v>5</v>
      </c>
      <c r="I9" s="181"/>
      <c r="J9" s="181"/>
      <c r="K9" s="181"/>
      <c r="L9" s="181">
        <f>SUM(D9:K9)</f>
        <v>25</v>
      </c>
      <c r="M9" s="39"/>
      <c r="N9" s="39"/>
      <c r="P9" s="69"/>
    </row>
    <row r="10" spans="1:16" ht="18" customHeight="1">
      <c r="A10" s="180">
        <v>1</v>
      </c>
      <c r="B10" s="157">
        <v>22101</v>
      </c>
      <c r="C10" s="158" t="s">
        <v>108</v>
      </c>
      <c r="D10" s="56">
        <v>4</v>
      </c>
      <c r="E10" s="56">
        <v>4</v>
      </c>
      <c r="F10" s="75">
        <v>4</v>
      </c>
      <c r="G10" s="75">
        <v>4</v>
      </c>
      <c r="H10" s="56">
        <v>4</v>
      </c>
      <c r="I10" s="56"/>
      <c r="J10" s="56"/>
      <c r="K10" s="56"/>
      <c r="L10" s="57">
        <f>IF(F10&lt;&gt;"AB",SUM(D10:K10),"AB")</f>
        <v>20</v>
      </c>
      <c r="M10" s="39"/>
      <c r="N10" s="39"/>
      <c r="P10" s="69"/>
    </row>
    <row r="11" spans="1:16" ht="18" customHeight="1">
      <c r="A11" s="180">
        <v>2</v>
      </c>
      <c r="B11" s="157">
        <v>22102</v>
      </c>
      <c r="C11" s="158" t="s">
        <v>109</v>
      </c>
      <c r="D11" s="56">
        <v>4</v>
      </c>
      <c r="E11" s="56">
        <v>5</v>
      </c>
      <c r="F11" s="75">
        <v>5</v>
      </c>
      <c r="G11" s="75">
        <v>4</v>
      </c>
      <c r="H11" s="56">
        <v>4</v>
      </c>
      <c r="I11" s="56"/>
      <c r="J11" s="56"/>
      <c r="K11" s="56"/>
      <c r="L11" s="57">
        <f t="shared" ref="L11:L74" si="0">IF(F11&lt;&gt;"AB",SUM(D11:K11),"AB")</f>
        <v>22</v>
      </c>
      <c r="M11" s="39"/>
      <c r="N11" s="39"/>
      <c r="P11" s="69"/>
    </row>
    <row r="12" spans="1:16" ht="18" customHeight="1">
      <c r="A12" s="180">
        <v>3</v>
      </c>
      <c r="B12" s="157">
        <v>22103</v>
      </c>
      <c r="C12" s="158" t="s">
        <v>110</v>
      </c>
      <c r="D12" s="75">
        <v>4</v>
      </c>
      <c r="E12" s="56">
        <v>4</v>
      </c>
      <c r="F12" s="75">
        <v>5</v>
      </c>
      <c r="G12" s="75">
        <v>4</v>
      </c>
      <c r="H12" s="56">
        <v>4</v>
      </c>
      <c r="I12" s="56"/>
      <c r="J12" s="56"/>
      <c r="K12" s="56"/>
      <c r="L12" s="57">
        <f t="shared" si="0"/>
        <v>21</v>
      </c>
      <c r="M12" s="39"/>
      <c r="N12" s="39"/>
      <c r="P12" s="69"/>
    </row>
    <row r="13" spans="1:16" ht="18" customHeight="1">
      <c r="A13" s="180">
        <v>4</v>
      </c>
      <c r="B13" s="157">
        <v>22104</v>
      </c>
      <c r="C13" s="158" t="s">
        <v>111</v>
      </c>
      <c r="D13" s="75">
        <v>5</v>
      </c>
      <c r="E13" s="56">
        <v>4</v>
      </c>
      <c r="F13" s="56">
        <v>4</v>
      </c>
      <c r="G13" s="56">
        <v>5</v>
      </c>
      <c r="H13" s="56">
        <v>5</v>
      </c>
      <c r="I13" s="56"/>
      <c r="J13" s="56"/>
      <c r="K13" s="56"/>
      <c r="L13" s="57">
        <f t="shared" si="0"/>
        <v>23</v>
      </c>
      <c r="M13" s="39"/>
      <c r="N13" s="39"/>
      <c r="P13" s="69"/>
    </row>
    <row r="14" spans="1:16" ht="18" customHeight="1">
      <c r="A14" s="180">
        <v>5</v>
      </c>
      <c r="B14" s="157">
        <v>22105</v>
      </c>
      <c r="C14" s="158" t="s">
        <v>112</v>
      </c>
      <c r="D14" s="75">
        <v>4</v>
      </c>
      <c r="E14" s="56">
        <v>4</v>
      </c>
      <c r="F14" s="56">
        <v>5</v>
      </c>
      <c r="G14" s="56">
        <v>5</v>
      </c>
      <c r="H14" s="56">
        <v>4</v>
      </c>
      <c r="I14" s="56"/>
      <c r="J14" s="56"/>
      <c r="K14" s="56"/>
      <c r="L14" s="57">
        <f t="shared" si="0"/>
        <v>22</v>
      </c>
      <c r="M14" s="39"/>
      <c r="N14" s="39"/>
      <c r="P14" s="69"/>
    </row>
    <row r="15" spans="1:16" ht="18" customHeight="1">
      <c r="A15" s="180">
        <v>6</v>
      </c>
      <c r="B15" s="157">
        <v>22106</v>
      </c>
      <c r="C15" s="158" t="s">
        <v>113</v>
      </c>
      <c r="D15" s="56">
        <v>4</v>
      </c>
      <c r="E15" s="56">
        <v>5</v>
      </c>
      <c r="F15" s="75">
        <v>5</v>
      </c>
      <c r="G15" s="75">
        <v>4</v>
      </c>
      <c r="H15" s="56">
        <v>4</v>
      </c>
      <c r="I15" s="56"/>
      <c r="J15" s="56"/>
      <c r="K15" s="56"/>
      <c r="L15" s="57">
        <f t="shared" si="0"/>
        <v>22</v>
      </c>
      <c r="M15" s="39"/>
      <c r="N15" s="39"/>
      <c r="P15" s="69"/>
    </row>
    <row r="16" spans="1:16" ht="18" customHeight="1">
      <c r="A16" s="180">
        <v>7</v>
      </c>
      <c r="B16" s="157">
        <v>22107</v>
      </c>
      <c r="C16" s="158" t="s">
        <v>114</v>
      </c>
      <c r="D16" s="56">
        <v>5</v>
      </c>
      <c r="E16" s="56">
        <v>2</v>
      </c>
      <c r="F16" s="75">
        <v>2</v>
      </c>
      <c r="G16" s="75">
        <v>1</v>
      </c>
      <c r="H16" s="56">
        <v>4</v>
      </c>
      <c r="I16" s="56"/>
      <c r="J16" s="56"/>
      <c r="K16" s="56"/>
      <c r="L16" s="57">
        <f t="shared" si="0"/>
        <v>14</v>
      </c>
      <c r="M16" s="39"/>
      <c r="N16" s="39"/>
      <c r="P16" s="69"/>
    </row>
    <row r="17" spans="1:16" ht="18" customHeight="1">
      <c r="A17" s="180">
        <v>8</v>
      </c>
      <c r="B17" s="157">
        <v>22108</v>
      </c>
      <c r="C17" s="158" t="s">
        <v>115</v>
      </c>
      <c r="D17" s="75">
        <v>4</v>
      </c>
      <c r="E17" s="56">
        <v>4</v>
      </c>
      <c r="F17" s="56">
        <v>5</v>
      </c>
      <c r="G17" s="56">
        <v>3</v>
      </c>
      <c r="H17" s="56">
        <v>3</v>
      </c>
      <c r="I17" s="56"/>
      <c r="J17" s="56"/>
      <c r="K17" s="56"/>
      <c r="L17" s="57">
        <f t="shared" si="0"/>
        <v>19</v>
      </c>
      <c r="M17" s="39"/>
      <c r="N17" s="39"/>
      <c r="P17" s="69"/>
    </row>
    <row r="18" spans="1:16" ht="18" customHeight="1">
      <c r="A18" s="180">
        <v>9</v>
      </c>
      <c r="B18" s="157">
        <v>22109</v>
      </c>
      <c r="C18" s="158" t="s">
        <v>116</v>
      </c>
      <c r="D18" s="56">
        <v>4</v>
      </c>
      <c r="E18" s="56">
        <v>4</v>
      </c>
      <c r="F18" s="75">
        <v>4</v>
      </c>
      <c r="G18" s="75">
        <v>5</v>
      </c>
      <c r="H18" s="56">
        <v>5</v>
      </c>
      <c r="I18" s="56"/>
      <c r="J18" s="56"/>
      <c r="K18" s="56"/>
      <c r="L18" s="57">
        <f t="shared" si="0"/>
        <v>22</v>
      </c>
      <c r="M18" s="39"/>
      <c r="N18" s="39"/>
      <c r="P18" s="69"/>
    </row>
    <row r="19" spans="1:16" ht="18" customHeight="1">
      <c r="A19" s="180">
        <v>10</v>
      </c>
      <c r="B19" s="157">
        <v>22110</v>
      </c>
      <c r="C19" s="158" t="s">
        <v>117</v>
      </c>
      <c r="D19" s="56">
        <v>5</v>
      </c>
      <c r="E19" s="56">
        <v>4</v>
      </c>
      <c r="F19" s="75">
        <v>4</v>
      </c>
      <c r="G19" s="75">
        <v>4</v>
      </c>
      <c r="H19" s="56">
        <v>5</v>
      </c>
      <c r="I19" s="56"/>
      <c r="J19" s="56"/>
      <c r="K19" s="56"/>
      <c r="L19" s="57">
        <f t="shared" si="0"/>
        <v>22</v>
      </c>
      <c r="M19" s="39"/>
      <c r="N19" s="39"/>
      <c r="P19" s="69"/>
    </row>
    <row r="20" spans="1:16" ht="18" customHeight="1">
      <c r="A20" s="180">
        <v>11</v>
      </c>
      <c r="B20" s="157">
        <v>22111</v>
      </c>
      <c r="C20" s="158" t="s">
        <v>118</v>
      </c>
      <c r="D20" s="56">
        <v>4</v>
      </c>
      <c r="E20" s="56">
        <v>4</v>
      </c>
      <c r="F20" s="75">
        <v>5</v>
      </c>
      <c r="G20" s="75">
        <v>4</v>
      </c>
      <c r="H20" s="56">
        <v>4</v>
      </c>
      <c r="I20" s="56"/>
      <c r="J20" s="56"/>
      <c r="K20" s="56"/>
      <c r="L20" s="57">
        <f t="shared" si="0"/>
        <v>21</v>
      </c>
      <c r="M20" s="39"/>
      <c r="N20" s="39"/>
      <c r="P20" s="69"/>
    </row>
    <row r="21" spans="1:16" ht="18" customHeight="1">
      <c r="A21" s="180">
        <v>12</v>
      </c>
      <c r="B21" s="157">
        <v>22112</v>
      </c>
      <c r="C21" s="158" t="s">
        <v>119</v>
      </c>
      <c r="D21" s="56">
        <v>2</v>
      </c>
      <c r="E21" s="56">
        <v>4</v>
      </c>
      <c r="F21" s="75">
        <v>4</v>
      </c>
      <c r="G21" s="75">
        <v>4</v>
      </c>
      <c r="H21" s="56">
        <v>5</v>
      </c>
      <c r="I21" s="56"/>
      <c r="J21" s="56"/>
      <c r="K21" s="56"/>
      <c r="L21" s="57">
        <f t="shared" si="0"/>
        <v>19</v>
      </c>
      <c r="M21" s="39"/>
      <c r="N21" s="39"/>
      <c r="P21" s="69"/>
    </row>
    <row r="22" spans="1:16" ht="18" customHeight="1">
      <c r="A22" s="180">
        <v>13</v>
      </c>
      <c r="B22" s="157">
        <v>22113</v>
      </c>
      <c r="C22" s="158" t="s">
        <v>120</v>
      </c>
      <c r="D22" s="56">
        <v>4</v>
      </c>
      <c r="E22" s="56">
        <v>5</v>
      </c>
      <c r="F22" s="75">
        <v>4</v>
      </c>
      <c r="G22" s="75">
        <v>5</v>
      </c>
      <c r="H22" s="56">
        <v>5</v>
      </c>
      <c r="I22" s="56"/>
      <c r="J22" s="56"/>
      <c r="K22" s="56"/>
      <c r="L22" s="57">
        <f t="shared" si="0"/>
        <v>23</v>
      </c>
      <c r="M22" s="39"/>
      <c r="N22" s="39"/>
      <c r="P22" s="69"/>
    </row>
    <row r="23" spans="1:16" ht="18" customHeight="1">
      <c r="A23" s="180">
        <v>14</v>
      </c>
      <c r="B23" s="157">
        <v>22114</v>
      </c>
      <c r="C23" s="158" t="s">
        <v>121</v>
      </c>
      <c r="D23" s="56">
        <v>4</v>
      </c>
      <c r="E23" s="56">
        <v>4</v>
      </c>
      <c r="F23" s="75">
        <v>5</v>
      </c>
      <c r="G23" s="75">
        <v>2</v>
      </c>
      <c r="H23" s="56">
        <v>2</v>
      </c>
      <c r="I23" s="56"/>
      <c r="J23" s="56"/>
      <c r="K23" s="56"/>
      <c r="L23" s="57">
        <f t="shared" si="0"/>
        <v>17</v>
      </c>
      <c r="M23" s="39"/>
      <c r="N23" s="39"/>
      <c r="P23" s="69"/>
    </row>
    <row r="24" spans="1:16" ht="18" customHeight="1">
      <c r="A24" s="180">
        <v>15</v>
      </c>
      <c r="B24" s="157">
        <v>22115</v>
      </c>
      <c r="C24" s="158" t="s">
        <v>122</v>
      </c>
      <c r="D24" s="56">
        <v>4</v>
      </c>
      <c r="E24" s="56">
        <v>4</v>
      </c>
      <c r="F24" s="75">
        <v>4</v>
      </c>
      <c r="G24" s="75">
        <v>1</v>
      </c>
      <c r="H24" s="56">
        <v>4</v>
      </c>
      <c r="I24" s="56"/>
      <c r="J24" s="56"/>
      <c r="K24" s="56"/>
      <c r="L24" s="57">
        <f t="shared" si="0"/>
        <v>17</v>
      </c>
      <c r="M24" s="39"/>
      <c r="N24" s="39"/>
      <c r="P24" s="69"/>
    </row>
    <row r="25" spans="1:16" ht="18" customHeight="1">
      <c r="A25" s="180">
        <v>16</v>
      </c>
      <c r="B25" s="157">
        <v>22116</v>
      </c>
      <c r="C25" s="158" t="s">
        <v>123</v>
      </c>
      <c r="D25" s="56">
        <v>4</v>
      </c>
      <c r="E25" s="56">
        <v>4</v>
      </c>
      <c r="F25" s="75">
        <v>4</v>
      </c>
      <c r="G25" s="75">
        <v>4</v>
      </c>
      <c r="H25" s="56">
        <v>4</v>
      </c>
      <c r="I25" s="56"/>
      <c r="J25" s="56"/>
      <c r="K25" s="56"/>
      <c r="L25" s="57">
        <f t="shared" si="0"/>
        <v>20</v>
      </c>
      <c r="M25" s="39"/>
      <c r="N25" s="39"/>
      <c r="P25" s="69"/>
    </row>
    <row r="26" spans="1:16" ht="18" customHeight="1">
      <c r="A26" s="180">
        <v>17</v>
      </c>
      <c r="B26" s="157">
        <v>22117</v>
      </c>
      <c r="C26" s="158" t="s">
        <v>124</v>
      </c>
      <c r="D26" s="56">
        <v>4</v>
      </c>
      <c r="E26" s="56">
        <v>5</v>
      </c>
      <c r="F26" s="75">
        <v>5</v>
      </c>
      <c r="G26" s="75">
        <v>4</v>
      </c>
      <c r="H26" s="56">
        <v>4</v>
      </c>
      <c r="I26" s="56"/>
      <c r="J26" s="56"/>
      <c r="K26" s="56"/>
      <c r="L26" s="57">
        <f t="shared" si="0"/>
        <v>22</v>
      </c>
      <c r="M26" s="39"/>
      <c r="N26" s="39"/>
      <c r="P26" s="69"/>
    </row>
    <row r="27" spans="1:16" ht="18" customHeight="1">
      <c r="A27" s="180">
        <v>18</v>
      </c>
      <c r="B27" s="157">
        <v>22118</v>
      </c>
      <c r="C27" s="158" t="s">
        <v>125</v>
      </c>
      <c r="D27" s="75">
        <v>4</v>
      </c>
      <c r="E27" s="56">
        <v>4</v>
      </c>
      <c r="F27" s="75">
        <v>5</v>
      </c>
      <c r="G27" s="75">
        <v>4</v>
      </c>
      <c r="H27" s="56">
        <v>4</v>
      </c>
      <c r="I27" s="56"/>
      <c r="J27" s="56"/>
      <c r="K27" s="56"/>
      <c r="L27" s="57">
        <f t="shared" si="0"/>
        <v>21</v>
      </c>
      <c r="M27" s="39"/>
      <c r="N27" s="39"/>
      <c r="P27" s="69"/>
    </row>
    <row r="28" spans="1:16" ht="18" customHeight="1">
      <c r="A28" s="180">
        <v>19</v>
      </c>
      <c r="B28" s="157">
        <v>22119</v>
      </c>
      <c r="C28" s="158" t="s">
        <v>126</v>
      </c>
      <c r="D28" s="75">
        <v>5</v>
      </c>
      <c r="E28" s="56">
        <v>4</v>
      </c>
      <c r="F28" s="56">
        <v>4</v>
      </c>
      <c r="G28" s="56">
        <v>5</v>
      </c>
      <c r="H28" s="56">
        <v>5</v>
      </c>
      <c r="I28" s="56"/>
      <c r="J28" s="56"/>
      <c r="K28" s="56"/>
      <c r="L28" s="57">
        <f t="shared" si="0"/>
        <v>23</v>
      </c>
      <c r="M28" s="39"/>
      <c r="N28" s="39"/>
      <c r="P28" s="69"/>
    </row>
    <row r="29" spans="1:16" ht="18" customHeight="1">
      <c r="A29" s="180">
        <v>20</v>
      </c>
      <c r="B29" s="157">
        <v>22120</v>
      </c>
      <c r="C29" s="158" t="s">
        <v>127</v>
      </c>
      <c r="D29" s="75">
        <v>4</v>
      </c>
      <c r="E29" s="56">
        <v>4</v>
      </c>
      <c r="F29" s="56">
        <v>5</v>
      </c>
      <c r="G29" s="56">
        <v>5</v>
      </c>
      <c r="H29" s="56">
        <v>4</v>
      </c>
      <c r="I29" s="56"/>
      <c r="J29" s="56"/>
      <c r="K29" s="56"/>
      <c r="L29" s="57">
        <f t="shared" si="0"/>
        <v>22</v>
      </c>
      <c r="M29" s="39"/>
      <c r="N29" s="39"/>
      <c r="P29" s="69"/>
    </row>
    <row r="30" spans="1:16" ht="18" customHeight="1">
      <c r="A30" s="180">
        <v>21</v>
      </c>
      <c r="B30" s="157">
        <v>22121</v>
      </c>
      <c r="C30" s="158" t="s">
        <v>128</v>
      </c>
      <c r="D30" s="56">
        <v>4</v>
      </c>
      <c r="E30" s="56">
        <v>5</v>
      </c>
      <c r="F30" s="75">
        <v>5</v>
      </c>
      <c r="G30" s="75">
        <v>4</v>
      </c>
      <c r="H30" s="56">
        <v>4</v>
      </c>
      <c r="I30" s="56"/>
      <c r="J30" s="56"/>
      <c r="K30" s="56"/>
      <c r="L30" s="57">
        <f t="shared" si="0"/>
        <v>22</v>
      </c>
      <c r="M30" s="39"/>
      <c r="N30" s="39"/>
      <c r="P30" s="69"/>
    </row>
    <row r="31" spans="1:16" ht="18" customHeight="1">
      <c r="A31" s="180">
        <v>22</v>
      </c>
      <c r="B31" s="157">
        <v>22122</v>
      </c>
      <c r="C31" s="158" t="s">
        <v>129</v>
      </c>
      <c r="D31" s="56">
        <v>5</v>
      </c>
      <c r="E31" s="56">
        <v>2</v>
      </c>
      <c r="F31" s="75">
        <v>2</v>
      </c>
      <c r="G31" s="75">
        <v>1</v>
      </c>
      <c r="H31" s="56">
        <v>4</v>
      </c>
      <c r="I31" s="56"/>
      <c r="J31" s="56"/>
      <c r="K31" s="56"/>
      <c r="L31" s="57">
        <f t="shared" si="0"/>
        <v>14</v>
      </c>
      <c r="M31" s="39"/>
      <c r="N31" s="39"/>
      <c r="P31" s="69"/>
    </row>
    <row r="32" spans="1:16" ht="18" customHeight="1">
      <c r="A32" s="180">
        <v>23</v>
      </c>
      <c r="B32" s="157">
        <v>22123</v>
      </c>
      <c r="C32" s="158" t="s">
        <v>130</v>
      </c>
      <c r="D32" s="56">
        <v>5</v>
      </c>
      <c r="E32" s="56">
        <v>4</v>
      </c>
      <c r="F32" s="75">
        <v>5</v>
      </c>
      <c r="G32" s="75">
        <v>4</v>
      </c>
      <c r="H32" s="56">
        <v>5</v>
      </c>
      <c r="I32" s="56"/>
      <c r="J32" s="56"/>
      <c r="K32" s="56"/>
      <c r="L32" s="57">
        <f t="shared" si="0"/>
        <v>23</v>
      </c>
      <c r="M32" s="39"/>
      <c r="N32" s="39"/>
      <c r="P32" s="69"/>
    </row>
    <row r="33" spans="1:16" ht="18" customHeight="1">
      <c r="A33" s="180">
        <v>24</v>
      </c>
      <c r="B33" s="157">
        <v>22124</v>
      </c>
      <c r="C33" s="158" t="s">
        <v>131</v>
      </c>
      <c r="D33" s="56">
        <v>5</v>
      </c>
      <c r="E33" s="56">
        <v>5</v>
      </c>
      <c r="F33" s="75">
        <v>5</v>
      </c>
      <c r="G33" s="75">
        <v>5</v>
      </c>
      <c r="H33" s="56">
        <v>5</v>
      </c>
      <c r="I33" s="56"/>
      <c r="J33" s="56"/>
      <c r="K33" s="56"/>
      <c r="L33" s="57">
        <f t="shared" si="0"/>
        <v>25</v>
      </c>
      <c r="M33" s="39"/>
      <c r="N33" s="39"/>
      <c r="P33" s="69"/>
    </row>
    <row r="34" spans="1:16" ht="18" customHeight="1">
      <c r="A34" s="180">
        <v>25</v>
      </c>
      <c r="B34" s="157">
        <v>22125</v>
      </c>
      <c r="C34" s="158" t="s">
        <v>132</v>
      </c>
      <c r="D34" s="56">
        <v>5</v>
      </c>
      <c r="E34" s="56">
        <v>4</v>
      </c>
      <c r="F34" s="75">
        <v>5</v>
      </c>
      <c r="G34" s="75">
        <v>5</v>
      </c>
      <c r="H34" s="56">
        <v>4</v>
      </c>
      <c r="I34" s="56"/>
      <c r="J34" s="56"/>
      <c r="K34" s="56"/>
      <c r="L34" s="57">
        <f t="shared" si="0"/>
        <v>23</v>
      </c>
      <c r="M34" s="39"/>
      <c r="N34" s="39"/>
      <c r="P34" s="69"/>
    </row>
    <row r="35" spans="1:16" ht="18" customHeight="1">
      <c r="A35" s="180">
        <v>26</v>
      </c>
      <c r="B35" s="157">
        <v>22126</v>
      </c>
      <c r="C35" s="158" t="s">
        <v>133</v>
      </c>
      <c r="D35" s="56">
        <v>4</v>
      </c>
      <c r="E35" s="56">
        <v>5</v>
      </c>
      <c r="F35" s="75">
        <v>4</v>
      </c>
      <c r="G35" s="75">
        <v>5</v>
      </c>
      <c r="H35" s="56">
        <v>5</v>
      </c>
      <c r="I35" s="56"/>
      <c r="J35" s="56"/>
      <c r="K35" s="56"/>
      <c r="L35" s="57">
        <f t="shared" si="0"/>
        <v>23</v>
      </c>
      <c r="M35" s="39"/>
      <c r="N35" s="39"/>
      <c r="P35" s="69"/>
    </row>
    <row r="36" spans="1:16" ht="18" customHeight="1">
      <c r="A36" s="180">
        <v>27</v>
      </c>
      <c r="B36" s="157">
        <v>22127</v>
      </c>
      <c r="C36" s="158" t="s">
        <v>134</v>
      </c>
      <c r="D36" s="56">
        <v>4</v>
      </c>
      <c r="E36" s="56">
        <v>5</v>
      </c>
      <c r="F36" s="75">
        <v>4</v>
      </c>
      <c r="G36" s="75">
        <v>4</v>
      </c>
      <c r="H36" s="56">
        <v>5</v>
      </c>
      <c r="I36" s="56"/>
      <c r="J36" s="56"/>
      <c r="K36" s="56"/>
      <c r="L36" s="57">
        <f t="shared" si="0"/>
        <v>22</v>
      </c>
      <c r="M36" s="39"/>
      <c r="N36" s="39"/>
      <c r="P36" s="69"/>
    </row>
    <row r="37" spans="1:16" ht="18" customHeight="1">
      <c r="A37" s="180">
        <v>28</v>
      </c>
      <c r="B37" s="157">
        <v>22128</v>
      </c>
      <c r="C37" s="158" t="s">
        <v>135</v>
      </c>
      <c r="D37" s="56">
        <v>4</v>
      </c>
      <c r="E37" s="56">
        <v>5</v>
      </c>
      <c r="F37" s="75">
        <v>5</v>
      </c>
      <c r="G37" s="75">
        <v>5</v>
      </c>
      <c r="H37" s="56">
        <v>5</v>
      </c>
      <c r="I37" s="56"/>
      <c r="J37" s="56"/>
      <c r="K37" s="56"/>
      <c r="L37" s="57">
        <f t="shared" si="0"/>
        <v>24</v>
      </c>
      <c r="M37" s="39"/>
      <c r="N37" s="39"/>
      <c r="P37" s="69"/>
    </row>
    <row r="38" spans="1:16" ht="18" customHeight="1">
      <c r="A38" s="180">
        <v>29</v>
      </c>
      <c r="B38" s="157">
        <v>22129</v>
      </c>
      <c r="C38" s="158" t="s">
        <v>136</v>
      </c>
      <c r="D38" s="56">
        <v>5</v>
      </c>
      <c r="E38" s="56">
        <v>4</v>
      </c>
      <c r="F38" s="75">
        <v>5</v>
      </c>
      <c r="G38" s="75">
        <v>4</v>
      </c>
      <c r="H38" s="56">
        <v>4</v>
      </c>
      <c r="I38" s="56"/>
      <c r="J38" s="56"/>
      <c r="K38" s="56"/>
      <c r="L38" s="57">
        <f t="shared" si="0"/>
        <v>22</v>
      </c>
      <c r="M38" s="39"/>
      <c r="N38" s="39"/>
      <c r="P38" s="69"/>
    </row>
    <row r="39" spans="1:16" ht="18" customHeight="1">
      <c r="A39" s="180">
        <v>30</v>
      </c>
      <c r="B39" s="157">
        <v>22130</v>
      </c>
      <c r="C39" s="158" t="s">
        <v>137</v>
      </c>
      <c r="D39" s="56">
        <v>4</v>
      </c>
      <c r="E39" s="56">
        <v>4</v>
      </c>
      <c r="F39" s="75">
        <v>4</v>
      </c>
      <c r="G39" s="75">
        <v>4</v>
      </c>
      <c r="H39" s="56">
        <v>4</v>
      </c>
      <c r="I39" s="56"/>
      <c r="J39" s="56"/>
      <c r="K39" s="56"/>
      <c r="L39" s="57">
        <f t="shared" si="0"/>
        <v>20</v>
      </c>
      <c r="M39" s="39"/>
      <c r="N39" s="39"/>
      <c r="P39" s="69"/>
    </row>
    <row r="40" spans="1:16" ht="18" customHeight="1">
      <c r="A40" s="180">
        <v>31</v>
      </c>
      <c r="B40" s="157">
        <v>22131</v>
      </c>
      <c r="C40" s="158" t="s">
        <v>138</v>
      </c>
      <c r="D40" s="56">
        <v>4</v>
      </c>
      <c r="E40" s="56">
        <v>5</v>
      </c>
      <c r="F40" s="75">
        <v>4</v>
      </c>
      <c r="G40" s="75">
        <v>5</v>
      </c>
      <c r="H40" s="56">
        <v>4</v>
      </c>
      <c r="I40" s="56"/>
      <c r="J40" s="56"/>
      <c r="K40" s="56"/>
      <c r="L40" s="57">
        <f t="shared" si="0"/>
        <v>22</v>
      </c>
      <c r="M40" s="39"/>
      <c r="N40" s="39"/>
      <c r="P40" s="69"/>
    </row>
    <row r="41" spans="1:16" ht="18" customHeight="1">
      <c r="A41" s="180">
        <v>32</v>
      </c>
      <c r="B41" s="157">
        <v>22132</v>
      </c>
      <c r="C41" s="158" t="s">
        <v>139</v>
      </c>
      <c r="D41" s="56">
        <v>4</v>
      </c>
      <c r="E41" s="56">
        <v>4</v>
      </c>
      <c r="F41" s="75">
        <v>4</v>
      </c>
      <c r="G41" s="75">
        <v>4</v>
      </c>
      <c r="H41" s="56">
        <v>4</v>
      </c>
      <c r="I41" s="56"/>
      <c r="J41" s="56"/>
      <c r="K41" s="56"/>
      <c r="L41" s="57">
        <f t="shared" si="0"/>
        <v>20</v>
      </c>
      <c r="M41" s="39"/>
      <c r="N41" s="39"/>
      <c r="P41" s="69"/>
    </row>
    <row r="42" spans="1:16" ht="18" customHeight="1">
      <c r="A42" s="180">
        <v>33</v>
      </c>
      <c r="B42" s="157">
        <v>22133</v>
      </c>
      <c r="C42" s="158" t="s">
        <v>140</v>
      </c>
      <c r="D42" s="56">
        <v>4</v>
      </c>
      <c r="E42" s="56">
        <v>5</v>
      </c>
      <c r="F42" s="75">
        <v>4</v>
      </c>
      <c r="G42" s="75">
        <v>4</v>
      </c>
      <c r="H42" s="56">
        <v>4</v>
      </c>
      <c r="I42" s="56"/>
      <c r="J42" s="56"/>
      <c r="K42" s="56"/>
      <c r="L42" s="57">
        <f t="shared" si="0"/>
        <v>21</v>
      </c>
      <c r="M42" s="39"/>
      <c r="N42" s="39"/>
      <c r="P42" s="69"/>
    </row>
    <row r="43" spans="1:16" ht="18" customHeight="1">
      <c r="A43" s="180">
        <v>34</v>
      </c>
      <c r="B43" s="157">
        <v>22134</v>
      </c>
      <c r="C43" s="158" t="s">
        <v>141</v>
      </c>
      <c r="D43" s="56">
        <v>5</v>
      </c>
      <c r="E43" s="56">
        <v>4</v>
      </c>
      <c r="F43" s="75">
        <v>4</v>
      </c>
      <c r="G43" s="75">
        <v>4</v>
      </c>
      <c r="H43" s="56">
        <v>4</v>
      </c>
      <c r="I43" s="56"/>
      <c r="J43" s="56"/>
      <c r="K43" s="56"/>
      <c r="L43" s="57">
        <f t="shared" si="0"/>
        <v>21</v>
      </c>
      <c r="M43" s="39"/>
      <c r="N43" s="39"/>
      <c r="P43" s="69"/>
    </row>
    <row r="44" spans="1:16" ht="18" customHeight="1">
      <c r="A44" s="180">
        <v>35</v>
      </c>
      <c r="B44" s="157">
        <v>22135</v>
      </c>
      <c r="C44" s="158" t="s">
        <v>142</v>
      </c>
      <c r="D44" s="56">
        <v>4</v>
      </c>
      <c r="E44" s="56">
        <v>5</v>
      </c>
      <c r="F44" s="75">
        <v>4</v>
      </c>
      <c r="G44" s="75">
        <v>5</v>
      </c>
      <c r="H44" s="56">
        <v>5</v>
      </c>
      <c r="I44" s="56"/>
      <c r="J44" s="56"/>
      <c r="K44" s="56"/>
      <c r="L44" s="57">
        <f t="shared" si="0"/>
        <v>23</v>
      </c>
      <c r="M44" s="39"/>
      <c r="N44" s="39"/>
      <c r="P44" s="69"/>
    </row>
    <row r="45" spans="1:16" ht="18" customHeight="1">
      <c r="A45" s="180">
        <v>36</v>
      </c>
      <c r="B45" s="157">
        <v>22136</v>
      </c>
      <c r="C45" s="158" t="s">
        <v>143</v>
      </c>
      <c r="D45" s="56">
        <v>4</v>
      </c>
      <c r="E45" s="56">
        <v>4</v>
      </c>
      <c r="F45" s="75">
        <v>4</v>
      </c>
      <c r="G45" s="75">
        <v>4</v>
      </c>
      <c r="H45" s="56">
        <v>4</v>
      </c>
      <c r="I45" s="56"/>
      <c r="J45" s="56"/>
      <c r="K45" s="56"/>
      <c r="L45" s="57">
        <f t="shared" si="0"/>
        <v>20</v>
      </c>
      <c r="M45" s="39"/>
      <c r="N45" s="39"/>
      <c r="P45" s="69"/>
    </row>
    <row r="46" spans="1:16" ht="18" customHeight="1">
      <c r="A46" s="180">
        <v>37</v>
      </c>
      <c r="B46" s="157">
        <v>22137</v>
      </c>
      <c r="C46" s="158" t="s">
        <v>144</v>
      </c>
      <c r="D46" s="56">
        <v>4</v>
      </c>
      <c r="E46" s="56">
        <v>4</v>
      </c>
      <c r="F46" s="75">
        <v>4</v>
      </c>
      <c r="G46" s="75">
        <v>4</v>
      </c>
      <c r="H46" s="56">
        <v>4</v>
      </c>
      <c r="I46" s="56"/>
      <c r="J46" s="56"/>
      <c r="K46" s="56"/>
      <c r="L46" s="57">
        <f t="shared" si="0"/>
        <v>20</v>
      </c>
      <c r="M46" s="39"/>
      <c r="N46" s="39"/>
      <c r="P46" s="69"/>
    </row>
    <row r="47" spans="1:16" ht="18" customHeight="1">
      <c r="A47" s="180">
        <v>38</v>
      </c>
      <c r="B47" s="157">
        <v>22138</v>
      </c>
      <c r="C47" s="158" t="s">
        <v>145</v>
      </c>
      <c r="D47" s="56">
        <v>4</v>
      </c>
      <c r="E47" s="56">
        <v>4</v>
      </c>
      <c r="F47" s="75">
        <v>5</v>
      </c>
      <c r="G47" s="75">
        <v>4</v>
      </c>
      <c r="H47" s="56">
        <v>4</v>
      </c>
      <c r="I47" s="56"/>
      <c r="J47" s="56"/>
      <c r="K47" s="56"/>
      <c r="L47" s="57">
        <f t="shared" si="0"/>
        <v>21</v>
      </c>
      <c r="M47" s="39"/>
      <c r="N47" s="39"/>
      <c r="P47" s="69"/>
    </row>
    <row r="48" spans="1:16" ht="18" customHeight="1">
      <c r="A48" s="180">
        <v>39</v>
      </c>
      <c r="B48" s="157">
        <v>22139</v>
      </c>
      <c r="C48" s="158" t="s">
        <v>146</v>
      </c>
      <c r="D48" s="56">
        <v>5</v>
      </c>
      <c r="E48" s="56">
        <v>4</v>
      </c>
      <c r="F48" s="75">
        <v>4</v>
      </c>
      <c r="G48" s="75">
        <v>4</v>
      </c>
      <c r="H48" s="56">
        <v>4</v>
      </c>
      <c r="I48" s="56"/>
      <c r="J48" s="56"/>
      <c r="K48" s="56"/>
      <c r="L48" s="57">
        <f t="shared" si="0"/>
        <v>21</v>
      </c>
      <c r="M48" s="39"/>
      <c r="N48" s="39"/>
      <c r="P48" s="69"/>
    </row>
    <row r="49" spans="1:16" ht="18" customHeight="1">
      <c r="A49" s="180">
        <v>40</v>
      </c>
      <c r="B49" s="157">
        <v>22140</v>
      </c>
      <c r="C49" s="158" t="s">
        <v>147</v>
      </c>
      <c r="D49" s="56">
        <v>5</v>
      </c>
      <c r="E49" s="56">
        <v>5</v>
      </c>
      <c r="F49" s="75">
        <v>5</v>
      </c>
      <c r="G49" s="75">
        <v>4</v>
      </c>
      <c r="H49" s="56">
        <v>5</v>
      </c>
      <c r="I49" s="56"/>
      <c r="J49" s="56"/>
      <c r="K49" s="56"/>
      <c r="L49" s="57">
        <f t="shared" si="0"/>
        <v>24</v>
      </c>
      <c r="M49" s="39"/>
      <c r="N49" s="39"/>
      <c r="P49" s="69"/>
    </row>
    <row r="50" spans="1:16" ht="18" customHeight="1">
      <c r="A50" s="180">
        <v>41</v>
      </c>
      <c r="B50" s="157">
        <v>22141</v>
      </c>
      <c r="C50" s="158" t="s">
        <v>148</v>
      </c>
      <c r="D50" s="56">
        <v>5</v>
      </c>
      <c r="E50" s="56">
        <v>4</v>
      </c>
      <c r="F50" s="75">
        <v>4</v>
      </c>
      <c r="G50" s="75">
        <v>4</v>
      </c>
      <c r="H50" s="56">
        <v>4</v>
      </c>
      <c r="I50" s="56"/>
      <c r="J50" s="56"/>
      <c r="K50" s="56"/>
      <c r="L50" s="57">
        <f t="shared" si="0"/>
        <v>21</v>
      </c>
      <c r="M50" s="39"/>
      <c r="N50" s="39"/>
      <c r="P50" s="69"/>
    </row>
    <row r="51" spans="1:16" ht="18" customHeight="1">
      <c r="A51" s="180">
        <v>42</v>
      </c>
      <c r="B51" s="157">
        <v>22142</v>
      </c>
      <c r="C51" s="158" t="s">
        <v>149</v>
      </c>
      <c r="D51" s="56">
        <v>4</v>
      </c>
      <c r="E51" s="56">
        <v>4</v>
      </c>
      <c r="F51" s="75">
        <v>4</v>
      </c>
      <c r="G51" s="75">
        <v>4</v>
      </c>
      <c r="H51" s="56">
        <v>5</v>
      </c>
      <c r="I51" s="56"/>
      <c r="J51" s="56"/>
      <c r="K51" s="56"/>
      <c r="L51" s="57">
        <f t="shared" si="0"/>
        <v>21</v>
      </c>
      <c r="M51" s="39"/>
      <c r="N51" s="39"/>
      <c r="P51" s="69"/>
    </row>
    <row r="52" spans="1:16" ht="18" customHeight="1">
      <c r="A52" s="180">
        <v>43</v>
      </c>
      <c r="B52" s="157">
        <v>22143</v>
      </c>
      <c r="C52" s="158" t="s">
        <v>150</v>
      </c>
      <c r="D52" s="56">
        <v>4</v>
      </c>
      <c r="E52" s="56">
        <v>4</v>
      </c>
      <c r="F52" s="75">
        <v>4</v>
      </c>
      <c r="G52" s="75">
        <v>4</v>
      </c>
      <c r="H52" s="56">
        <v>4</v>
      </c>
      <c r="I52" s="56"/>
      <c r="J52" s="56"/>
      <c r="K52" s="56"/>
      <c r="L52" s="57">
        <f t="shared" si="0"/>
        <v>20</v>
      </c>
      <c r="M52" s="39"/>
      <c r="N52" s="39"/>
      <c r="P52" s="69"/>
    </row>
    <row r="53" spans="1:16" ht="18" customHeight="1">
      <c r="A53" s="180">
        <v>44</v>
      </c>
      <c r="B53" s="157">
        <v>22144</v>
      </c>
      <c r="C53" s="158" t="s">
        <v>151</v>
      </c>
      <c r="D53" s="56">
        <v>5</v>
      </c>
      <c r="E53" s="56">
        <v>4</v>
      </c>
      <c r="F53" s="75">
        <v>4</v>
      </c>
      <c r="G53" s="75">
        <v>4</v>
      </c>
      <c r="H53" s="56">
        <v>4</v>
      </c>
      <c r="I53" s="56"/>
      <c r="J53" s="56"/>
      <c r="K53" s="56"/>
      <c r="L53" s="57">
        <f t="shared" si="0"/>
        <v>21</v>
      </c>
      <c r="M53" s="39"/>
      <c r="N53" s="39"/>
      <c r="P53" s="69"/>
    </row>
    <row r="54" spans="1:16" ht="18" customHeight="1">
      <c r="A54" s="180">
        <v>45</v>
      </c>
      <c r="B54" s="157">
        <v>22145</v>
      </c>
      <c r="C54" s="158" t="s">
        <v>152</v>
      </c>
      <c r="D54" s="56">
        <v>5</v>
      </c>
      <c r="E54" s="56">
        <v>4</v>
      </c>
      <c r="F54" s="75">
        <v>4</v>
      </c>
      <c r="G54" s="75">
        <v>5</v>
      </c>
      <c r="H54" s="56">
        <v>4</v>
      </c>
      <c r="I54" s="56"/>
      <c r="J54" s="56"/>
      <c r="K54" s="56"/>
      <c r="L54" s="57">
        <f t="shared" si="0"/>
        <v>22</v>
      </c>
      <c r="M54" s="39"/>
      <c r="N54" s="39"/>
      <c r="P54" s="69"/>
    </row>
    <row r="55" spans="1:16" ht="18" customHeight="1">
      <c r="A55" s="180">
        <v>46</v>
      </c>
      <c r="B55" s="157">
        <v>22146</v>
      </c>
      <c r="C55" s="158" t="s">
        <v>153</v>
      </c>
      <c r="D55" s="56">
        <v>4</v>
      </c>
      <c r="E55" s="56">
        <v>4</v>
      </c>
      <c r="F55" s="75">
        <v>4</v>
      </c>
      <c r="G55" s="75">
        <v>5</v>
      </c>
      <c r="H55" s="56">
        <v>5</v>
      </c>
      <c r="I55" s="56"/>
      <c r="J55" s="56"/>
      <c r="K55" s="56"/>
      <c r="L55" s="57">
        <f t="shared" si="0"/>
        <v>22</v>
      </c>
      <c r="M55" s="39"/>
      <c r="N55" s="39"/>
      <c r="P55" s="69"/>
    </row>
    <row r="56" spans="1:16" ht="18" customHeight="1">
      <c r="A56" s="180">
        <v>47</v>
      </c>
      <c r="B56" s="157">
        <v>22147</v>
      </c>
      <c r="C56" s="158" t="s">
        <v>154</v>
      </c>
      <c r="D56" s="56">
        <v>4</v>
      </c>
      <c r="E56" s="56">
        <v>4</v>
      </c>
      <c r="F56" s="75">
        <v>5</v>
      </c>
      <c r="G56" s="75">
        <v>4</v>
      </c>
      <c r="H56" s="56">
        <v>4</v>
      </c>
      <c r="I56" s="56"/>
      <c r="J56" s="56"/>
      <c r="K56" s="56"/>
      <c r="L56" s="57">
        <f t="shared" si="0"/>
        <v>21</v>
      </c>
      <c r="M56" s="39"/>
      <c r="N56" s="39"/>
      <c r="P56" s="69"/>
    </row>
    <row r="57" spans="1:16" ht="18" customHeight="1">
      <c r="A57" s="180">
        <v>48</v>
      </c>
      <c r="B57" s="157">
        <v>22148</v>
      </c>
      <c r="C57" s="158" t="s">
        <v>155</v>
      </c>
      <c r="D57" s="56">
        <v>4</v>
      </c>
      <c r="E57" s="56">
        <v>4</v>
      </c>
      <c r="F57" s="75">
        <v>4</v>
      </c>
      <c r="G57" s="75">
        <v>4</v>
      </c>
      <c r="H57" s="56">
        <v>4</v>
      </c>
      <c r="I57" s="56"/>
      <c r="J57" s="56"/>
      <c r="K57" s="56"/>
      <c r="L57" s="57">
        <f t="shared" si="0"/>
        <v>20</v>
      </c>
      <c r="M57" s="39"/>
      <c r="N57" s="39"/>
      <c r="P57" s="69"/>
    </row>
    <row r="58" spans="1:16" ht="18" customHeight="1">
      <c r="A58" s="180">
        <v>49</v>
      </c>
      <c r="B58" s="157">
        <v>22149</v>
      </c>
      <c r="C58" s="158" t="s">
        <v>156</v>
      </c>
      <c r="D58" s="56">
        <v>4</v>
      </c>
      <c r="E58" s="56">
        <v>5</v>
      </c>
      <c r="F58" s="75">
        <v>5</v>
      </c>
      <c r="G58" s="75">
        <v>4</v>
      </c>
      <c r="H58" s="56">
        <v>4</v>
      </c>
      <c r="I58" s="56"/>
      <c r="J58" s="56"/>
      <c r="K58" s="56"/>
      <c r="L58" s="57">
        <f t="shared" si="0"/>
        <v>22</v>
      </c>
      <c r="M58" s="39"/>
      <c r="N58" s="39"/>
      <c r="P58" s="69"/>
    </row>
    <row r="59" spans="1:16" ht="18" customHeight="1">
      <c r="A59" s="180">
        <v>50</v>
      </c>
      <c r="B59" s="157">
        <v>22150</v>
      </c>
      <c r="C59" s="158" t="s">
        <v>157</v>
      </c>
      <c r="D59" s="75">
        <v>4</v>
      </c>
      <c r="E59" s="56">
        <v>4</v>
      </c>
      <c r="F59" s="75">
        <v>5</v>
      </c>
      <c r="G59" s="75">
        <v>4</v>
      </c>
      <c r="H59" s="56">
        <v>4</v>
      </c>
      <c r="I59" s="56"/>
      <c r="J59" s="56"/>
      <c r="K59" s="56"/>
      <c r="L59" s="57">
        <f t="shared" si="0"/>
        <v>21</v>
      </c>
      <c r="M59" s="39"/>
      <c r="N59" s="39"/>
      <c r="P59" s="69"/>
    </row>
    <row r="60" spans="1:16" ht="18" customHeight="1">
      <c r="A60" s="180">
        <v>51</v>
      </c>
      <c r="B60" s="157">
        <v>22151</v>
      </c>
      <c r="C60" s="158" t="s">
        <v>158</v>
      </c>
      <c r="D60" s="75">
        <v>5</v>
      </c>
      <c r="E60" s="56">
        <v>4</v>
      </c>
      <c r="F60" s="56">
        <v>4</v>
      </c>
      <c r="G60" s="56">
        <v>5</v>
      </c>
      <c r="H60" s="56">
        <v>5</v>
      </c>
      <c r="I60" s="56"/>
      <c r="J60" s="56"/>
      <c r="K60" s="56"/>
      <c r="L60" s="57">
        <f t="shared" si="0"/>
        <v>23</v>
      </c>
      <c r="M60" s="39"/>
      <c r="N60" s="39"/>
      <c r="P60" s="69"/>
    </row>
    <row r="61" spans="1:16" ht="18" customHeight="1">
      <c r="A61" s="180">
        <v>52</v>
      </c>
      <c r="B61" s="157">
        <v>22152</v>
      </c>
      <c r="C61" s="158" t="s">
        <v>159</v>
      </c>
      <c r="D61" s="75">
        <v>4</v>
      </c>
      <c r="E61" s="56">
        <v>4</v>
      </c>
      <c r="F61" s="56">
        <v>5</v>
      </c>
      <c r="G61" s="56">
        <v>5</v>
      </c>
      <c r="H61" s="56">
        <v>4</v>
      </c>
      <c r="I61" s="56"/>
      <c r="J61" s="56"/>
      <c r="K61" s="56"/>
      <c r="L61" s="57">
        <f t="shared" si="0"/>
        <v>22</v>
      </c>
      <c r="M61" s="39"/>
      <c r="N61" s="39"/>
      <c r="P61" s="69"/>
    </row>
    <row r="62" spans="1:16" ht="18" customHeight="1">
      <c r="A62" s="180">
        <v>53</v>
      </c>
      <c r="B62" s="157">
        <v>22153</v>
      </c>
      <c r="C62" s="158" t="s">
        <v>160</v>
      </c>
      <c r="D62" s="56">
        <v>4</v>
      </c>
      <c r="E62" s="56">
        <v>5</v>
      </c>
      <c r="F62" s="75">
        <v>5</v>
      </c>
      <c r="G62" s="75">
        <v>4</v>
      </c>
      <c r="H62" s="56">
        <v>4</v>
      </c>
      <c r="I62" s="56"/>
      <c r="J62" s="56"/>
      <c r="K62" s="56"/>
      <c r="L62" s="57">
        <f t="shared" si="0"/>
        <v>22</v>
      </c>
      <c r="M62" s="39"/>
      <c r="N62" s="39"/>
      <c r="P62" s="69"/>
    </row>
    <row r="63" spans="1:16" ht="18" customHeight="1">
      <c r="A63" s="180">
        <v>54</v>
      </c>
      <c r="B63" s="157">
        <v>22154</v>
      </c>
      <c r="C63" s="158" t="s">
        <v>161</v>
      </c>
      <c r="D63" s="56">
        <v>5</v>
      </c>
      <c r="E63" s="56">
        <v>2</v>
      </c>
      <c r="F63" s="75">
        <v>2</v>
      </c>
      <c r="G63" s="75">
        <v>1</v>
      </c>
      <c r="H63" s="56">
        <v>4</v>
      </c>
      <c r="I63" s="56"/>
      <c r="J63" s="56"/>
      <c r="K63" s="56"/>
      <c r="L63" s="57">
        <f t="shared" si="0"/>
        <v>14</v>
      </c>
      <c r="M63" s="39"/>
      <c r="N63" s="39"/>
      <c r="P63" s="69"/>
    </row>
    <row r="64" spans="1:16" ht="18" customHeight="1">
      <c r="A64" s="180">
        <v>55</v>
      </c>
      <c r="B64" s="157">
        <v>22155</v>
      </c>
      <c r="C64" s="158" t="s">
        <v>162</v>
      </c>
      <c r="D64" s="56">
        <v>4</v>
      </c>
      <c r="E64" s="56">
        <v>5</v>
      </c>
      <c r="F64" s="75">
        <v>4</v>
      </c>
      <c r="G64" s="75">
        <v>4</v>
      </c>
      <c r="H64" s="56">
        <v>4</v>
      </c>
      <c r="I64" s="56"/>
      <c r="J64" s="56"/>
      <c r="K64" s="56"/>
      <c r="L64" s="57">
        <f t="shared" si="0"/>
        <v>21</v>
      </c>
      <c r="M64" s="39"/>
      <c r="N64" s="39"/>
      <c r="P64" s="69"/>
    </row>
    <row r="65" spans="1:16" ht="18" customHeight="1">
      <c r="A65" s="180">
        <v>56</v>
      </c>
      <c r="B65" s="157">
        <v>22156</v>
      </c>
      <c r="C65" s="158" t="s">
        <v>163</v>
      </c>
      <c r="D65" s="56">
        <v>5</v>
      </c>
      <c r="E65" s="56">
        <v>4</v>
      </c>
      <c r="F65" s="75">
        <v>4</v>
      </c>
      <c r="G65" s="75">
        <v>5</v>
      </c>
      <c r="H65" s="56">
        <v>5</v>
      </c>
      <c r="I65" s="56"/>
      <c r="J65" s="56"/>
      <c r="K65" s="56"/>
      <c r="L65" s="57">
        <f t="shared" si="0"/>
        <v>23</v>
      </c>
      <c r="M65" s="39"/>
      <c r="N65" s="39"/>
      <c r="P65" s="69"/>
    </row>
    <row r="66" spans="1:16" ht="18" customHeight="1">
      <c r="A66" s="180">
        <v>57</v>
      </c>
      <c r="B66" s="157">
        <v>22157</v>
      </c>
      <c r="C66" s="158" t="s">
        <v>164</v>
      </c>
      <c r="D66" s="56">
        <v>4</v>
      </c>
      <c r="E66" s="56">
        <v>4</v>
      </c>
      <c r="F66" s="75">
        <v>4</v>
      </c>
      <c r="G66" s="75">
        <v>5</v>
      </c>
      <c r="H66" s="56">
        <v>4</v>
      </c>
      <c r="I66" s="56"/>
      <c r="J66" s="56"/>
      <c r="K66" s="56"/>
      <c r="L66" s="57">
        <f t="shared" si="0"/>
        <v>21</v>
      </c>
      <c r="M66" s="39"/>
      <c r="N66" s="39"/>
      <c r="P66" s="69"/>
    </row>
    <row r="67" spans="1:16" ht="15.75" customHeight="1">
      <c r="A67" s="180">
        <v>58</v>
      </c>
      <c r="B67" s="157">
        <v>22158</v>
      </c>
      <c r="C67" s="158" t="s">
        <v>165</v>
      </c>
      <c r="D67" s="56">
        <v>5</v>
      </c>
      <c r="E67" s="56">
        <v>4</v>
      </c>
      <c r="F67" s="75">
        <v>4</v>
      </c>
      <c r="G67" s="75">
        <v>4</v>
      </c>
      <c r="H67" s="56">
        <v>4</v>
      </c>
      <c r="I67" s="56"/>
      <c r="J67" s="56"/>
      <c r="K67" s="56"/>
      <c r="L67" s="57">
        <f t="shared" si="0"/>
        <v>21</v>
      </c>
    </row>
    <row r="68" spans="1:16" ht="15.75" customHeight="1">
      <c r="A68" s="180">
        <v>59</v>
      </c>
      <c r="B68" s="157">
        <v>22159</v>
      </c>
      <c r="C68" s="158" t="s">
        <v>166</v>
      </c>
      <c r="D68" s="56">
        <v>4</v>
      </c>
      <c r="E68" s="56">
        <v>4</v>
      </c>
      <c r="F68" s="75">
        <v>4</v>
      </c>
      <c r="G68" s="75">
        <v>4</v>
      </c>
      <c r="H68" s="56">
        <v>4</v>
      </c>
      <c r="I68" s="56"/>
      <c r="J68" s="56"/>
      <c r="K68" s="56"/>
      <c r="L68" s="57">
        <f t="shared" si="0"/>
        <v>20</v>
      </c>
    </row>
    <row r="69" spans="1:16" ht="15.75" customHeight="1">
      <c r="A69" s="180">
        <v>60</v>
      </c>
      <c r="B69" s="157">
        <v>22160</v>
      </c>
      <c r="C69" s="158" t="s">
        <v>167</v>
      </c>
      <c r="D69" s="56">
        <v>4</v>
      </c>
      <c r="E69" s="56">
        <v>5</v>
      </c>
      <c r="F69" s="75">
        <v>5</v>
      </c>
      <c r="G69" s="75">
        <v>4</v>
      </c>
      <c r="H69" s="56">
        <v>4</v>
      </c>
      <c r="I69" s="56"/>
      <c r="J69" s="56"/>
      <c r="K69" s="56"/>
      <c r="L69" s="57">
        <f t="shared" si="0"/>
        <v>22</v>
      </c>
    </row>
    <row r="70" spans="1:16" ht="15.75" customHeight="1">
      <c r="A70" s="180">
        <v>61</v>
      </c>
      <c r="B70" s="157">
        <v>22161</v>
      </c>
      <c r="C70" s="158" t="s">
        <v>168</v>
      </c>
      <c r="D70" s="75">
        <v>4</v>
      </c>
      <c r="E70" s="56">
        <v>4</v>
      </c>
      <c r="F70" s="75">
        <v>5</v>
      </c>
      <c r="G70" s="75">
        <v>4</v>
      </c>
      <c r="H70" s="56">
        <v>4</v>
      </c>
      <c r="I70" s="56"/>
      <c r="J70" s="56"/>
      <c r="K70" s="56"/>
      <c r="L70" s="57">
        <f t="shared" si="0"/>
        <v>21</v>
      </c>
    </row>
    <row r="71" spans="1:16" ht="15.75" customHeight="1">
      <c r="A71" s="180">
        <v>62</v>
      </c>
      <c r="B71" s="157">
        <v>22162</v>
      </c>
      <c r="C71" s="158" t="s">
        <v>169</v>
      </c>
      <c r="D71" s="75">
        <v>5</v>
      </c>
      <c r="E71" s="56">
        <v>4</v>
      </c>
      <c r="F71" s="56">
        <v>4</v>
      </c>
      <c r="G71" s="56">
        <v>5</v>
      </c>
      <c r="H71" s="56">
        <v>5</v>
      </c>
      <c r="I71" s="56"/>
      <c r="J71" s="56"/>
      <c r="K71" s="56"/>
      <c r="L71" s="57">
        <f t="shared" si="0"/>
        <v>23</v>
      </c>
    </row>
    <row r="72" spans="1:16" ht="15.75" customHeight="1">
      <c r="A72" s="180">
        <v>63</v>
      </c>
      <c r="B72" s="157">
        <v>22163</v>
      </c>
      <c r="C72" s="158" t="s">
        <v>170</v>
      </c>
      <c r="D72" s="75">
        <v>4</v>
      </c>
      <c r="E72" s="56">
        <v>4</v>
      </c>
      <c r="F72" s="56">
        <v>5</v>
      </c>
      <c r="G72" s="56">
        <v>5</v>
      </c>
      <c r="H72" s="56">
        <v>4</v>
      </c>
      <c r="I72" s="56"/>
      <c r="J72" s="56"/>
      <c r="K72" s="56"/>
      <c r="L72" s="57">
        <f t="shared" si="0"/>
        <v>22</v>
      </c>
    </row>
    <row r="73" spans="1:16" ht="15.75" customHeight="1">
      <c r="A73" s="180">
        <v>64</v>
      </c>
      <c r="B73" s="157">
        <v>22164</v>
      </c>
      <c r="C73" s="158" t="s">
        <v>171</v>
      </c>
      <c r="D73" s="56">
        <v>4</v>
      </c>
      <c r="E73" s="56">
        <v>5</v>
      </c>
      <c r="F73" s="75">
        <v>5</v>
      </c>
      <c r="G73" s="75">
        <v>4</v>
      </c>
      <c r="H73" s="56">
        <v>4</v>
      </c>
      <c r="I73" s="56"/>
      <c r="J73" s="56"/>
      <c r="K73" s="56"/>
      <c r="L73" s="57">
        <f t="shared" si="0"/>
        <v>22</v>
      </c>
    </row>
    <row r="74" spans="1:16" ht="15.75" customHeight="1">
      <c r="A74" s="180">
        <v>65</v>
      </c>
      <c r="B74" s="157">
        <v>22165</v>
      </c>
      <c r="C74" s="158" t="s">
        <v>172</v>
      </c>
      <c r="D74" s="56">
        <v>5</v>
      </c>
      <c r="E74" s="56">
        <v>2</v>
      </c>
      <c r="F74" s="75">
        <v>2</v>
      </c>
      <c r="G74" s="75">
        <v>1</v>
      </c>
      <c r="H74" s="56">
        <v>4</v>
      </c>
      <c r="I74" s="75"/>
      <c r="J74" s="75"/>
      <c r="K74" s="75"/>
      <c r="L74" s="57">
        <f t="shared" si="0"/>
        <v>14</v>
      </c>
    </row>
    <row r="75" spans="1:16" ht="15.75" customHeight="1">
      <c r="A75" s="180">
        <v>66</v>
      </c>
      <c r="B75" s="157">
        <v>22166</v>
      </c>
      <c r="C75" s="158" t="s">
        <v>173</v>
      </c>
      <c r="D75" s="75">
        <v>4</v>
      </c>
      <c r="E75" s="56">
        <v>1</v>
      </c>
      <c r="F75" s="56">
        <v>4</v>
      </c>
      <c r="G75" s="56">
        <v>5</v>
      </c>
      <c r="H75" s="56">
        <v>4</v>
      </c>
      <c r="I75" s="56"/>
      <c r="J75" s="56"/>
      <c r="K75" s="56"/>
      <c r="L75" s="57">
        <f t="shared" ref="L75:L117" si="1">IF(F75&lt;&gt;"AB",SUM(D75:K75),"AB")</f>
        <v>18</v>
      </c>
    </row>
    <row r="76" spans="1:16" ht="15.75" customHeight="1">
      <c r="A76" s="180">
        <v>67</v>
      </c>
      <c r="B76" s="157">
        <v>22167</v>
      </c>
      <c r="C76" s="158" t="s">
        <v>174</v>
      </c>
      <c r="D76" s="75">
        <v>5</v>
      </c>
      <c r="E76" s="56">
        <v>5</v>
      </c>
      <c r="F76" s="56">
        <v>5</v>
      </c>
      <c r="G76" s="56">
        <v>5</v>
      </c>
      <c r="H76" s="56">
        <v>5</v>
      </c>
      <c r="I76" s="56"/>
      <c r="J76" s="56"/>
      <c r="K76" s="56"/>
      <c r="L76" s="57">
        <f t="shared" si="1"/>
        <v>25</v>
      </c>
    </row>
    <row r="77" spans="1:16" ht="15.75" customHeight="1">
      <c r="A77" s="180">
        <v>68</v>
      </c>
      <c r="B77" s="157">
        <v>22168</v>
      </c>
      <c r="C77" s="158" t="s">
        <v>175</v>
      </c>
      <c r="D77" s="56">
        <v>4</v>
      </c>
      <c r="E77" s="56">
        <v>5</v>
      </c>
      <c r="F77" s="75">
        <v>4</v>
      </c>
      <c r="G77" s="75">
        <v>5</v>
      </c>
      <c r="H77" s="56">
        <v>5</v>
      </c>
      <c r="I77" s="56"/>
      <c r="J77" s="56"/>
      <c r="K77" s="56"/>
      <c r="L77" s="57">
        <f t="shared" si="1"/>
        <v>23</v>
      </c>
    </row>
    <row r="78" spans="1:16" ht="15.75" customHeight="1">
      <c r="A78" s="180">
        <v>69</v>
      </c>
      <c r="B78" s="157">
        <v>22201</v>
      </c>
      <c r="C78" s="158" t="s">
        <v>176</v>
      </c>
      <c r="D78" s="75">
        <v>5</v>
      </c>
      <c r="E78" s="56">
        <v>4</v>
      </c>
      <c r="F78" s="56">
        <v>4</v>
      </c>
      <c r="G78" s="56">
        <v>5</v>
      </c>
      <c r="H78" s="56">
        <v>5</v>
      </c>
      <c r="I78" s="56"/>
      <c r="J78" s="56"/>
      <c r="K78" s="56"/>
      <c r="L78" s="57">
        <f t="shared" si="1"/>
        <v>23</v>
      </c>
    </row>
    <row r="79" spans="1:16" ht="15.75" customHeight="1">
      <c r="A79" s="180">
        <v>70</v>
      </c>
      <c r="B79" s="157">
        <v>22202</v>
      </c>
      <c r="C79" s="158" t="s">
        <v>177</v>
      </c>
      <c r="D79" s="75">
        <v>5</v>
      </c>
      <c r="E79" s="56">
        <v>5</v>
      </c>
      <c r="F79" s="56">
        <v>5</v>
      </c>
      <c r="G79" s="56">
        <v>4</v>
      </c>
      <c r="H79" s="56">
        <v>5</v>
      </c>
      <c r="I79" s="56"/>
      <c r="J79" s="56"/>
      <c r="K79" s="56"/>
      <c r="L79" s="57">
        <f t="shared" si="1"/>
        <v>24</v>
      </c>
    </row>
    <row r="80" spans="1:16" ht="15.75" customHeight="1">
      <c r="A80" s="180">
        <v>71</v>
      </c>
      <c r="B80" s="157">
        <v>22203</v>
      </c>
      <c r="C80" s="158" t="s">
        <v>178</v>
      </c>
      <c r="D80" s="75">
        <v>5</v>
      </c>
      <c r="E80" s="56">
        <v>5</v>
      </c>
      <c r="F80" s="56">
        <v>5</v>
      </c>
      <c r="G80" s="56">
        <v>5</v>
      </c>
      <c r="H80" s="56">
        <v>5</v>
      </c>
      <c r="I80" s="56"/>
      <c r="J80" s="56"/>
      <c r="K80" s="56"/>
      <c r="L80" s="57">
        <f t="shared" si="1"/>
        <v>25</v>
      </c>
    </row>
    <row r="81" spans="1:12" ht="15.75" customHeight="1">
      <c r="A81" s="180">
        <v>72</v>
      </c>
      <c r="B81" s="157">
        <v>22204</v>
      </c>
      <c r="C81" s="158" t="s">
        <v>179</v>
      </c>
      <c r="D81" s="75">
        <v>4</v>
      </c>
      <c r="E81" s="56">
        <v>5</v>
      </c>
      <c r="F81" s="56">
        <v>5</v>
      </c>
      <c r="G81" s="56">
        <v>5</v>
      </c>
      <c r="H81" s="56">
        <v>4</v>
      </c>
      <c r="I81" s="56"/>
      <c r="J81" s="56"/>
      <c r="K81" s="56"/>
      <c r="L81" s="57">
        <f t="shared" si="1"/>
        <v>23</v>
      </c>
    </row>
    <row r="82" spans="1:12" ht="15.75" customHeight="1">
      <c r="A82" s="180">
        <v>73</v>
      </c>
      <c r="B82" s="157">
        <v>22205</v>
      </c>
      <c r="C82" s="158" t="s">
        <v>180</v>
      </c>
      <c r="D82" s="75">
        <v>4</v>
      </c>
      <c r="E82" s="56">
        <v>5</v>
      </c>
      <c r="F82" s="56">
        <v>5</v>
      </c>
      <c r="G82" s="56">
        <v>5</v>
      </c>
      <c r="H82" s="56">
        <v>4</v>
      </c>
      <c r="I82" s="56"/>
      <c r="J82" s="56"/>
      <c r="K82" s="56"/>
      <c r="L82" s="57">
        <f t="shared" si="1"/>
        <v>23</v>
      </c>
    </row>
    <row r="83" spans="1:12" ht="15.75" customHeight="1">
      <c r="A83" s="180">
        <v>74</v>
      </c>
      <c r="B83" s="157">
        <v>22206</v>
      </c>
      <c r="C83" s="158" t="s">
        <v>181</v>
      </c>
      <c r="D83" s="75">
        <v>4</v>
      </c>
      <c r="E83" s="56">
        <v>5</v>
      </c>
      <c r="F83" s="56">
        <v>5</v>
      </c>
      <c r="G83" s="56">
        <v>5</v>
      </c>
      <c r="H83" s="56">
        <v>5</v>
      </c>
      <c r="I83" s="56"/>
      <c r="J83" s="56"/>
      <c r="K83" s="56"/>
      <c r="L83" s="57">
        <f t="shared" si="1"/>
        <v>24</v>
      </c>
    </row>
    <row r="84" spans="1:12" ht="15.75" customHeight="1">
      <c r="A84" s="180">
        <v>75</v>
      </c>
      <c r="B84" s="157">
        <v>22207</v>
      </c>
      <c r="C84" s="158" t="s">
        <v>182</v>
      </c>
      <c r="D84" s="75">
        <v>5</v>
      </c>
      <c r="E84" s="56">
        <v>5</v>
      </c>
      <c r="F84" s="56">
        <v>4</v>
      </c>
      <c r="G84" s="56">
        <v>5</v>
      </c>
      <c r="H84" s="56">
        <v>5</v>
      </c>
      <c r="I84" s="56"/>
      <c r="J84" s="56"/>
      <c r="K84" s="56"/>
      <c r="L84" s="57">
        <f t="shared" si="1"/>
        <v>24</v>
      </c>
    </row>
    <row r="85" spans="1:12" ht="15.75" customHeight="1">
      <c r="A85" s="180">
        <v>76</v>
      </c>
      <c r="B85" s="157">
        <v>22208</v>
      </c>
      <c r="C85" s="158" t="s">
        <v>183</v>
      </c>
      <c r="D85" s="75">
        <v>5</v>
      </c>
      <c r="E85" s="56">
        <v>5</v>
      </c>
      <c r="F85" s="56">
        <v>5</v>
      </c>
      <c r="G85" s="56">
        <v>5</v>
      </c>
      <c r="H85" s="56">
        <v>5</v>
      </c>
      <c r="I85" s="56"/>
      <c r="J85" s="56"/>
      <c r="K85" s="56"/>
      <c r="L85" s="57">
        <f t="shared" si="1"/>
        <v>25</v>
      </c>
    </row>
    <row r="86" spans="1:12" ht="15.75" customHeight="1">
      <c r="A86" s="180">
        <v>77</v>
      </c>
      <c r="B86" s="157">
        <v>22209</v>
      </c>
      <c r="C86" s="158" t="s">
        <v>184</v>
      </c>
      <c r="D86" s="75">
        <v>5</v>
      </c>
      <c r="E86" s="56">
        <v>4</v>
      </c>
      <c r="F86" s="56">
        <v>5</v>
      </c>
      <c r="G86" s="56">
        <v>4</v>
      </c>
      <c r="H86" s="56">
        <v>4</v>
      </c>
      <c r="I86" s="56"/>
      <c r="J86" s="56"/>
      <c r="K86" s="56"/>
      <c r="L86" s="57">
        <f t="shared" si="1"/>
        <v>22</v>
      </c>
    </row>
    <row r="87" spans="1:12" ht="15.75" customHeight="1">
      <c r="A87" s="180">
        <v>78</v>
      </c>
      <c r="B87" s="157">
        <v>22210</v>
      </c>
      <c r="C87" s="158" t="s">
        <v>185</v>
      </c>
      <c r="D87" s="75">
        <v>5</v>
      </c>
      <c r="E87" s="75">
        <v>5</v>
      </c>
      <c r="F87" s="75">
        <v>4</v>
      </c>
      <c r="G87" s="75">
        <v>5</v>
      </c>
      <c r="H87" s="75">
        <v>4</v>
      </c>
      <c r="I87" s="75"/>
      <c r="J87" s="75"/>
      <c r="K87" s="75"/>
      <c r="L87" s="57">
        <f t="shared" si="1"/>
        <v>23</v>
      </c>
    </row>
    <row r="88" spans="1:12" ht="15.75" customHeight="1">
      <c r="A88" s="180">
        <v>79</v>
      </c>
      <c r="B88" s="157">
        <v>22211</v>
      </c>
      <c r="C88" s="158" t="s">
        <v>186</v>
      </c>
      <c r="D88" s="75">
        <v>5</v>
      </c>
      <c r="E88" s="56">
        <v>5</v>
      </c>
      <c r="F88" s="56">
        <v>4</v>
      </c>
      <c r="G88" s="56">
        <v>5</v>
      </c>
      <c r="H88" s="56">
        <v>4</v>
      </c>
      <c r="I88" s="56"/>
      <c r="J88" s="56"/>
      <c r="K88" s="56"/>
      <c r="L88" s="57">
        <f t="shared" si="1"/>
        <v>23</v>
      </c>
    </row>
    <row r="89" spans="1:12" ht="15.75" customHeight="1">
      <c r="A89" s="180">
        <v>80</v>
      </c>
      <c r="B89" s="157">
        <v>22212</v>
      </c>
      <c r="C89" s="158" t="s">
        <v>187</v>
      </c>
      <c r="D89" s="75">
        <v>5</v>
      </c>
      <c r="E89" s="56">
        <v>5</v>
      </c>
      <c r="F89" s="56">
        <v>5</v>
      </c>
      <c r="G89" s="56">
        <v>5</v>
      </c>
      <c r="H89" s="56">
        <v>5</v>
      </c>
      <c r="I89" s="56"/>
      <c r="J89" s="56"/>
      <c r="K89" s="56"/>
      <c r="L89" s="57">
        <f t="shared" si="1"/>
        <v>25</v>
      </c>
    </row>
    <row r="90" spans="1:12" ht="15.75" customHeight="1">
      <c r="A90" s="180">
        <v>81</v>
      </c>
      <c r="B90" s="157">
        <v>22213</v>
      </c>
      <c r="C90" s="158" t="s">
        <v>188</v>
      </c>
      <c r="D90" s="75">
        <v>5</v>
      </c>
      <c r="E90" s="56">
        <v>5</v>
      </c>
      <c r="F90" s="56">
        <v>5</v>
      </c>
      <c r="G90" s="56">
        <v>5</v>
      </c>
      <c r="H90" s="56">
        <v>5</v>
      </c>
      <c r="I90" s="56"/>
      <c r="J90" s="56"/>
      <c r="K90" s="56"/>
      <c r="L90" s="57">
        <f t="shared" si="1"/>
        <v>25</v>
      </c>
    </row>
    <row r="91" spans="1:12" ht="15.75" customHeight="1">
      <c r="A91" s="180">
        <v>82</v>
      </c>
      <c r="B91" s="157">
        <v>22214</v>
      </c>
      <c r="C91" s="158" t="s">
        <v>189</v>
      </c>
      <c r="D91" s="75">
        <v>5</v>
      </c>
      <c r="E91" s="75">
        <v>5</v>
      </c>
      <c r="F91" s="75">
        <v>5</v>
      </c>
      <c r="G91" s="75">
        <v>5</v>
      </c>
      <c r="H91" s="75">
        <v>5</v>
      </c>
      <c r="I91" s="75"/>
      <c r="J91" s="75"/>
      <c r="K91" s="75"/>
      <c r="L91" s="57">
        <f t="shared" si="1"/>
        <v>25</v>
      </c>
    </row>
    <row r="92" spans="1:12" ht="15.75" customHeight="1">
      <c r="A92" s="180">
        <v>83</v>
      </c>
      <c r="B92" s="157">
        <v>22215</v>
      </c>
      <c r="C92" s="158" t="s">
        <v>190</v>
      </c>
      <c r="D92" s="75">
        <v>4</v>
      </c>
      <c r="E92" s="56">
        <v>3</v>
      </c>
      <c r="F92" s="56">
        <v>4</v>
      </c>
      <c r="G92" s="56">
        <v>3</v>
      </c>
      <c r="H92" s="56">
        <v>4</v>
      </c>
      <c r="I92" s="56"/>
      <c r="J92" s="56"/>
      <c r="K92" s="56"/>
      <c r="L92" s="57">
        <f t="shared" si="1"/>
        <v>18</v>
      </c>
    </row>
    <row r="93" spans="1:12" ht="15.75" customHeight="1">
      <c r="A93" s="180">
        <v>84</v>
      </c>
      <c r="B93" s="157">
        <v>22216</v>
      </c>
      <c r="C93" s="158" t="s">
        <v>191</v>
      </c>
      <c r="D93" s="75">
        <v>5</v>
      </c>
      <c r="E93" s="56">
        <v>3</v>
      </c>
      <c r="F93" s="56">
        <v>4</v>
      </c>
      <c r="G93" s="56">
        <v>3</v>
      </c>
      <c r="H93" s="56">
        <v>3</v>
      </c>
      <c r="I93" s="56"/>
      <c r="J93" s="56"/>
      <c r="K93" s="56"/>
      <c r="L93" s="57">
        <f t="shared" si="1"/>
        <v>18</v>
      </c>
    </row>
    <row r="94" spans="1:12" ht="15.75" customHeight="1">
      <c r="A94" s="180">
        <v>85</v>
      </c>
      <c r="B94" s="157">
        <v>22217</v>
      </c>
      <c r="C94" s="158" t="s">
        <v>192</v>
      </c>
      <c r="D94" s="75">
        <v>4</v>
      </c>
      <c r="E94" s="56">
        <v>3</v>
      </c>
      <c r="F94" s="56">
        <v>5</v>
      </c>
      <c r="G94" s="56">
        <v>4</v>
      </c>
      <c r="H94" s="56">
        <v>5</v>
      </c>
      <c r="I94" s="56"/>
      <c r="J94" s="56"/>
      <c r="K94" s="56"/>
      <c r="L94" s="57">
        <f t="shared" si="1"/>
        <v>21</v>
      </c>
    </row>
    <row r="95" spans="1:12" ht="15.75" customHeight="1">
      <c r="A95" s="180">
        <v>86</v>
      </c>
      <c r="B95" s="157">
        <v>22218</v>
      </c>
      <c r="C95" s="158" t="s">
        <v>193</v>
      </c>
      <c r="D95" s="75">
        <v>4</v>
      </c>
      <c r="E95" s="56">
        <v>3</v>
      </c>
      <c r="F95" s="56">
        <v>4</v>
      </c>
      <c r="G95" s="56">
        <v>3</v>
      </c>
      <c r="H95" s="56">
        <v>4</v>
      </c>
      <c r="I95" s="56"/>
      <c r="J95" s="56"/>
      <c r="K95" s="56"/>
      <c r="L95" s="57">
        <f t="shared" si="1"/>
        <v>18</v>
      </c>
    </row>
    <row r="96" spans="1:12" ht="15.75" customHeight="1">
      <c r="A96" s="180">
        <v>87</v>
      </c>
      <c r="B96" s="157">
        <v>22219</v>
      </c>
      <c r="C96" s="158" t="s">
        <v>194</v>
      </c>
      <c r="D96" s="75">
        <v>3</v>
      </c>
      <c r="E96" s="56">
        <v>3</v>
      </c>
      <c r="F96" s="56">
        <v>3</v>
      </c>
      <c r="G96" s="56">
        <v>4</v>
      </c>
      <c r="H96" s="56">
        <v>3</v>
      </c>
      <c r="I96" s="56"/>
      <c r="J96" s="56"/>
      <c r="K96" s="56"/>
      <c r="L96" s="57">
        <f t="shared" si="1"/>
        <v>16</v>
      </c>
    </row>
    <row r="97" spans="1:12" ht="15.75" customHeight="1">
      <c r="A97" s="180">
        <v>88</v>
      </c>
      <c r="B97" s="157">
        <v>22220</v>
      </c>
      <c r="C97" s="158" t="s">
        <v>195</v>
      </c>
      <c r="D97" s="75">
        <v>4</v>
      </c>
      <c r="E97" s="56">
        <v>4</v>
      </c>
      <c r="F97" s="56">
        <v>5</v>
      </c>
      <c r="G97" s="56">
        <v>4</v>
      </c>
      <c r="H97" s="56">
        <v>4</v>
      </c>
      <c r="I97" s="56"/>
      <c r="J97" s="56"/>
      <c r="K97" s="56"/>
      <c r="L97" s="57">
        <f t="shared" si="1"/>
        <v>21</v>
      </c>
    </row>
    <row r="98" spans="1:12" ht="15.75" customHeight="1">
      <c r="A98" s="180">
        <v>89</v>
      </c>
      <c r="B98" s="157">
        <v>22221</v>
      </c>
      <c r="C98" s="158" t="s">
        <v>196</v>
      </c>
      <c r="D98" s="75">
        <v>4</v>
      </c>
      <c r="E98" s="56">
        <v>4</v>
      </c>
      <c r="F98" s="56">
        <v>5</v>
      </c>
      <c r="G98" s="56">
        <v>3</v>
      </c>
      <c r="H98" s="56">
        <v>3</v>
      </c>
      <c r="I98" s="56"/>
      <c r="J98" s="56"/>
      <c r="K98" s="56"/>
      <c r="L98" s="57">
        <f t="shared" si="1"/>
        <v>19</v>
      </c>
    </row>
    <row r="99" spans="1:12" ht="15.75" customHeight="1">
      <c r="A99" s="180">
        <v>90</v>
      </c>
      <c r="B99" s="157">
        <v>22222</v>
      </c>
      <c r="C99" s="158" t="s">
        <v>197</v>
      </c>
      <c r="D99" s="75">
        <v>3</v>
      </c>
      <c r="E99" s="56">
        <v>4</v>
      </c>
      <c r="F99" s="56">
        <v>3</v>
      </c>
      <c r="G99" s="56">
        <v>5</v>
      </c>
      <c r="H99" s="56">
        <v>5</v>
      </c>
      <c r="I99" s="56"/>
      <c r="J99" s="56"/>
      <c r="K99" s="56"/>
      <c r="L99" s="57">
        <f t="shared" si="1"/>
        <v>20</v>
      </c>
    </row>
    <row r="100" spans="1:12" ht="15.75" customHeight="1">
      <c r="A100" s="180">
        <v>91</v>
      </c>
      <c r="B100" s="157">
        <v>22223</v>
      </c>
      <c r="C100" s="158" t="s">
        <v>198</v>
      </c>
      <c r="D100" s="75">
        <v>4</v>
      </c>
      <c r="E100" s="56">
        <v>5</v>
      </c>
      <c r="F100" s="56">
        <v>4</v>
      </c>
      <c r="G100" s="56">
        <v>4</v>
      </c>
      <c r="H100" s="56">
        <v>4</v>
      </c>
      <c r="I100" s="56"/>
      <c r="J100" s="56"/>
      <c r="K100" s="56"/>
      <c r="L100" s="57">
        <f t="shared" si="1"/>
        <v>21</v>
      </c>
    </row>
    <row r="101" spans="1:12" ht="15.75" customHeight="1">
      <c r="A101" s="180">
        <v>92</v>
      </c>
      <c r="B101" s="157">
        <v>22224</v>
      </c>
      <c r="C101" s="158" t="s">
        <v>199</v>
      </c>
      <c r="D101" s="75">
        <v>4</v>
      </c>
      <c r="E101" s="56">
        <v>4</v>
      </c>
      <c r="F101" s="56">
        <v>4</v>
      </c>
      <c r="G101" s="56">
        <v>4</v>
      </c>
      <c r="H101" s="56">
        <v>4</v>
      </c>
      <c r="I101" s="56"/>
      <c r="J101" s="56"/>
      <c r="K101" s="56"/>
      <c r="L101" s="57">
        <f t="shared" si="1"/>
        <v>20</v>
      </c>
    </row>
    <row r="102" spans="1:12" ht="15.75" customHeight="1">
      <c r="A102" s="180">
        <v>93</v>
      </c>
      <c r="B102" s="157">
        <v>22225</v>
      </c>
      <c r="C102" s="158" t="s">
        <v>200</v>
      </c>
      <c r="D102" s="75">
        <v>4</v>
      </c>
      <c r="E102" s="56">
        <v>5</v>
      </c>
      <c r="F102" s="56">
        <v>4</v>
      </c>
      <c r="G102" s="56">
        <v>5</v>
      </c>
      <c r="H102" s="56">
        <v>4</v>
      </c>
      <c r="I102" s="56"/>
      <c r="J102" s="56"/>
      <c r="K102" s="56"/>
      <c r="L102" s="57">
        <f t="shared" si="1"/>
        <v>22</v>
      </c>
    </row>
    <row r="103" spans="1:12" ht="15.75" customHeight="1">
      <c r="A103" s="180">
        <v>94</v>
      </c>
      <c r="B103" s="157">
        <v>22226</v>
      </c>
      <c r="C103" s="158" t="s">
        <v>201</v>
      </c>
      <c r="D103" s="75">
        <v>4</v>
      </c>
      <c r="E103" s="56">
        <v>4</v>
      </c>
      <c r="F103" s="56">
        <v>4</v>
      </c>
      <c r="G103" s="56">
        <v>5</v>
      </c>
      <c r="H103" s="56">
        <v>4</v>
      </c>
      <c r="I103" s="56"/>
      <c r="J103" s="56"/>
      <c r="K103" s="56"/>
      <c r="L103" s="57">
        <f t="shared" si="1"/>
        <v>21</v>
      </c>
    </row>
    <row r="104" spans="1:12" ht="15.75" customHeight="1">
      <c r="A104" s="180">
        <v>95</v>
      </c>
      <c r="B104" s="157">
        <v>22227</v>
      </c>
      <c r="C104" s="158" t="s">
        <v>202</v>
      </c>
      <c r="D104" s="75">
        <v>4</v>
      </c>
      <c r="E104" s="56">
        <v>4</v>
      </c>
      <c r="F104" s="56">
        <v>5</v>
      </c>
      <c r="G104" s="56">
        <v>4</v>
      </c>
      <c r="H104" s="56">
        <v>4</v>
      </c>
      <c r="I104" s="56"/>
      <c r="J104" s="56"/>
      <c r="K104" s="56"/>
      <c r="L104" s="57">
        <f t="shared" si="1"/>
        <v>21</v>
      </c>
    </row>
    <row r="105" spans="1:12" ht="15.75" customHeight="1">
      <c r="A105" s="180">
        <v>96</v>
      </c>
      <c r="B105" s="157">
        <v>22228</v>
      </c>
      <c r="C105" s="158" t="s">
        <v>203</v>
      </c>
      <c r="D105" s="75">
        <v>4</v>
      </c>
      <c r="E105" s="75">
        <v>4</v>
      </c>
      <c r="F105" s="75">
        <v>4</v>
      </c>
      <c r="G105" s="75">
        <v>4</v>
      </c>
      <c r="H105" s="75">
        <v>4</v>
      </c>
      <c r="I105" s="75"/>
      <c r="J105" s="75"/>
      <c r="K105" s="75"/>
      <c r="L105" s="57">
        <f t="shared" si="1"/>
        <v>20</v>
      </c>
    </row>
    <row r="106" spans="1:12" ht="15.75" customHeight="1">
      <c r="A106" s="180">
        <v>97</v>
      </c>
      <c r="B106" s="157">
        <v>22229</v>
      </c>
      <c r="C106" s="158" t="s">
        <v>204</v>
      </c>
      <c r="D106" s="75">
        <v>4</v>
      </c>
      <c r="E106" s="56">
        <v>4</v>
      </c>
      <c r="F106" s="56">
        <v>5</v>
      </c>
      <c r="G106" s="56">
        <v>4</v>
      </c>
      <c r="H106" s="56">
        <v>4</v>
      </c>
      <c r="I106" s="56"/>
      <c r="J106" s="56"/>
      <c r="K106" s="56"/>
      <c r="L106" s="57">
        <f t="shared" si="1"/>
        <v>21</v>
      </c>
    </row>
    <row r="107" spans="1:12" ht="15.75" customHeight="1">
      <c r="A107" s="180">
        <v>98</v>
      </c>
      <c r="B107" s="157">
        <v>22230</v>
      </c>
      <c r="C107" s="158" t="s">
        <v>205</v>
      </c>
      <c r="D107" s="56">
        <v>5</v>
      </c>
      <c r="E107" s="56">
        <v>4</v>
      </c>
      <c r="F107" s="56">
        <v>4</v>
      </c>
      <c r="G107" s="56">
        <v>4</v>
      </c>
      <c r="H107" s="56">
        <v>4</v>
      </c>
      <c r="I107" s="56"/>
      <c r="J107" s="56"/>
      <c r="K107" s="56"/>
      <c r="L107" s="57">
        <f t="shared" si="1"/>
        <v>21</v>
      </c>
    </row>
    <row r="108" spans="1:12" ht="15.75" customHeight="1">
      <c r="A108" s="180">
        <v>99</v>
      </c>
      <c r="B108" s="157">
        <v>22231</v>
      </c>
      <c r="C108" s="158" t="s">
        <v>206</v>
      </c>
      <c r="D108" s="56">
        <v>4</v>
      </c>
      <c r="E108" s="56">
        <v>4</v>
      </c>
      <c r="F108" s="56">
        <v>4</v>
      </c>
      <c r="G108" s="56">
        <v>5</v>
      </c>
      <c r="H108" s="56">
        <v>5</v>
      </c>
      <c r="I108" s="56"/>
      <c r="J108" s="56"/>
      <c r="K108" s="56"/>
      <c r="L108" s="57">
        <f t="shared" si="1"/>
        <v>22</v>
      </c>
    </row>
    <row r="109" spans="1:12" ht="15.75" customHeight="1">
      <c r="A109" s="180">
        <v>100</v>
      </c>
      <c r="B109" s="157">
        <v>22232</v>
      </c>
      <c r="C109" s="158" t="s">
        <v>207</v>
      </c>
      <c r="D109" s="56">
        <v>5</v>
      </c>
      <c r="E109" s="56">
        <v>4</v>
      </c>
      <c r="F109" s="56">
        <v>4</v>
      </c>
      <c r="G109" s="56">
        <v>4</v>
      </c>
      <c r="H109" s="56">
        <v>5</v>
      </c>
      <c r="I109" s="56"/>
      <c r="J109" s="56"/>
      <c r="K109" s="56"/>
      <c r="L109" s="57">
        <f t="shared" si="1"/>
        <v>22</v>
      </c>
    </row>
    <row r="110" spans="1:12" ht="15.75" customHeight="1">
      <c r="A110" s="180">
        <v>101</v>
      </c>
      <c r="B110" s="157">
        <v>22233</v>
      </c>
      <c r="C110" s="158" t="s">
        <v>208</v>
      </c>
      <c r="D110" s="75">
        <v>5</v>
      </c>
      <c r="E110" s="75">
        <v>5</v>
      </c>
      <c r="F110" s="75">
        <v>5</v>
      </c>
      <c r="G110" s="75">
        <v>5</v>
      </c>
      <c r="H110" s="75">
        <v>5</v>
      </c>
      <c r="I110" s="56"/>
      <c r="J110" s="56"/>
      <c r="K110" s="56"/>
      <c r="L110" s="57">
        <f t="shared" si="1"/>
        <v>25</v>
      </c>
    </row>
    <row r="111" spans="1:12" ht="15.75" customHeight="1">
      <c r="A111" s="180">
        <v>102</v>
      </c>
      <c r="B111" s="157">
        <v>22234</v>
      </c>
      <c r="C111" s="158" t="s">
        <v>209</v>
      </c>
      <c r="D111" s="75">
        <v>4</v>
      </c>
      <c r="E111" s="56">
        <v>3</v>
      </c>
      <c r="F111" s="56">
        <v>4</v>
      </c>
      <c r="G111" s="56">
        <v>3</v>
      </c>
      <c r="H111" s="56">
        <v>4</v>
      </c>
      <c r="I111" s="56"/>
      <c r="J111" s="56"/>
      <c r="K111" s="56"/>
      <c r="L111" s="57">
        <f t="shared" si="1"/>
        <v>18</v>
      </c>
    </row>
    <row r="112" spans="1:12" ht="15.75" customHeight="1">
      <c r="A112" s="180">
        <v>103</v>
      </c>
      <c r="B112" s="157">
        <v>22235</v>
      </c>
      <c r="C112" s="158" t="s">
        <v>210</v>
      </c>
      <c r="D112" s="75">
        <v>5</v>
      </c>
      <c r="E112" s="56">
        <v>3</v>
      </c>
      <c r="F112" s="56">
        <v>4</v>
      </c>
      <c r="G112" s="56">
        <v>3</v>
      </c>
      <c r="H112" s="56">
        <v>3</v>
      </c>
      <c r="I112" s="56"/>
      <c r="J112" s="56"/>
      <c r="K112" s="56"/>
      <c r="L112" s="57">
        <f t="shared" si="1"/>
        <v>18</v>
      </c>
    </row>
    <row r="113" spans="1:22" ht="15.75" customHeight="1">
      <c r="A113" s="180">
        <v>104</v>
      </c>
      <c r="B113" s="157">
        <v>22236</v>
      </c>
      <c r="C113" s="158" t="s">
        <v>211</v>
      </c>
      <c r="D113" s="75">
        <v>4</v>
      </c>
      <c r="E113" s="56">
        <v>3</v>
      </c>
      <c r="F113" s="56">
        <v>5</v>
      </c>
      <c r="G113" s="56">
        <v>4</v>
      </c>
      <c r="H113" s="56">
        <v>5</v>
      </c>
      <c r="I113" s="56"/>
      <c r="J113" s="56"/>
      <c r="K113" s="56"/>
      <c r="L113" s="57">
        <f t="shared" si="1"/>
        <v>21</v>
      </c>
    </row>
    <row r="114" spans="1:22" ht="15.75" customHeight="1">
      <c r="A114" s="180">
        <v>105</v>
      </c>
      <c r="B114" s="157">
        <v>22237</v>
      </c>
      <c r="C114" s="158" t="s">
        <v>212</v>
      </c>
      <c r="D114" s="75">
        <v>4</v>
      </c>
      <c r="E114" s="56">
        <v>3</v>
      </c>
      <c r="F114" s="56">
        <v>4</v>
      </c>
      <c r="G114" s="56">
        <v>3</v>
      </c>
      <c r="H114" s="56">
        <v>4</v>
      </c>
      <c r="I114" s="56"/>
      <c r="J114" s="56"/>
      <c r="K114" s="56"/>
      <c r="L114" s="57">
        <f t="shared" si="1"/>
        <v>18</v>
      </c>
    </row>
    <row r="115" spans="1:22" ht="15.75" customHeight="1">
      <c r="A115" s="180">
        <v>106</v>
      </c>
      <c r="B115" s="157">
        <v>22238</v>
      </c>
      <c r="C115" s="158" t="s">
        <v>213</v>
      </c>
      <c r="D115" s="75">
        <v>3</v>
      </c>
      <c r="E115" s="56">
        <v>3</v>
      </c>
      <c r="F115" s="56">
        <v>3</v>
      </c>
      <c r="G115" s="56">
        <v>4</v>
      </c>
      <c r="H115" s="56">
        <v>3</v>
      </c>
      <c r="I115" s="56"/>
      <c r="J115" s="56"/>
      <c r="K115" s="56"/>
      <c r="L115" s="57">
        <f t="shared" si="1"/>
        <v>16</v>
      </c>
    </row>
    <row r="116" spans="1:22" ht="15.75" customHeight="1">
      <c r="A116" s="180">
        <v>107</v>
      </c>
      <c r="B116" s="157">
        <v>22239</v>
      </c>
      <c r="C116" s="158" t="s">
        <v>214</v>
      </c>
      <c r="D116" s="75">
        <v>4</v>
      </c>
      <c r="E116" s="56">
        <v>4</v>
      </c>
      <c r="F116" s="56">
        <v>5</v>
      </c>
      <c r="G116" s="56">
        <v>4</v>
      </c>
      <c r="H116" s="56">
        <v>4</v>
      </c>
      <c r="I116" s="56"/>
      <c r="J116" s="56"/>
      <c r="K116" s="56"/>
      <c r="L116" s="57">
        <f t="shared" si="1"/>
        <v>21</v>
      </c>
    </row>
    <row r="117" spans="1:22" ht="15.75" customHeight="1">
      <c r="A117" s="180">
        <v>108</v>
      </c>
      <c r="B117" s="157">
        <v>22240</v>
      </c>
      <c r="C117" s="158" t="s">
        <v>215</v>
      </c>
      <c r="D117" s="75">
        <v>4</v>
      </c>
      <c r="E117" s="56">
        <v>4</v>
      </c>
      <c r="F117" s="56">
        <v>5</v>
      </c>
      <c r="G117" s="56">
        <v>3</v>
      </c>
      <c r="H117" s="56">
        <v>3</v>
      </c>
      <c r="I117" s="56"/>
      <c r="J117" s="56"/>
      <c r="K117" s="56"/>
      <c r="L117" s="57">
        <f t="shared" si="1"/>
        <v>19</v>
      </c>
    </row>
    <row r="118" spans="1:22" ht="15.75" customHeight="1">
      <c r="A118" s="4"/>
      <c r="C118" s="76" t="s">
        <v>22</v>
      </c>
      <c r="D118" s="77">
        <f>AVERAGE(D10:D117)</f>
        <v>4.3055555555555554</v>
      </c>
      <c r="E118" s="77">
        <f t="shared" ref="E118:L118" si="2">AVERAGE(E10:E117)</f>
        <v>4.1296296296296298</v>
      </c>
      <c r="F118" s="77">
        <f t="shared" si="2"/>
        <v>4.333333333333333</v>
      </c>
      <c r="G118" s="77">
        <f t="shared" si="2"/>
        <v>4.1296296296296298</v>
      </c>
      <c r="H118" s="77">
        <f t="shared" si="2"/>
        <v>4.2407407407407405</v>
      </c>
      <c r="I118" s="77"/>
      <c r="J118" s="77"/>
      <c r="K118" s="77"/>
      <c r="L118" s="77">
        <f t="shared" si="2"/>
        <v>21.138888888888889</v>
      </c>
    </row>
    <row r="119" spans="1:22" ht="15.75" customHeight="1">
      <c r="A119" s="4"/>
      <c r="C119" s="78" t="s">
        <v>57</v>
      </c>
      <c r="D119" s="79">
        <f>D118/5*100</f>
        <v>86.1111111111111</v>
      </c>
      <c r="E119" s="79">
        <f t="shared" ref="E119:H119" si="3">E118/5*100</f>
        <v>82.592592592592595</v>
      </c>
      <c r="F119" s="79">
        <f t="shared" si="3"/>
        <v>86.666666666666657</v>
      </c>
      <c r="G119" s="79">
        <f t="shared" si="3"/>
        <v>82.592592592592595</v>
      </c>
      <c r="H119" s="79">
        <f t="shared" si="3"/>
        <v>84.81481481481481</v>
      </c>
      <c r="I119" s="79"/>
      <c r="J119" s="79"/>
      <c r="K119" s="79"/>
      <c r="L119" s="79">
        <f>L118/25*100</f>
        <v>84.555555555555557</v>
      </c>
    </row>
    <row r="120" spans="1:22" ht="15.75" customHeight="1">
      <c r="A120" s="4"/>
      <c r="C120" s="5"/>
      <c r="M120" s="384" t="s">
        <v>70</v>
      </c>
      <c r="N120" s="384"/>
    </row>
    <row r="121" spans="1:22" ht="15.75" customHeight="1">
      <c r="A121" s="4" t="s">
        <v>13</v>
      </c>
      <c r="C121" s="5">
        <f>COUNT(A10:A117)</f>
        <v>108</v>
      </c>
      <c r="M121" s="384"/>
      <c r="N121" s="384"/>
    </row>
    <row r="122" spans="1:22" ht="15.75" customHeight="1">
      <c r="A122" s="4"/>
      <c r="C122" s="5"/>
      <c r="M122" s="384"/>
      <c r="N122" s="384"/>
      <c r="O122"/>
      <c r="P122" s="80"/>
      <c r="Q122"/>
      <c r="R122"/>
      <c r="S122"/>
      <c r="T122" s="81"/>
      <c r="U122" s="81"/>
      <c r="V122" s="81"/>
    </row>
    <row r="123" spans="1:22" ht="15.75" customHeight="1">
      <c r="M123" s="384"/>
      <c r="N123" s="384"/>
      <c r="O123"/>
      <c r="P123" s="80"/>
      <c r="Q123"/>
      <c r="R123"/>
      <c r="S123"/>
      <c r="T123"/>
      <c r="U123"/>
      <c r="V123"/>
    </row>
    <row r="124" spans="1:22" ht="15.75" customHeight="1">
      <c r="M124" s="384"/>
      <c r="N124" s="384"/>
      <c r="O124"/>
      <c r="P124" s="80"/>
      <c r="Q124"/>
      <c r="R124"/>
      <c r="S124"/>
      <c r="U124"/>
      <c r="V124"/>
    </row>
    <row r="125" spans="1:22" ht="15.75" customHeight="1">
      <c r="M125" s="384"/>
      <c r="N125" s="384"/>
      <c r="O125"/>
      <c r="P125" s="80"/>
      <c r="Q125"/>
      <c r="R125"/>
      <c r="S125"/>
      <c r="U125"/>
      <c r="V125"/>
    </row>
    <row r="126" spans="1:22" ht="15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 s="384"/>
      <c r="N126" s="384"/>
      <c r="O126"/>
      <c r="P126" s="80"/>
      <c r="Q126"/>
      <c r="R126"/>
      <c r="S126"/>
      <c r="T126"/>
      <c r="U126"/>
      <c r="V126"/>
    </row>
    <row r="127" spans="1:22" s="37" customFormat="1">
      <c r="A127" s="1"/>
      <c r="B127" s="285" t="str">
        <f>[1]SubjectDetails!$A$24</f>
        <v>Dr. Ravi Chourasiya</v>
      </c>
      <c r="C127" s="285"/>
      <c r="D127" s="285" t="str">
        <f>[1]SubjectDetails!$E$24</f>
        <v>Dr. Ashwini Chavan</v>
      </c>
      <c r="E127" s="285"/>
      <c r="F127" s="285"/>
      <c r="G127" s="285"/>
      <c r="H127" s="1"/>
      <c r="I127" s="1"/>
      <c r="J127" s="285" t="str">
        <f>[1]SubjectDetails!$H$24</f>
        <v>Dr. Priyanka Singh</v>
      </c>
      <c r="K127" s="285"/>
      <c r="L127" s="285"/>
      <c r="M127" s="1"/>
    </row>
    <row r="128" spans="1:22" s="37" customFormat="1">
      <c r="A128" s="83"/>
      <c r="B128" s="218" t="str">
        <f>[1]SubjectDetails!$A$25</f>
        <v>(College Examination Officer)</v>
      </c>
      <c r="C128" s="218"/>
      <c r="D128" s="215" t="str">
        <f>[1]SubjectDetails!$E$25</f>
        <v>HOD (MCA)</v>
      </c>
      <c r="E128" s="215"/>
      <c r="F128" s="215"/>
      <c r="G128" s="215"/>
      <c r="H128" s="182"/>
      <c r="I128" s="218" t="str">
        <f>[1]SubjectDetails!$H$25</f>
        <v>Director</v>
      </c>
      <c r="J128" s="218"/>
      <c r="K128" s="218"/>
      <c r="L128" s="218"/>
      <c r="M128" s="1"/>
    </row>
    <row r="129" spans="1:22" ht="15.75" customHeight="1">
      <c r="A129" s="83"/>
      <c r="B129" s="83"/>
      <c r="C129" s="178"/>
      <c r="D129" s="178"/>
      <c r="E129" s="178"/>
      <c r="F129" s="178"/>
      <c r="G129" s="1"/>
      <c r="I129" s="218"/>
      <c r="J129" s="218"/>
      <c r="K129" s="83"/>
      <c r="L129" s="179"/>
      <c r="M129" s="83"/>
      <c r="N129" s="81"/>
      <c r="O129"/>
      <c r="P129" s="80"/>
      <c r="Q129" s="82"/>
      <c r="R129" s="82"/>
      <c r="S129" s="82"/>
      <c r="T129" s="81"/>
      <c r="U129" s="81"/>
      <c r="V129" s="81"/>
    </row>
    <row r="130" spans="1:22" ht="15.75" customHeight="1">
      <c r="D130" s="1"/>
      <c r="E130" s="1"/>
      <c r="F130" s="1"/>
      <c r="G130" s="1"/>
      <c r="H130" s="1"/>
      <c r="K130" s="1"/>
      <c r="M130" s="1"/>
    </row>
    <row r="131" spans="1:22" ht="15.75" customHeight="1">
      <c r="A131" s="215"/>
      <c r="B131" s="215"/>
      <c r="C131" s="215"/>
      <c r="D131" s="218"/>
      <c r="E131" s="218"/>
      <c r="F131" s="218"/>
      <c r="G131" s="218"/>
      <c r="H131" s="216"/>
      <c r="I131" s="216"/>
      <c r="J131" s="216"/>
      <c r="K131" s="216"/>
      <c r="L131" s="50"/>
      <c r="M131" s="1"/>
    </row>
    <row r="132" spans="1:22" ht="15.75" customHeight="1">
      <c r="A132" s="380"/>
      <c r="B132" s="380"/>
      <c r="C132" s="380"/>
      <c r="D132" s="381"/>
      <c r="E132" s="381"/>
      <c r="F132" s="381"/>
      <c r="G132" s="381"/>
      <c r="H132" s="383"/>
      <c r="I132" s="383"/>
      <c r="J132" s="383"/>
      <c r="K132" s="81"/>
      <c r="L132" s="50"/>
    </row>
    <row r="133" spans="1:22" ht="15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/>
    </row>
  </sheetData>
  <mergeCells count="26">
    <mergeCell ref="A1:L1"/>
    <mergeCell ref="A2:L2"/>
    <mergeCell ref="A3:L3"/>
    <mergeCell ref="A4:L4"/>
    <mergeCell ref="A5:L5"/>
    <mergeCell ref="A6:C6"/>
    <mergeCell ref="D6:L6"/>
    <mergeCell ref="A7:A9"/>
    <mergeCell ref="B7:B9"/>
    <mergeCell ref="C7:C9"/>
    <mergeCell ref="D7:K7"/>
    <mergeCell ref="L7:L8"/>
    <mergeCell ref="M120:N126"/>
    <mergeCell ref="B127:C127"/>
    <mergeCell ref="D127:G127"/>
    <mergeCell ref="J127:L127"/>
    <mergeCell ref="B128:C128"/>
    <mergeCell ref="D128:G128"/>
    <mergeCell ref="I128:L128"/>
    <mergeCell ref="I129:J129"/>
    <mergeCell ref="A131:C131"/>
    <mergeCell ref="D131:G131"/>
    <mergeCell ref="H131:K131"/>
    <mergeCell ref="A132:C132"/>
    <mergeCell ref="D132:G132"/>
    <mergeCell ref="H132:J132"/>
  </mergeCells>
  <hyperlinks>
    <hyperlink ref="M120:N126" r:id="rId1" display="Overall  Semester wise  Attainment"/>
  </hyperlinks>
  <pageMargins left="0.7" right="0.7" top="0.75" bottom="0.75" header="0.3" footer="0.3"/>
  <pageSetup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SubjectDetails</vt:lpstr>
      <vt:lpstr>Rubrics</vt:lpstr>
      <vt:lpstr>CO Mapping PO </vt:lpstr>
      <vt:lpstr>CCE1</vt:lpstr>
      <vt:lpstr>CCE2</vt:lpstr>
      <vt:lpstr>CCE3</vt:lpstr>
      <vt:lpstr>CCE</vt:lpstr>
      <vt:lpstr>CO Int. Attn</vt:lpstr>
      <vt:lpstr>CO Ext. Attn</vt:lpstr>
      <vt:lpstr>OverallCO Attainment</vt:lpstr>
      <vt:lpstr>CO PO Attainment</vt:lpstr>
      <vt:lpstr>Course exit</vt:lpstr>
      <vt:lpstr>Class</vt:lpstr>
      <vt:lpstr>Class_AY</vt:lpstr>
      <vt:lpstr>Designation</vt:lpstr>
      <vt:lpstr>dir_wt</vt:lpstr>
      <vt:lpstr>ext_wt</vt:lpstr>
      <vt:lpstr>Faculty</vt:lpstr>
      <vt:lpstr>ind_wt</vt:lpstr>
      <vt:lpstr>int_wt</vt:lpstr>
      <vt:lpstr>spl</vt:lpstr>
      <vt:lpstr>Sub_Code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Lalbeg</dc:creator>
  <cp:lastModifiedBy>Admin</cp:lastModifiedBy>
  <cp:lastPrinted>2026-01-15T09:55:18Z</cp:lastPrinted>
  <dcterms:created xsi:type="dcterms:W3CDTF">2024-11-30T04:33:13Z</dcterms:created>
  <dcterms:modified xsi:type="dcterms:W3CDTF">2026-02-19T04:39:41Z</dcterms:modified>
</cp:coreProperties>
</file>